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tables/table1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trlProps/ctrlProp1.xml" ContentType="application/vnd.ms-excel.controlproperties+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C:\Users\shreyas\OneDrive\Desktop\BSCIT\TYBSCIT\"/>
    </mc:Choice>
  </mc:AlternateContent>
  <xr:revisionPtr revIDLastSave="0" documentId="8_{BB193AC5-BEC8-4048-9A34-3A56724DBF82}" xr6:coauthVersionLast="47" xr6:coauthVersionMax="47" xr10:uidLastSave="{00000000-0000-0000-0000-000000000000}"/>
  <bookViews>
    <workbookView xWindow="-108" yWindow="-108" windowWidth="23256" windowHeight="12456" firstSheet="6" activeTab="10" xr2:uid="{00000000-000D-0000-FFFF-FFFF00000000}"/>
  </bookViews>
  <sheets>
    <sheet name="Q1_Clean_Format" sheetId="1" r:id="rId1"/>
    <sheet name="Q2_Metrics" sheetId="2" r:id="rId2"/>
    <sheet name="Q3_Text_IDs" sheetId="3" r:id="rId3"/>
    <sheet name="Q4_Logic" sheetId="4" r:id="rId4"/>
    <sheet name="Q5_Lookups" sheetId="5" r:id="rId5"/>
    <sheet name="Q6_Sum_AvgIFS" sheetId="6" r:id="rId6"/>
    <sheet name="Q7_Pivot_Source" sheetId="7" r:id="rId7"/>
    <sheet name="Q8_Charts" sheetId="8" r:id="rId8"/>
    <sheet name="Q9_Macro" sheetId="9" r:id="rId9"/>
    <sheet name="Q9_Macro0.2" sheetId="11" r:id="rId10"/>
    <sheet name="Q10 Dashboard" sheetId="15" r:id="rId11"/>
  </sheets>
  <externalReferences>
    <externalReference r:id="rId12"/>
    <externalReference r:id="rId13"/>
    <externalReference r:id="rId14"/>
  </externalReferences>
  <definedNames>
    <definedName name="Slicer_Category">#N/A</definedName>
    <definedName name="Slicer_Order_Priority">#N/A</definedName>
  </definedNames>
  <calcPr calcId="191029"/>
  <pivotCaches>
    <pivotCache cacheId="0" r:id="rId15"/>
    <pivotCache cacheId="1" r:id="rId16"/>
    <pivotCache cacheId="2"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5" i="15" l="1"/>
  <c r="L5" i="15"/>
  <c r="J5" i="15"/>
  <c r="H5" i="15"/>
  <c r="F5" i="15"/>
  <c r="D5" i="15"/>
  <c r="B5" i="15"/>
  <c r="C5" i="5"/>
  <c r="B5" i="5"/>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R341" i="6"/>
  <c r="R342" i="6"/>
  <c r="R343" i="6"/>
  <c r="R344" i="6"/>
  <c r="R345" i="6"/>
  <c r="R346" i="6"/>
  <c r="R347" i="6"/>
  <c r="R348" i="6"/>
  <c r="R349" i="6"/>
  <c r="R350" i="6"/>
  <c r="R351" i="6"/>
  <c r="R352" i="6"/>
  <c r="R353" i="6"/>
  <c r="R354" i="6"/>
  <c r="R355" i="6"/>
  <c r="R356" i="6"/>
  <c r="R357" i="6"/>
  <c r="R358" i="6"/>
  <c r="R359" i="6"/>
  <c r="R360" i="6"/>
  <c r="R361" i="6"/>
  <c r="R362" i="6"/>
  <c r="R363" i="6"/>
  <c r="R364" i="6"/>
  <c r="R365" i="6"/>
  <c r="R366" i="6"/>
  <c r="R367" i="6"/>
  <c r="R368" i="6"/>
  <c r="R369" i="6"/>
  <c r="R370" i="6"/>
  <c r="R371" i="6"/>
  <c r="R372" i="6"/>
  <c r="R373" i="6"/>
  <c r="R374" i="6"/>
  <c r="R375" i="6"/>
  <c r="R376" i="6"/>
  <c r="R377" i="6"/>
  <c r="R378" i="6"/>
  <c r="R379" i="6"/>
  <c r="R380" i="6"/>
  <c r="R381" i="6"/>
  <c r="R382" i="6"/>
  <c r="R383" i="6"/>
  <c r="R384" i="6"/>
  <c r="R385" i="6"/>
  <c r="R386" i="6"/>
  <c r="R387" i="6"/>
  <c r="R388" i="6"/>
  <c r="R389" i="6"/>
  <c r="R390" i="6"/>
  <c r="R391" i="6"/>
  <c r="R392" i="6"/>
  <c r="R393" i="6"/>
  <c r="R394" i="6"/>
  <c r="R395" i="6"/>
  <c r="R396" i="6"/>
  <c r="R397" i="6"/>
  <c r="R398" i="6"/>
  <c r="R399" i="6"/>
  <c r="R400" i="6"/>
  <c r="R401" i="6"/>
  <c r="R402" i="6"/>
  <c r="R403" i="6"/>
  <c r="R404" i="6"/>
  <c r="R405" i="6"/>
  <c r="R406" i="6"/>
  <c r="R407" i="6"/>
  <c r="R408" i="6"/>
  <c r="R409" i="6"/>
  <c r="R410" i="6"/>
  <c r="R411" i="6"/>
  <c r="R412" i="6"/>
  <c r="R413" i="6"/>
  <c r="R414" i="6"/>
  <c r="R415" i="6"/>
  <c r="R416" i="6"/>
  <c r="R417" i="6"/>
  <c r="R418" i="6"/>
  <c r="R419" i="6"/>
  <c r="R420" i="6"/>
  <c r="R421" i="6"/>
  <c r="R422" i="6"/>
  <c r="R423" i="6"/>
  <c r="R424" i="6"/>
  <c r="R425" i="6"/>
  <c r="R426" i="6"/>
  <c r="R427" i="6"/>
  <c r="R428" i="6"/>
  <c r="R429" i="6"/>
  <c r="R430" i="6"/>
  <c r="R431" i="6"/>
  <c r="R432" i="6"/>
  <c r="R433" i="6"/>
  <c r="R434" i="6"/>
  <c r="R435" i="6"/>
  <c r="R436" i="6"/>
  <c r="R437" i="6"/>
  <c r="R438" i="6"/>
  <c r="R439" i="6"/>
  <c r="R440" i="6"/>
  <c r="R441" i="6"/>
  <c r="R442" i="6"/>
  <c r="R443" i="6"/>
  <c r="R444" i="6"/>
  <c r="R445" i="6"/>
  <c r="R446" i="6"/>
  <c r="R447" i="6"/>
  <c r="R448" i="6"/>
  <c r="R449" i="6"/>
  <c r="R450" i="6"/>
  <c r="R451" i="6"/>
  <c r="R452" i="6"/>
  <c r="R453" i="6"/>
  <c r="R454" i="6"/>
  <c r="R455" i="6"/>
  <c r="R456" i="6"/>
  <c r="R457" i="6"/>
  <c r="R458" i="6"/>
  <c r="R459" i="6"/>
  <c r="R460" i="6"/>
  <c r="R461" i="6"/>
  <c r="R462" i="6"/>
  <c r="R463" i="6"/>
  <c r="R464" i="6"/>
  <c r="R465" i="6"/>
  <c r="R466" i="6"/>
  <c r="R467" i="6"/>
  <c r="R468" i="6"/>
  <c r="R469" i="6"/>
  <c r="R470" i="6"/>
  <c r="R471" i="6"/>
  <c r="R472" i="6"/>
  <c r="R473" i="6"/>
  <c r="R474" i="6"/>
  <c r="R475" i="6"/>
  <c r="R476" i="6"/>
  <c r="R477" i="6"/>
  <c r="R478" i="6"/>
  <c r="R479" i="6"/>
  <c r="R480" i="6"/>
  <c r="R481" i="6"/>
  <c r="R482" i="6"/>
  <c r="R483" i="6"/>
  <c r="R484" i="6"/>
  <c r="R485" i="6"/>
  <c r="R486" i="6"/>
  <c r="R487" i="6"/>
  <c r="R488" i="6"/>
  <c r="R489" i="6"/>
  <c r="R490" i="6"/>
  <c r="R491" i="6"/>
  <c r="R492" i="6"/>
  <c r="R493" i="6"/>
  <c r="R494" i="6"/>
  <c r="R495" i="6"/>
  <c r="R496" i="6"/>
  <c r="R497" i="6"/>
  <c r="R498" i="6"/>
  <c r="R499" i="6"/>
  <c r="R500" i="6"/>
  <c r="R501" i="6"/>
  <c r="R502" i="6"/>
  <c r="R503" i="6"/>
  <c r="R504" i="6"/>
  <c r="R505" i="6"/>
  <c r="R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6" i="6"/>
  <c r="B19" i="5"/>
  <c r="B20" i="5"/>
  <c r="B21" i="5"/>
  <c r="B22" i="5"/>
  <c r="B23" i="5"/>
  <c r="B18" i="5"/>
  <c r="C6" i="5"/>
  <c r="C7" i="5"/>
  <c r="C8" i="5"/>
  <c r="C9" i="5"/>
  <c r="C10" i="5"/>
  <c r="C11" i="5"/>
  <c r="C12" i="5"/>
  <c r="C13" i="5"/>
  <c r="C14" i="5"/>
  <c r="B6" i="5"/>
  <c r="B7" i="5"/>
  <c r="B8" i="5"/>
  <c r="B9" i="5"/>
  <c r="B10" i="5"/>
  <c r="B11" i="5"/>
  <c r="B12" i="5"/>
  <c r="B13" i="5"/>
  <c r="B14" i="5"/>
  <c r="O7" i="11"/>
  <c r="O8" i="11"/>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O75" i="11"/>
  <c r="O76" i="11"/>
  <c r="O77" i="11"/>
  <c r="O78" i="11"/>
  <c r="O79" i="11"/>
  <c r="O80" i="11"/>
  <c r="O81" i="11"/>
  <c r="O82" i="11"/>
  <c r="O83" i="11"/>
  <c r="O84" i="11"/>
  <c r="O85" i="11"/>
  <c r="O86" i="11"/>
  <c r="O87" i="11"/>
  <c r="O88" i="11"/>
  <c r="O89" i="11"/>
  <c r="O90" i="11"/>
  <c r="O91" i="11"/>
  <c r="O92" i="11"/>
  <c r="O93" i="11"/>
  <c r="O94" i="11"/>
  <c r="O95" i="11"/>
  <c r="O96" i="11"/>
  <c r="O97" i="11"/>
  <c r="O98" i="11"/>
  <c r="O99" i="11"/>
  <c r="O100" i="11"/>
  <c r="O101" i="11"/>
  <c r="O102" i="11"/>
  <c r="O103" i="11"/>
  <c r="O104" i="11"/>
  <c r="O105" i="11"/>
  <c r="O106" i="11"/>
  <c r="O107" i="11"/>
  <c r="O108" i="11"/>
  <c r="O109" i="11"/>
  <c r="O110" i="11"/>
  <c r="O111" i="11"/>
  <c r="O112" i="11"/>
  <c r="O113" i="11"/>
  <c r="O114" i="11"/>
  <c r="O115" i="11"/>
  <c r="O116" i="11"/>
  <c r="O117" i="11"/>
  <c r="O118" i="11"/>
  <c r="O119" i="11"/>
  <c r="O120" i="11"/>
  <c r="O121" i="11"/>
  <c r="O122" i="11"/>
  <c r="O123" i="11"/>
  <c r="O124" i="11"/>
  <c r="O125" i="11"/>
  <c r="O126" i="11"/>
  <c r="O127" i="11"/>
  <c r="O128" i="11"/>
  <c r="O129" i="11"/>
  <c r="O130" i="11"/>
  <c r="O131" i="11"/>
  <c r="O132" i="11"/>
  <c r="O133" i="11"/>
  <c r="O134" i="11"/>
  <c r="O135" i="11"/>
  <c r="O136" i="11"/>
  <c r="O137" i="11"/>
  <c r="O138" i="11"/>
  <c r="O139" i="11"/>
  <c r="O140" i="11"/>
  <c r="O141" i="11"/>
  <c r="O142" i="11"/>
  <c r="O143" i="11"/>
  <c r="O144" i="11"/>
  <c r="O145" i="11"/>
  <c r="O146" i="11"/>
  <c r="O147" i="11"/>
  <c r="O148" i="11"/>
  <c r="O149" i="11"/>
  <c r="O150" i="11"/>
  <c r="O151" i="11"/>
  <c r="O152" i="11"/>
  <c r="O153" i="11"/>
  <c r="O154" i="11"/>
  <c r="O155" i="11"/>
  <c r="O156" i="11"/>
  <c r="O157" i="11"/>
  <c r="O158" i="11"/>
  <c r="O159" i="11"/>
  <c r="O160" i="11"/>
  <c r="O161" i="11"/>
  <c r="O162" i="11"/>
  <c r="O163" i="11"/>
  <c r="O164" i="11"/>
  <c r="O165" i="11"/>
  <c r="O166" i="11"/>
  <c r="O167" i="11"/>
  <c r="O168" i="11"/>
  <c r="O169" i="11"/>
  <c r="O170" i="11"/>
  <c r="O171" i="11"/>
  <c r="O172" i="11"/>
  <c r="O173" i="11"/>
  <c r="O174" i="11"/>
  <c r="O175" i="11"/>
  <c r="O176" i="11"/>
  <c r="O177" i="11"/>
  <c r="O178" i="11"/>
  <c r="O179" i="11"/>
  <c r="O180" i="11"/>
  <c r="O181" i="11"/>
  <c r="O182" i="11"/>
  <c r="O183" i="11"/>
  <c r="O184" i="11"/>
  <c r="O185" i="11"/>
  <c r="O186" i="11"/>
  <c r="O187" i="11"/>
  <c r="O188" i="11"/>
  <c r="O189" i="11"/>
  <c r="O190" i="11"/>
  <c r="O191" i="11"/>
  <c r="O192" i="11"/>
  <c r="O193" i="11"/>
  <c r="O194" i="11"/>
  <c r="O195" i="11"/>
  <c r="O196" i="11"/>
  <c r="O197" i="11"/>
  <c r="O198" i="11"/>
  <c r="O199" i="11"/>
  <c r="O200" i="11"/>
  <c r="O201" i="11"/>
  <c r="O202" i="11"/>
  <c r="O203" i="11"/>
  <c r="O204" i="11"/>
  <c r="O205" i="11"/>
  <c r="O206" i="11"/>
  <c r="O207" i="11"/>
  <c r="O208" i="11"/>
  <c r="O209" i="11"/>
  <c r="O210" i="11"/>
  <c r="O211" i="11"/>
  <c r="O212" i="11"/>
  <c r="O213" i="11"/>
  <c r="O214" i="11"/>
  <c r="O215" i="11"/>
  <c r="O216" i="11"/>
  <c r="O217" i="11"/>
  <c r="O218" i="11"/>
  <c r="O219" i="11"/>
  <c r="O220" i="11"/>
  <c r="O221" i="11"/>
  <c r="O222" i="11"/>
  <c r="O223" i="11"/>
  <c r="O224" i="11"/>
  <c r="O225" i="11"/>
  <c r="O226" i="11"/>
  <c r="O227" i="11"/>
  <c r="O228" i="11"/>
  <c r="O229" i="11"/>
  <c r="O230" i="11"/>
  <c r="O231" i="11"/>
  <c r="O232" i="11"/>
  <c r="O233" i="11"/>
  <c r="O234" i="11"/>
  <c r="O235" i="11"/>
  <c r="O236" i="11"/>
  <c r="O237" i="11"/>
  <c r="O238" i="11"/>
  <c r="O239" i="11"/>
  <c r="O240" i="11"/>
  <c r="O241" i="11"/>
  <c r="O242" i="11"/>
  <c r="O243" i="11"/>
  <c r="O244" i="11"/>
  <c r="O245" i="11"/>
  <c r="O246" i="11"/>
  <c r="O247" i="11"/>
  <c r="O248" i="11"/>
  <c r="O249" i="11"/>
  <c r="O250" i="11"/>
  <c r="O251" i="11"/>
  <c r="O252" i="11"/>
  <c r="O253" i="11"/>
  <c r="O254" i="11"/>
  <c r="O255" i="11"/>
  <c r="O256" i="11"/>
  <c r="O257" i="11"/>
  <c r="O258" i="11"/>
  <c r="O259" i="11"/>
  <c r="O260" i="11"/>
  <c r="O261" i="11"/>
  <c r="O262" i="11"/>
  <c r="O263" i="11"/>
  <c r="O264" i="11"/>
  <c r="O265" i="11"/>
  <c r="O266" i="11"/>
  <c r="O267" i="11"/>
  <c r="O268" i="11"/>
  <c r="O269" i="11"/>
  <c r="O270" i="11"/>
  <c r="O271" i="11"/>
  <c r="O272" i="11"/>
  <c r="O273" i="11"/>
  <c r="O274" i="11"/>
  <c r="O275" i="11"/>
  <c r="O276" i="11"/>
  <c r="O277" i="11"/>
  <c r="O278" i="11"/>
  <c r="O279" i="11"/>
  <c r="O280" i="11"/>
  <c r="O281" i="11"/>
  <c r="O282" i="11"/>
  <c r="O283" i="11"/>
  <c r="O284" i="11"/>
  <c r="O285" i="11"/>
  <c r="O286" i="11"/>
  <c r="O287" i="11"/>
  <c r="O288" i="11"/>
  <c r="O289" i="11"/>
  <c r="O290" i="11"/>
  <c r="O291" i="11"/>
  <c r="O292" i="11"/>
  <c r="O293" i="11"/>
  <c r="O294" i="11"/>
  <c r="O295" i="11"/>
  <c r="O296" i="11"/>
  <c r="O297" i="11"/>
  <c r="O298" i="11"/>
  <c r="O299" i="11"/>
  <c r="O300" i="11"/>
  <c r="O301" i="11"/>
  <c r="O302" i="11"/>
  <c r="O303" i="11"/>
  <c r="O304" i="11"/>
  <c r="O305" i="11"/>
  <c r="O306" i="11"/>
  <c r="O307" i="11"/>
  <c r="O308" i="11"/>
  <c r="O309" i="11"/>
  <c r="O310" i="11"/>
  <c r="O311" i="11"/>
  <c r="O312" i="11"/>
  <c r="O313" i="11"/>
  <c r="O314" i="11"/>
  <c r="O315" i="11"/>
  <c r="O316" i="11"/>
  <c r="O317" i="11"/>
  <c r="O318" i="11"/>
  <c r="O319" i="11"/>
  <c r="O320" i="11"/>
  <c r="O321" i="11"/>
  <c r="O322" i="11"/>
  <c r="O323" i="11"/>
  <c r="O324" i="11"/>
  <c r="O325" i="11"/>
  <c r="O326" i="11"/>
  <c r="O327" i="11"/>
  <c r="O328" i="11"/>
  <c r="O329" i="11"/>
  <c r="O330" i="11"/>
  <c r="O331" i="11"/>
  <c r="O332" i="11"/>
  <c r="O333" i="11"/>
  <c r="O334" i="11"/>
  <c r="O335" i="11"/>
  <c r="O336" i="11"/>
  <c r="O337" i="11"/>
  <c r="O338" i="11"/>
  <c r="O339" i="11"/>
  <c r="O340" i="11"/>
  <c r="O341" i="11"/>
  <c r="O342" i="11"/>
  <c r="O343" i="11"/>
  <c r="O344" i="11"/>
  <c r="O345" i="11"/>
  <c r="O346" i="11"/>
  <c r="O347" i="11"/>
  <c r="O348" i="11"/>
  <c r="O349" i="11"/>
  <c r="O350" i="11"/>
  <c r="O351" i="11"/>
  <c r="O352" i="11"/>
  <c r="O353" i="11"/>
  <c r="O354" i="11"/>
  <c r="O355" i="11"/>
  <c r="O356" i="11"/>
  <c r="O357" i="11"/>
  <c r="O358" i="11"/>
  <c r="O359" i="11"/>
  <c r="O360" i="11"/>
  <c r="O361" i="11"/>
  <c r="O362" i="11"/>
  <c r="O363" i="11"/>
  <c r="O364" i="11"/>
  <c r="O365" i="11"/>
  <c r="O366" i="11"/>
  <c r="O367" i="11"/>
  <c r="O368" i="11"/>
  <c r="O369" i="11"/>
  <c r="O370" i="11"/>
  <c r="O371" i="11"/>
  <c r="O372" i="11"/>
  <c r="O373" i="11"/>
  <c r="O374" i="11"/>
  <c r="O375" i="11"/>
  <c r="O376" i="11"/>
  <c r="O377" i="11"/>
  <c r="O378" i="11"/>
  <c r="O379" i="11"/>
  <c r="O380" i="11"/>
  <c r="O381" i="11"/>
  <c r="O382" i="11"/>
  <c r="O383" i="11"/>
  <c r="O384" i="11"/>
  <c r="O385" i="11"/>
  <c r="O386" i="11"/>
  <c r="O387" i="11"/>
  <c r="O388" i="11"/>
  <c r="O389" i="11"/>
  <c r="O390" i="11"/>
  <c r="O391" i="11"/>
  <c r="O392" i="11"/>
  <c r="O393" i="11"/>
  <c r="O394" i="11"/>
  <c r="O395" i="11"/>
  <c r="O396" i="11"/>
  <c r="O397" i="11"/>
  <c r="O398" i="11"/>
  <c r="O399" i="11"/>
  <c r="O400" i="11"/>
  <c r="O401" i="11"/>
  <c r="O402" i="11"/>
  <c r="O403" i="11"/>
  <c r="O404" i="11"/>
  <c r="O405" i="11"/>
  <c r="O406" i="11"/>
  <c r="O407" i="11"/>
  <c r="O408" i="11"/>
  <c r="O409" i="11"/>
  <c r="O410" i="11"/>
  <c r="O411" i="11"/>
  <c r="O412" i="11"/>
  <c r="O413" i="11"/>
  <c r="O414" i="11"/>
  <c r="O415" i="11"/>
  <c r="O416" i="11"/>
  <c r="O417" i="11"/>
  <c r="O418" i="11"/>
  <c r="O419" i="11"/>
  <c r="O420" i="11"/>
  <c r="O421" i="11"/>
  <c r="O422" i="11"/>
  <c r="O423" i="11"/>
  <c r="O424" i="11"/>
  <c r="O425" i="11"/>
  <c r="O426" i="11"/>
  <c r="O427" i="11"/>
  <c r="O428" i="11"/>
  <c r="O429" i="11"/>
  <c r="O430" i="11"/>
  <c r="O431" i="11"/>
  <c r="O432" i="11"/>
  <c r="O433" i="11"/>
  <c r="O434" i="11"/>
  <c r="O435" i="11"/>
  <c r="O436" i="11"/>
  <c r="O437" i="11"/>
  <c r="O438" i="11"/>
  <c r="O439" i="11"/>
  <c r="O440" i="11"/>
  <c r="O441" i="11"/>
  <c r="O442" i="11"/>
  <c r="O443" i="11"/>
  <c r="O444" i="11"/>
  <c r="O445" i="11"/>
  <c r="O446" i="11"/>
  <c r="O447" i="11"/>
  <c r="O448" i="11"/>
  <c r="O449" i="11"/>
  <c r="O450" i="11"/>
  <c r="O451" i="11"/>
  <c r="O452" i="11"/>
  <c r="O453" i="11"/>
  <c r="O454" i="11"/>
  <c r="O455" i="11"/>
  <c r="O456" i="11"/>
  <c r="O457" i="11"/>
  <c r="O458" i="11"/>
  <c r="O459" i="11"/>
  <c r="O460" i="11"/>
  <c r="O461" i="11"/>
  <c r="O462" i="11"/>
  <c r="O463" i="11"/>
  <c r="O464" i="11"/>
  <c r="O465" i="11"/>
  <c r="O466" i="11"/>
  <c r="O467" i="11"/>
  <c r="O468" i="11"/>
  <c r="O469" i="11"/>
  <c r="O470" i="11"/>
  <c r="O471" i="11"/>
  <c r="O472" i="11"/>
  <c r="O473" i="11"/>
  <c r="O474" i="11"/>
  <c r="O475" i="11"/>
  <c r="O476" i="11"/>
  <c r="O477" i="11"/>
  <c r="O478" i="11"/>
  <c r="O479" i="11"/>
  <c r="O480" i="11"/>
  <c r="O481" i="11"/>
  <c r="O482" i="11"/>
  <c r="O483" i="11"/>
  <c r="O484" i="11"/>
  <c r="O485" i="11"/>
  <c r="O486" i="11"/>
  <c r="O487" i="11"/>
  <c r="O488" i="11"/>
  <c r="O489" i="11"/>
  <c r="O490" i="11"/>
  <c r="O491" i="11"/>
  <c r="O492" i="11"/>
  <c r="O493" i="11"/>
  <c r="O494" i="11"/>
  <c r="O495" i="11"/>
  <c r="O496" i="11"/>
  <c r="O497" i="11"/>
  <c r="O498" i="11"/>
  <c r="O499" i="11"/>
  <c r="O500" i="11"/>
  <c r="O501" i="11"/>
  <c r="O502" i="11"/>
  <c r="O503" i="11"/>
  <c r="O504" i="11"/>
  <c r="O505" i="11"/>
  <c r="O6" i="11"/>
  <c r="O6" i="9"/>
  <c r="R7" i="8"/>
  <c r="R8" i="8"/>
  <c r="R9" i="8"/>
  <c r="R10" i="8"/>
  <c r="R11" i="8"/>
  <c r="R12" i="8"/>
  <c r="R13" i="8"/>
  <c r="R14" i="8"/>
  <c r="R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R45" i="8"/>
  <c r="R46" i="8"/>
  <c r="R47" i="8"/>
  <c r="R48" i="8"/>
  <c r="R49" i="8"/>
  <c r="R50" i="8"/>
  <c r="R51" i="8"/>
  <c r="R52" i="8"/>
  <c r="R53" i="8"/>
  <c r="R54" i="8"/>
  <c r="R55" i="8"/>
  <c r="R56" i="8"/>
  <c r="R57" i="8"/>
  <c r="R58" i="8"/>
  <c r="R59" i="8"/>
  <c r="R60" i="8"/>
  <c r="R61" i="8"/>
  <c r="R62" i="8"/>
  <c r="R63" i="8"/>
  <c r="R64" i="8"/>
  <c r="R65" i="8"/>
  <c r="R66" i="8"/>
  <c r="R67" i="8"/>
  <c r="R68" i="8"/>
  <c r="R69" i="8"/>
  <c r="R70" i="8"/>
  <c r="R71" i="8"/>
  <c r="R72" i="8"/>
  <c r="R73" i="8"/>
  <c r="R74" i="8"/>
  <c r="R75" i="8"/>
  <c r="R76" i="8"/>
  <c r="R77" i="8"/>
  <c r="R78" i="8"/>
  <c r="R79" i="8"/>
  <c r="R80" i="8"/>
  <c r="R81" i="8"/>
  <c r="R82" i="8"/>
  <c r="R83" i="8"/>
  <c r="R84" i="8"/>
  <c r="R85" i="8"/>
  <c r="R86" i="8"/>
  <c r="R87" i="8"/>
  <c r="R88" i="8"/>
  <c r="R89" i="8"/>
  <c r="R90" i="8"/>
  <c r="R91" i="8"/>
  <c r="R92" i="8"/>
  <c r="R93" i="8"/>
  <c r="R94" i="8"/>
  <c r="R95" i="8"/>
  <c r="R96" i="8"/>
  <c r="R97" i="8"/>
  <c r="R98" i="8"/>
  <c r="R99" i="8"/>
  <c r="R100" i="8"/>
  <c r="R101" i="8"/>
  <c r="R102" i="8"/>
  <c r="R103" i="8"/>
  <c r="R104" i="8"/>
  <c r="R105" i="8"/>
  <c r="R106" i="8"/>
  <c r="R107" i="8"/>
  <c r="R108" i="8"/>
  <c r="R109" i="8"/>
  <c r="R110" i="8"/>
  <c r="R111" i="8"/>
  <c r="R112" i="8"/>
  <c r="R113" i="8"/>
  <c r="R114" i="8"/>
  <c r="R115" i="8"/>
  <c r="R116" i="8"/>
  <c r="R117" i="8"/>
  <c r="R118" i="8"/>
  <c r="R119" i="8"/>
  <c r="R120" i="8"/>
  <c r="R121" i="8"/>
  <c r="R122" i="8"/>
  <c r="R123" i="8"/>
  <c r="R124" i="8"/>
  <c r="R125" i="8"/>
  <c r="R126" i="8"/>
  <c r="R127" i="8"/>
  <c r="R128" i="8"/>
  <c r="R129" i="8"/>
  <c r="R130" i="8"/>
  <c r="R131" i="8"/>
  <c r="R132" i="8"/>
  <c r="R133" i="8"/>
  <c r="R134" i="8"/>
  <c r="R135" i="8"/>
  <c r="R136" i="8"/>
  <c r="R137" i="8"/>
  <c r="R138" i="8"/>
  <c r="R139" i="8"/>
  <c r="R140" i="8"/>
  <c r="R141" i="8"/>
  <c r="R142" i="8"/>
  <c r="R143" i="8"/>
  <c r="R144" i="8"/>
  <c r="R145" i="8"/>
  <c r="R146" i="8"/>
  <c r="R147" i="8"/>
  <c r="R148" i="8"/>
  <c r="R149" i="8"/>
  <c r="R150" i="8"/>
  <c r="R151" i="8"/>
  <c r="R152" i="8"/>
  <c r="R153" i="8"/>
  <c r="R154" i="8"/>
  <c r="R155" i="8"/>
  <c r="R156" i="8"/>
  <c r="R157" i="8"/>
  <c r="R158" i="8"/>
  <c r="R159" i="8"/>
  <c r="R160" i="8"/>
  <c r="R161" i="8"/>
  <c r="R162" i="8"/>
  <c r="R163" i="8"/>
  <c r="R164" i="8"/>
  <c r="R165" i="8"/>
  <c r="R166" i="8"/>
  <c r="R167" i="8"/>
  <c r="R168" i="8"/>
  <c r="R169" i="8"/>
  <c r="R170" i="8"/>
  <c r="R171" i="8"/>
  <c r="R172" i="8"/>
  <c r="R173" i="8"/>
  <c r="R174" i="8"/>
  <c r="R175" i="8"/>
  <c r="R176" i="8"/>
  <c r="R177" i="8"/>
  <c r="R178" i="8"/>
  <c r="R179" i="8"/>
  <c r="R180" i="8"/>
  <c r="R181" i="8"/>
  <c r="R182" i="8"/>
  <c r="R183" i="8"/>
  <c r="R184" i="8"/>
  <c r="R185" i="8"/>
  <c r="R186" i="8"/>
  <c r="R187" i="8"/>
  <c r="R188" i="8"/>
  <c r="R189" i="8"/>
  <c r="R190" i="8"/>
  <c r="R191" i="8"/>
  <c r="R192" i="8"/>
  <c r="R193" i="8"/>
  <c r="R194" i="8"/>
  <c r="R195" i="8"/>
  <c r="R196" i="8"/>
  <c r="R197" i="8"/>
  <c r="R198" i="8"/>
  <c r="R199" i="8"/>
  <c r="R200" i="8"/>
  <c r="R201" i="8"/>
  <c r="R202" i="8"/>
  <c r="R203" i="8"/>
  <c r="R204" i="8"/>
  <c r="R205" i="8"/>
  <c r="R206" i="8"/>
  <c r="R207" i="8"/>
  <c r="R208" i="8"/>
  <c r="R209" i="8"/>
  <c r="R210" i="8"/>
  <c r="R211" i="8"/>
  <c r="R212" i="8"/>
  <c r="R213" i="8"/>
  <c r="R214" i="8"/>
  <c r="R215" i="8"/>
  <c r="R216" i="8"/>
  <c r="R217" i="8"/>
  <c r="R218" i="8"/>
  <c r="R219" i="8"/>
  <c r="R220" i="8"/>
  <c r="R221" i="8"/>
  <c r="R222" i="8"/>
  <c r="R223" i="8"/>
  <c r="R224" i="8"/>
  <c r="R225" i="8"/>
  <c r="R226" i="8"/>
  <c r="R227" i="8"/>
  <c r="R228" i="8"/>
  <c r="R229" i="8"/>
  <c r="R230" i="8"/>
  <c r="R231" i="8"/>
  <c r="R232" i="8"/>
  <c r="R233" i="8"/>
  <c r="R234" i="8"/>
  <c r="R235" i="8"/>
  <c r="R236" i="8"/>
  <c r="R237" i="8"/>
  <c r="R238" i="8"/>
  <c r="R239" i="8"/>
  <c r="R240" i="8"/>
  <c r="R241" i="8"/>
  <c r="R242" i="8"/>
  <c r="R243" i="8"/>
  <c r="R244" i="8"/>
  <c r="R245" i="8"/>
  <c r="R246" i="8"/>
  <c r="R247" i="8"/>
  <c r="R248" i="8"/>
  <c r="R249" i="8"/>
  <c r="R250" i="8"/>
  <c r="R251" i="8"/>
  <c r="R252" i="8"/>
  <c r="R253" i="8"/>
  <c r="R254" i="8"/>
  <c r="R255" i="8"/>
  <c r="R256" i="8"/>
  <c r="R257" i="8"/>
  <c r="R258" i="8"/>
  <c r="R259" i="8"/>
  <c r="R260" i="8"/>
  <c r="R261" i="8"/>
  <c r="R262" i="8"/>
  <c r="R263" i="8"/>
  <c r="R264" i="8"/>
  <c r="R265" i="8"/>
  <c r="R266" i="8"/>
  <c r="R267" i="8"/>
  <c r="R268" i="8"/>
  <c r="R269" i="8"/>
  <c r="R270" i="8"/>
  <c r="R271" i="8"/>
  <c r="R272" i="8"/>
  <c r="R273" i="8"/>
  <c r="R274" i="8"/>
  <c r="R275" i="8"/>
  <c r="R276" i="8"/>
  <c r="R277" i="8"/>
  <c r="R278" i="8"/>
  <c r="R279" i="8"/>
  <c r="R280" i="8"/>
  <c r="R281" i="8"/>
  <c r="R282" i="8"/>
  <c r="R283" i="8"/>
  <c r="R284" i="8"/>
  <c r="R285" i="8"/>
  <c r="R286" i="8"/>
  <c r="R287" i="8"/>
  <c r="R288" i="8"/>
  <c r="R289" i="8"/>
  <c r="R290" i="8"/>
  <c r="R291" i="8"/>
  <c r="R292" i="8"/>
  <c r="R293" i="8"/>
  <c r="R294" i="8"/>
  <c r="R295" i="8"/>
  <c r="R296" i="8"/>
  <c r="R297" i="8"/>
  <c r="R298" i="8"/>
  <c r="R299" i="8"/>
  <c r="R300" i="8"/>
  <c r="R301" i="8"/>
  <c r="R302" i="8"/>
  <c r="R303" i="8"/>
  <c r="R304" i="8"/>
  <c r="R305" i="8"/>
  <c r="R306" i="8"/>
  <c r="R307" i="8"/>
  <c r="R308" i="8"/>
  <c r="R309" i="8"/>
  <c r="R310" i="8"/>
  <c r="R311" i="8"/>
  <c r="R312" i="8"/>
  <c r="R313" i="8"/>
  <c r="R314" i="8"/>
  <c r="R315" i="8"/>
  <c r="R316" i="8"/>
  <c r="R317" i="8"/>
  <c r="R318" i="8"/>
  <c r="R319" i="8"/>
  <c r="R320" i="8"/>
  <c r="R321" i="8"/>
  <c r="R322" i="8"/>
  <c r="R323" i="8"/>
  <c r="R324" i="8"/>
  <c r="R325" i="8"/>
  <c r="R326" i="8"/>
  <c r="R327" i="8"/>
  <c r="R328" i="8"/>
  <c r="R329" i="8"/>
  <c r="R330" i="8"/>
  <c r="R331" i="8"/>
  <c r="R332" i="8"/>
  <c r="R333" i="8"/>
  <c r="R334" i="8"/>
  <c r="R335" i="8"/>
  <c r="R336" i="8"/>
  <c r="R337" i="8"/>
  <c r="R338" i="8"/>
  <c r="R339" i="8"/>
  <c r="R340" i="8"/>
  <c r="R341" i="8"/>
  <c r="R342" i="8"/>
  <c r="R343" i="8"/>
  <c r="R344" i="8"/>
  <c r="R345" i="8"/>
  <c r="R346" i="8"/>
  <c r="R347" i="8"/>
  <c r="R348" i="8"/>
  <c r="R349" i="8"/>
  <c r="R350" i="8"/>
  <c r="R351" i="8"/>
  <c r="R352" i="8"/>
  <c r="R353" i="8"/>
  <c r="R354" i="8"/>
  <c r="R355" i="8"/>
  <c r="R356" i="8"/>
  <c r="R357" i="8"/>
  <c r="R358" i="8"/>
  <c r="R359" i="8"/>
  <c r="R360" i="8"/>
  <c r="R361" i="8"/>
  <c r="R362" i="8"/>
  <c r="R363" i="8"/>
  <c r="R364" i="8"/>
  <c r="R365" i="8"/>
  <c r="R366" i="8"/>
  <c r="R367" i="8"/>
  <c r="R368" i="8"/>
  <c r="R369" i="8"/>
  <c r="R370" i="8"/>
  <c r="R371" i="8"/>
  <c r="R372" i="8"/>
  <c r="R373" i="8"/>
  <c r="R374" i="8"/>
  <c r="R375" i="8"/>
  <c r="R376" i="8"/>
  <c r="R377" i="8"/>
  <c r="R378" i="8"/>
  <c r="R379" i="8"/>
  <c r="R380" i="8"/>
  <c r="R381" i="8"/>
  <c r="R382" i="8"/>
  <c r="R383" i="8"/>
  <c r="R384" i="8"/>
  <c r="R385" i="8"/>
  <c r="R386" i="8"/>
  <c r="R387" i="8"/>
  <c r="R388" i="8"/>
  <c r="R389" i="8"/>
  <c r="R390" i="8"/>
  <c r="R391" i="8"/>
  <c r="R392" i="8"/>
  <c r="R393" i="8"/>
  <c r="R394" i="8"/>
  <c r="R395" i="8"/>
  <c r="R396" i="8"/>
  <c r="R397" i="8"/>
  <c r="R398" i="8"/>
  <c r="R399" i="8"/>
  <c r="R400" i="8"/>
  <c r="R401" i="8"/>
  <c r="R402" i="8"/>
  <c r="R403" i="8"/>
  <c r="R404" i="8"/>
  <c r="R405" i="8"/>
  <c r="R406" i="8"/>
  <c r="R407" i="8"/>
  <c r="R408" i="8"/>
  <c r="R409" i="8"/>
  <c r="R410" i="8"/>
  <c r="R411" i="8"/>
  <c r="R412" i="8"/>
  <c r="R413" i="8"/>
  <c r="R414" i="8"/>
  <c r="R415" i="8"/>
  <c r="R416" i="8"/>
  <c r="R417" i="8"/>
  <c r="R418" i="8"/>
  <c r="R419" i="8"/>
  <c r="R420" i="8"/>
  <c r="R421" i="8"/>
  <c r="R422" i="8"/>
  <c r="R423" i="8"/>
  <c r="R424" i="8"/>
  <c r="R425" i="8"/>
  <c r="R426" i="8"/>
  <c r="R427" i="8"/>
  <c r="R428" i="8"/>
  <c r="R429" i="8"/>
  <c r="R430" i="8"/>
  <c r="R431" i="8"/>
  <c r="R432" i="8"/>
  <c r="R433" i="8"/>
  <c r="R434" i="8"/>
  <c r="R435" i="8"/>
  <c r="R436" i="8"/>
  <c r="R437" i="8"/>
  <c r="R438" i="8"/>
  <c r="R439" i="8"/>
  <c r="R440" i="8"/>
  <c r="R441" i="8"/>
  <c r="R442" i="8"/>
  <c r="R443" i="8"/>
  <c r="R444" i="8"/>
  <c r="R445" i="8"/>
  <c r="R446" i="8"/>
  <c r="R447" i="8"/>
  <c r="R448" i="8"/>
  <c r="R449" i="8"/>
  <c r="R450" i="8"/>
  <c r="R451" i="8"/>
  <c r="R452" i="8"/>
  <c r="R453" i="8"/>
  <c r="R454" i="8"/>
  <c r="R455" i="8"/>
  <c r="R456" i="8"/>
  <c r="R457" i="8"/>
  <c r="R458" i="8"/>
  <c r="R459" i="8"/>
  <c r="R460" i="8"/>
  <c r="R461" i="8"/>
  <c r="R462" i="8"/>
  <c r="R463" i="8"/>
  <c r="R464" i="8"/>
  <c r="R465" i="8"/>
  <c r="R466" i="8"/>
  <c r="R467" i="8"/>
  <c r="R468" i="8"/>
  <c r="R469" i="8"/>
  <c r="R470" i="8"/>
  <c r="R471" i="8"/>
  <c r="R472" i="8"/>
  <c r="R473" i="8"/>
  <c r="R474" i="8"/>
  <c r="R475" i="8"/>
  <c r="R476" i="8"/>
  <c r="R477" i="8"/>
  <c r="R478" i="8"/>
  <c r="R479" i="8"/>
  <c r="R480" i="8"/>
  <c r="R481" i="8"/>
  <c r="R482" i="8"/>
  <c r="R483" i="8"/>
  <c r="R484" i="8"/>
  <c r="R485" i="8"/>
  <c r="R486" i="8"/>
  <c r="R487" i="8"/>
  <c r="R488" i="8"/>
  <c r="R489" i="8"/>
  <c r="R490" i="8"/>
  <c r="R491" i="8"/>
  <c r="R492" i="8"/>
  <c r="R493" i="8"/>
  <c r="R494" i="8"/>
  <c r="R495" i="8"/>
  <c r="R496" i="8"/>
  <c r="R497" i="8"/>
  <c r="R498" i="8"/>
  <c r="R499" i="8"/>
  <c r="R500" i="8"/>
  <c r="R501" i="8"/>
  <c r="R502" i="8"/>
  <c r="R503" i="8"/>
  <c r="R504" i="8"/>
  <c r="R505" i="8"/>
  <c r="R6" i="8"/>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P90" i="4"/>
  <c r="P138" i="4"/>
  <c r="P139" i="4"/>
  <c r="P154" i="4"/>
  <c r="P298" i="4"/>
  <c r="P299" i="4"/>
  <c r="P346" i="4"/>
  <c r="P458" i="4"/>
  <c r="P459" i="4"/>
  <c r="O6" i="4"/>
  <c r="P6" i="4" s="1"/>
  <c r="O7" i="4"/>
  <c r="P7" i="4" s="1"/>
  <c r="O8" i="4"/>
  <c r="P8" i="4" s="1"/>
  <c r="O9" i="4"/>
  <c r="P9" i="4" s="1"/>
  <c r="O10" i="4"/>
  <c r="P10" i="4" s="1"/>
  <c r="O11" i="4"/>
  <c r="P11" i="4" s="1"/>
  <c r="O12" i="4"/>
  <c r="P12" i="4" s="1"/>
  <c r="O13" i="4"/>
  <c r="P13" i="4" s="1"/>
  <c r="O14" i="4"/>
  <c r="P14" i="4" s="1"/>
  <c r="O15" i="4"/>
  <c r="P15" i="4" s="1"/>
  <c r="O16" i="4"/>
  <c r="P16" i="4" s="1"/>
  <c r="O17" i="4"/>
  <c r="P17" i="4" s="1"/>
  <c r="O18" i="4"/>
  <c r="P18" i="4" s="1"/>
  <c r="O19" i="4"/>
  <c r="P19" i="4" s="1"/>
  <c r="O20" i="4"/>
  <c r="P20" i="4" s="1"/>
  <c r="O21" i="4"/>
  <c r="P21" i="4" s="1"/>
  <c r="O22" i="4"/>
  <c r="P22" i="4" s="1"/>
  <c r="O23" i="4"/>
  <c r="P23" i="4" s="1"/>
  <c r="O24" i="4"/>
  <c r="P24" i="4" s="1"/>
  <c r="O25" i="4"/>
  <c r="P25" i="4" s="1"/>
  <c r="O26" i="4"/>
  <c r="P26" i="4" s="1"/>
  <c r="O27" i="4"/>
  <c r="P27" i="4" s="1"/>
  <c r="O28" i="4"/>
  <c r="P28" i="4" s="1"/>
  <c r="O29" i="4"/>
  <c r="P29" i="4" s="1"/>
  <c r="O30" i="4"/>
  <c r="P30" i="4" s="1"/>
  <c r="O31" i="4"/>
  <c r="P31" i="4" s="1"/>
  <c r="O32" i="4"/>
  <c r="P32" i="4" s="1"/>
  <c r="O33" i="4"/>
  <c r="P33" i="4" s="1"/>
  <c r="O34" i="4"/>
  <c r="P34" i="4" s="1"/>
  <c r="O35" i="4"/>
  <c r="P35" i="4" s="1"/>
  <c r="O36" i="4"/>
  <c r="P36" i="4" s="1"/>
  <c r="O37" i="4"/>
  <c r="P37" i="4" s="1"/>
  <c r="O38" i="4"/>
  <c r="P38" i="4" s="1"/>
  <c r="O39" i="4"/>
  <c r="P39" i="4" s="1"/>
  <c r="O40" i="4"/>
  <c r="P40" i="4" s="1"/>
  <c r="O41" i="4"/>
  <c r="P41" i="4" s="1"/>
  <c r="O42" i="4"/>
  <c r="P42" i="4" s="1"/>
  <c r="O43" i="4"/>
  <c r="P43" i="4" s="1"/>
  <c r="O44" i="4"/>
  <c r="P44" i="4" s="1"/>
  <c r="O45" i="4"/>
  <c r="P45" i="4" s="1"/>
  <c r="O46" i="4"/>
  <c r="P46" i="4" s="1"/>
  <c r="O47" i="4"/>
  <c r="P47" i="4" s="1"/>
  <c r="O48" i="4"/>
  <c r="P48" i="4" s="1"/>
  <c r="O49" i="4"/>
  <c r="P49" i="4" s="1"/>
  <c r="O50" i="4"/>
  <c r="P50" i="4" s="1"/>
  <c r="O51" i="4"/>
  <c r="P51" i="4" s="1"/>
  <c r="O52" i="4"/>
  <c r="P52" i="4" s="1"/>
  <c r="O53" i="4"/>
  <c r="P53" i="4" s="1"/>
  <c r="O54" i="4"/>
  <c r="P54" i="4" s="1"/>
  <c r="O55" i="4"/>
  <c r="P55" i="4" s="1"/>
  <c r="O56" i="4"/>
  <c r="P56" i="4" s="1"/>
  <c r="O57" i="4"/>
  <c r="P57" i="4" s="1"/>
  <c r="O58" i="4"/>
  <c r="P58" i="4" s="1"/>
  <c r="O59" i="4"/>
  <c r="P59" i="4" s="1"/>
  <c r="O60" i="4"/>
  <c r="P60" i="4" s="1"/>
  <c r="O61" i="4"/>
  <c r="P61" i="4" s="1"/>
  <c r="O62" i="4"/>
  <c r="P62" i="4" s="1"/>
  <c r="O63" i="4"/>
  <c r="P63" i="4" s="1"/>
  <c r="O64" i="4"/>
  <c r="P64" i="4" s="1"/>
  <c r="O65" i="4"/>
  <c r="P65" i="4" s="1"/>
  <c r="O66" i="4"/>
  <c r="P66" i="4" s="1"/>
  <c r="O67" i="4"/>
  <c r="P67" i="4" s="1"/>
  <c r="O68" i="4"/>
  <c r="P68" i="4" s="1"/>
  <c r="O69" i="4"/>
  <c r="P69" i="4" s="1"/>
  <c r="O70" i="4"/>
  <c r="P70" i="4" s="1"/>
  <c r="O71" i="4"/>
  <c r="P71" i="4" s="1"/>
  <c r="O72" i="4"/>
  <c r="P72" i="4" s="1"/>
  <c r="O73" i="4"/>
  <c r="P73" i="4" s="1"/>
  <c r="O74" i="4"/>
  <c r="P74" i="4" s="1"/>
  <c r="O75" i="4"/>
  <c r="P75" i="4" s="1"/>
  <c r="O76" i="4"/>
  <c r="P76" i="4" s="1"/>
  <c r="O77" i="4"/>
  <c r="P77" i="4" s="1"/>
  <c r="O78" i="4"/>
  <c r="P78" i="4" s="1"/>
  <c r="O79" i="4"/>
  <c r="P79" i="4" s="1"/>
  <c r="O80" i="4"/>
  <c r="P80" i="4" s="1"/>
  <c r="O81" i="4"/>
  <c r="P81" i="4" s="1"/>
  <c r="O82" i="4"/>
  <c r="P82" i="4" s="1"/>
  <c r="O83" i="4"/>
  <c r="P83" i="4" s="1"/>
  <c r="O84" i="4"/>
  <c r="P84" i="4" s="1"/>
  <c r="O85" i="4"/>
  <c r="P85" i="4" s="1"/>
  <c r="O86" i="4"/>
  <c r="P86" i="4" s="1"/>
  <c r="O87" i="4"/>
  <c r="P87" i="4" s="1"/>
  <c r="O88" i="4"/>
  <c r="P88" i="4" s="1"/>
  <c r="O89" i="4"/>
  <c r="P89" i="4" s="1"/>
  <c r="O90" i="4"/>
  <c r="O91" i="4"/>
  <c r="P91" i="4" s="1"/>
  <c r="O92" i="4"/>
  <c r="P92" i="4" s="1"/>
  <c r="O93" i="4"/>
  <c r="P93" i="4" s="1"/>
  <c r="O94" i="4"/>
  <c r="P94" i="4" s="1"/>
  <c r="O95" i="4"/>
  <c r="P95" i="4" s="1"/>
  <c r="O96" i="4"/>
  <c r="P96" i="4" s="1"/>
  <c r="O97" i="4"/>
  <c r="P97" i="4" s="1"/>
  <c r="O98" i="4"/>
  <c r="P98" i="4" s="1"/>
  <c r="O99" i="4"/>
  <c r="P99" i="4" s="1"/>
  <c r="O100" i="4"/>
  <c r="P100" i="4" s="1"/>
  <c r="O101" i="4"/>
  <c r="P101" i="4" s="1"/>
  <c r="O102" i="4"/>
  <c r="P102" i="4" s="1"/>
  <c r="O103" i="4"/>
  <c r="P103" i="4" s="1"/>
  <c r="O104" i="4"/>
  <c r="P104" i="4" s="1"/>
  <c r="O105" i="4"/>
  <c r="P105" i="4" s="1"/>
  <c r="O106" i="4"/>
  <c r="P106" i="4" s="1"/>
  <c r="O107" i="4"/>
  <c r="P107" i="4" s="1"/>
  <c r="O108" i="4"/>
  <c r="P108" i="4" s="1"/>
  <c r="O109" i="4"/>
  <c r="P109" i="4" s="1"/>
  <c r="O110" i="4"/>
  <c r="P110" i="4" s="1"/>
  <c r="O111" i="4"/>
  <c r="P111" i="4" s="1"/>
  <c r="O112" i="4"/>
  <c r="P112" i="4" s="1"/>
  <c r="O113" i="4"/>
  <c r="P113" i="4" s="1"/>
  <c r="O114" i="4"/>
  <c r="P114" i="4" s="1"/>
  <c r="O115" i="4"/>
  <c r="P115" i="4" s="1"/>
  <c r="O116" i="4"/>
  <c r="P116" i="4" s="1"/>
  <c r="O117" i="4"/>
  <c r="P117" i="4" s="1"/>
  <c r="O118" i="4"/>
  <c r="P118" i="4" s="1"/>
  <c r="O119" i="4"/>
  <c r="P119" i="4" s="1"/>
  <c r="O120" i="4"/>
  <c r="P120" i="4" s="1"/>
  <c r="O121" i="4"/>
  <c r="P121" i="4" s="1"/>
  <c r="O122" i="4"/>
  <c r="P122" i="4" s="1"/>
  <c r="O123" i="4"/>
  <c r="P123" i="4" s="1"/>
  <c r="O124" i="4"/>
  <c r="P124" i="4" s="1"/>
  <c r="O125" i="4"/>
  <c r="P125" i="4" s="1"/>
  <c r="O126" i="4"/>
  <c r="P126" i="4" s="1"/>
  <c r="O127" i="4"/>
  <c r="P127" i="4" s="1"/>
  <c r="O128" i="4"/>
  <c r="P128" i="4" s="1"/>
  <c r="O129" i="4"/>
  <c r="P129" i="4" s="1"/>
  <c r="O130" i="4"/>
  <c r="P130" i="4" s="1"/>
  <c r="O131" i="4"/>
  <c r="P131" i="4" s="1"/>
  <c r="O132" i="4"/>
  <c r="P132" i="4" s="1"/>
  <c r="O133" i="4"/>
  <c r="P133" i="4" s="1"/>
  <c r="O134" i="4"/>
  <c r="P134" i="4" s="1"/>
  <c r="O135" i="4"/>
  <c r="P135" i="4" s="1"/>
  <c r="O136" i="4"/>
  <c r="P136" i="4" s="1"/>
  <c r="O137" i="4"/>
  <c r="P137" i="4" s="1"/>
  <c r="O138" i="4"/>
  <c r="O139" i="4"/>
  <c r="O140" i="4"/>
  <c r="P140" i="4" s="1"/>
  <c r="O141" i="4"/>
  <c r="P141" i="4" s="1"/>
  <c r="O142" i="4"/>
  <c r="P142" i="4" s="1"/>
  <c r="O143" i="4"/>
  <c r="P143" i="4" s="1"/>
  <c r="O144" i="4"/>
  <c r="P144" i="4" s="1"/>
  <c r="O145" i="4"/>
  <c r="P145" i="4" s="1"/>
  <c r="O146" i="4"/>
  <c r="P146" i="4" s="1"/>
  <c r="O147" i="4"/>
  <c r="P147" i="4" s="1"/>
  <c r="O148" i="4"/>
  <c r="P148" i="4" s="1"/>
  <c r="O149" i="4"/>
  <c r="P149" i="4" s="1"/>
  <c r="O150" i="4"/>
  <c r="P150" i="4" s="1"/>
  <c r="O151" i="4"/>
  <c r="P151" i="4" s="1"/>
  <c r="O152" i="4"/>
  <c r="P152" i="4" s="1"/>
  <c r="O153" i="4"/>
  <c r="P153" i="4" s="1"/>
  <c r="O154" i="4"/>
  <c r="O155" i="4"/>
  <c r="P155" i="4" s="1"/>
  <c r="O156" i="4"/>
  <c r="P156" i="4" s="1"/>
  <c r="O157" i="4"/>
  <c r="P157" i="4" s="1"/>
  <c r="O158" i="4"/>
  <c r="P158" i="4" s="1"/>
  <c r="O159" i="4"/>
  <c r="P159" i="4" s="1"/>
  <c r="O160" i="4"/>
  <c r="P160" i="4" s="1"/>
  <c r="O161" i="4"/>
  <c r="P161" i="4" s="1"/>
  <c r="O162" i="4"/>
  <c r="P162" i="4" s="1"/>
  <c r="O163" i="4"/>
  <c r="P163" i="4" s="1"/>
  <c r="O164" i="4"/>
  <c r="P164" i="4" s="1"/>
  <c r="O165" i="4"/>
  <c r="P165" i="4" s="1"/>
  <c r="O166" i="4"/>
  <c r="P166" i="4" s="1"/>
  <c r="O167" i="4"/>
  <c r="P167" i="4" s="1"/>
  <c r="O168" i="4"/>
  <c r="P168" i="4" s="1"/>
  <c r="O169" i="4"/>
  <c r="P169" i="4" s="1"/>
  <c r="O170" i="4"/>
  <c r="P170" i="4" s="1"/>
  <c r="O171" i="4"/>
  <c r="P171" i="4" s="1"/>
  <c r="O172" i="4"/>
  <c r="P172" i="4" s="1"/>
  <c r="O173" i="4"/>
  <c r="P173" i="4" s="1"/>
  <c r="O174" i="4"/>
  <c r="P174" i="4" s="1"/>
  <c r="O175" i="4"/>
  <c r="P175" i="4" s="1"/>
  <c r="O176" i="4"/>
  <c r="P176" i="4" s="1"/>
  <c r="O177" i="4"/>
  <c r="P177" i="4" s="1"/>
  <c r="O178" i="4"/>
  <c r="P178" i="4" s="1"/>
  <c r="O179" i="4"/>
  <c r="P179" i="4" s="1"/>
  <c r="O180" i="4"/>
  <c r="P180" i="4" s="1"/>
  <c r="O181" i="4"/>
  <c r="P181" i="4" s="1"/>
  <c r="O182" i="4"/>
  <c r="P182" i="4" s="1"/>
  <c r="O183" i="4"/>
  <c r="P183" i="4" s="1"/>
  <c r="O184" i="4"/>
  <c r="P184" i="4" s="1"/>
  <c r="O185" i="4"/>
  <c r="P185" i="4" s="1"/>
  <c r="O186" i="4"/>
  <c r="P186" i="4" s="1"/>
  <c r="O187" i="4"/>
  <c r="P187" i="4" s="1"/>
  <c r="O188" i="4"/>
  <c r="P188" i="4" s="1"/>
  <c r="O189" i="4"/>
  <c r="P189" i="4" s="1"/>
  <c r="O190" i="4"/>
  <c r="P190" i="4" s="1"/>
  <c r="O191" i="4"/>
  <c r="P191" i="4" s="1"/>
  <c r="O192" i="4"/>
  <c r="P192" i="4" s="1"/>
  <c r="O193" i="4"/>
  <c r="P193" i="4" s="1"/>
  <c r="O194" i="4"/>
  <c r="P194" i="4" s="1"/>
  <c r="O195" i="4"/>
  <c r="P195" i="4" s="1"/>
  <c r="O196" i="4"/>
  <c r="P196" i="4" s="1"/>
  <c r="O197" i="4"/>
  <c r="P197" i="4" s="1"/>
  <c r="O198" i="4"/>
  <c r="P198" i="4" s="1"/>
  <c r="O199" i="4"/>
  <c r="P199" i="4" s="1"/>
  <c r="O200" i="4"/>
  <c r="P200" i="4" s="1"/>
  <c r="O201" i="4"/>
  <c r="P201" i="4" s="1"/>
  <c r="O202" i="4"/>
  <c r="P202" i="4" s="1"/>
  <c r="O203" i="4"/>
  <c r="P203" i="4" s="1"/>
  <c r="O204" i="4"/>
  <c r="P204" i="4" s="1"/>
  <c r="O205" i="4"/>
  <c r="P205" i="4" s="1"/>
  <c r="O206" i="4"/>
  <c r="P206" i="4" s="1"/>
  <c r="O207" i="4"/>
  <c r="P207" i="4" s="1"/>
  <c r="O208" i="4"/>
  <c r="P208" i="4" s="1"/>
  <c r="O209" i="4"/>
  <c r="P209" i="4" s="1"/>
  <c r="O210" i="4"/>
  <c r="P210" i="4" s="1"/>
  <c r="O211" i="4"/>
  <c r="P211" i="4" s="1"/>
  <c r="O212" i="4"/>
  <c r="P212" i="4" s="1"/>
  <c r="O213" i="4"/>
  <c r="P213" i="4" s="1"/>
  <c r="O214" i="4"/>
  <c r="P214" i="4" s="1"/>
  <c r="O215" i="4"/>
  <c r="P215" i="4" s="1"/>
  <c r="O216" i="4"/>
  <c r="P216" i="4" s="1"/>
  <c r="O217" i="4"/>
  <c r="P217" i="4" s="1"/>
  <c r="O218" i="4"/>
  <c r="P218" i="4" s="1"/>
  <c r="O219" i="4"/>
  <c r="P219" i="4" s="1"/>
  <c r="O220" i="4"/>
  <c r="P220" i="4" s="1"/>
  <c r="O221" i="4"/>
  <c r="P221" i="4" s="1"/>
  <c r="O222" i="4"/>
  <c r="P222" i="4" s="1"/>
  <c r="O223" i="4"/>
  <c r="P223" i="4" s="1"/>
  <c r="O224" i="4"/>
  <c r="P224" i="4" s="1"/>
  <c r="O225" i="4"/>
  <c r="P225" i="4" s="1"/>
  <c r="O226" i="4"/>
  <c r="P226" i="4" s="1"/>
  <c r="O227" i="4"/>
  <c r="P227" i="4" s="1"/>
  <c r="O228" i="4"/>
  <c r="P228" i="4" s="1"/>
  <c r="O229" i="4"/>
  <c r="P229" i="4" s="1"/>
  <c r="O230" i="4"/>
  <c r="P230" i="4" s="1"/>
  <c r="O231" i="4"/>
  <c r="P231" i="4" s="1"/>
  <c r="O232" i="4"/>
  <c r="P232" i="4" s="1"/>
  <c r="O233" i="4"/>
  <c r="P233" i="4" s="1"/>
  <c r="O234" i="4"/>
  <c r="P234" i="4" s="1"/>
  <c r="O235" i="4"/>
  <c r="P235" i="4" s="1"/>
  <c r="O236" i="4"/>
  <c r="P236" i="4" s="1"/>
  <c r="O237" i="4"/>
  <c r="P237" i="4" s="1"/>
  <c r="O238" i="4"/>
  <c r="P238" i="4" s="1"/>
  <c r="O239" i="4"/>
  <c r="P239" i="4" s="1"/>
  <c r="O240" i="4"/>
  <c r="P240" i="4" s="1"/>
  <c r="O241" i="4"/>
  <c r="P241" i="4" s="1"/>
  <c r="O242" i="4"/>
  <c r="P242" i="4" s="1"/>
  <c r="O243" i="4"/>
  <c r="P243" i="4" s="1"/>
  <c r="O244" i="4"/>
  <c r="P244" i="4" s="1"/>
  <c r="O245" i="4"/>
  <c r="P245" i="4" s="1"/>
  <c r="O246" i="4"/>
  <c r="P246" i="4" s="1"/>
  <c r="O247" i="4"/>
  <c r="P247" i="4" s="1"/>
  <c r="O248" i="4"/>
  <c r="P248" i="4" s="1"/>
  <c r="O249" i="4"/>
  <c r="P249" i="4" s="1"/>
  <c r="O250" i="4"/>
  <c r="P250" i="4" s="1"/>
  <c r="O251" i="4"/>
  <c r="P251" i="4" s="1"/>
  <c r="O252" i="4"/>
  <c r="P252" i="4" s="1"/>
  <c r="O253" i="4"/>
  <c r="P253" i="4" s="1"/>
  <c r="O254" i="4"/>
  <c r="P254" i="4" s="1"/>
  <c r="O255" i="4"/>
  <c r="P255" i="4" s="1"/>
  <c r="O256" i="4"/>
  <c r="P256" i="4" s="1"/>
  <c r="O257" i="4"/>
  <c r="P257" i="4" s="1"/>
  <c r="O258" i="4"/>
  <c r="P258" i="4" s="1"/>
  <c r="O259" i="4"/>
  <c r="P259" i="4" s="1"/>
  <c r="O260" i="4"/>
  <c r="P260" i="4" s="1"/>
  <c r="O261" i="4"/>
  <c r="P261" i="4" s="1"/>
  <c r="O262" i="4"/>
  <c r="P262" i="4" s="1"/>
  <c r="O263" i="4"/>
  <c r="P263" i="4" s="1"/>
  <c r="O264" i="4"/>
  <c r="P264" i="4" s="1"/>
  <c r="O265" i="4"/>
  <c r="P265" i="4" s="1"/>
  <c r="O266" i="4"/>
  <c r="P266" i="4" s="1"/>
  <c r="O267" i="4"/>
  <c r="P267" i="4" s="1"/>
  <c r="O268" i="4"/>
  <c r="P268" i="4" s="1"/>
  <c r="O269" i="4"/>
  <c r="P269" i="4" s="1"/>
  <c r="O270" i="4"/>
  <c r="P270" i="4" s="1"/>
  <c r="O271" i="4"/>
  <c r="P271" i="4" s="1"/>
  <c r="O272" i="4"/>
  <c r="P272" i="4" s="1"/>
  <c r="O273" i="4"/>
  <c r="P273" i="4" s="1"/>
  <c r="O274" i="4"/>
  <c r="P274" i="4" s="1"/>
  <c r="O275" i="4"/>
  <c r="P275" i="4" s="1"/>
  <c r="O276" i="4"/>
  <c r="P276" i="4" s="1"/>
  <c r="O277" i="4"/>
  <c r="P277" i="4" s="1"/>
  <c r="O278" i="4"/>
  <c r="P278" i="4" s="1"/>
  <c r="O279" i="4"/>
  <c r="P279" i="4" s="1"/>
  <c r="O280" i="4"/>
  <c r="P280" i="4" s="1"/>
  <c r="O281" i="4"/>
  <c r="P281" i="4" s="1"/>
  <c r="O282" i="4"/>
  <c r="P282" i="4" s="1"/>
  <c r="O283" i="4"/>
  <c r="P283" i="4" s="1"/>
  <c r="O284" i="4"/>
  <c r="P284" i="4" s="1"/>
  <c r="O285" i="4"/>
  <c r="P285" i="4" s="1"/>
  <c r="O286" i="4"/>
  <c r="P286" i="4" s="1"/>
  <c r="O287" i="4"/>
  <c r="P287" i="4" s="1"/>
  <c r="O288" i="4"/>
  <c r="P288" i="4" s="1"/>
  <c r="O289" i="4"/>
  <c r="P289" i="4" s="1"/>
  <c r="O290" i="4"/>
  <c r="P290" i="4" s="1"/>
  <c r="O291" i="4"/>
  <c r="P291" i="4" s="1"/>
  <c r="O292" i="4"/>
  <c r="P292" i="4" s="1"/>
  <c r="O293" i="4"/>
  <c r="P293" i="4" s="1"/>
  <c r="O294" i="4"/>
  <c r="P294" i="4" s="1"/>
  <c r="O295" i="4"/>
  <c r="P295" i="4" s="1"/>
  <c r="O296" i="4"/>
  <c r="P296" i="4" s="1"/>
  <c r="O297" i="4"/>
  <c r="P297" i="4" s="1"/>
  <c r="O298" i="4"/>
  <c r="O299" i="4"/>
  <c r="O300" i="4"/>
  <c r="P300" i="4" s="1"/>
  <c r="O301" i="4"/>
  <c r="P301" i="4" s="1"/>
  <c r="O302" i="4"/>
  <c r="P302" i="4" s="1"/>
  <c r="O303" i="4"/>
  <c r="P303" i="4" s="1"/>
  <c r="O304" i="4"/>
  <c r="P304" i="4" s="1"/>
  <c r="O305" i="4"/>
  <c r="P305" i="4" s="1"/>
  <c r="O306" i="4"/>
  <c r="P306" i="4" s="1"/>
  <c r="O307" i="4"/>
  <c r="P307" i="4" s="1"/>
  <c r="O308" i="4"/>
  <c r="P308" i="4" s="1"/>
  <c r="O309" i="4"/>
  <c r="P309" i="4" s="1"/>
  <c r="O310" i="4"/>
  <c r="P310" i="4" s="1"/>
  <c r="O311" i="4"/>
  <c r="P311" i="4" s="1"/>
  <c r="O312" i="4"/>
  <c r="P312" i="4" s="1"/>
  <c r="O313" i="4"/>
  <c r="P313" i="4" s="1"/>
  <c r="O314" i="4"/>
  <c r="P314" i="4" s="1"/>
  <c r="O315" i="4"/>
  <c r="P315" i="4" s="1"/>
  <c r="O316" i="4"/>
  <c r="P316" i="4" s="1"/>
  <c r="O317" i="4"/>
  <c r="P317" i="4" s="1"/>
  <c r="O318" i="4"/>
  <c r="P318" i="4" s="1"/>
  <c r="O319" i="4"/>
  <c r="P319" i="4" s="1"/>
  <c r="O320" i="4"/>
  <c r="P320" i="4" s="1"/>
  <c r="O321" i="4"/>
  <c r="P321" i="4" s="1"/>
  <c r="O322" i="4"/>
  <c r="P322" i="4" s="1"/>
  <c r="O323" i="4"/>
  <c r="P323" i="4" s="1"/>
  <c r="O324" i="4"/>
  <c r="P324" i="4" s="1"/>
  <c r="O325" i="4"/>
  <c r="P325" i="4" s="1"/>
  <c r="O326" i="4"/>
  <c r="P326" i="4" s="1"/>
  <c r="O327" i="4"/>
  <c r="P327" i="4" s="1"/>
  <c r="O328" i="4"/>
  <c r="P328" i="4" s="1"/>
  <c r="O329" i="4"/>
  <c r="P329" i="4" s="1"/>
  <c r="O330" i="4"/>
  <c r="P330" i="4" s="1"/>
  <c r="O331" i="4"/>
  <c r="P331" i="4" s="1"/>
  <c r="O332" i="4"/>
  <c r="P332" i="4" s="1"/>
  <c r="O333" i="4"/>
  <c r="P333" i="4" s="1"/>
  <c r="O334" i="4"/>
  <c r="P334" i="4" s="1"/>
  <c r="O335" i="4"/>
  <c r="P335" i="4" s="1"/>
  <c r="O336" i="4"/>
  <c r="P336" i="4" s="1"/>
  <c r="O337" i="4"/>
  <c r="P337" i="4" s="1"/>
  <c r="O338" i="4"/>
  <c r="P338" i="4" s="1"/>
  <c r="O339" i="4"/>
  <c r="P339" i="4" s="1"/>
  <c r="O340" i="4"/>
  <c r="P340" i="4" s="1"/>
  <c r="O341" i="4"/>
  <c r="P341" i="4" s="1"/>
  <c r="O342" i="4"/>
  <c r="P342" i="4" s="1"/>
  <c r="O343" i="4"/>
  <c r="P343" i="4" s="1"/>
  <c r="O344" i="4"/>
  <c r="P344" i="4" s="1"/>
  <c r="O345" i="4"/>
  <c r="P345" i="4" s="1"/>
  <c r="O346" i="4"/>
  <c r="O347" i="4"/>
  <c r="P347" i="4" s="1"/>
  <c r="O348" i="4"/>
  <c r="P348" i="4" s="1"/>
  <c r="O349" i="4"/>
  <c r="P349" i="4" s="1"/>
  <c r="O350" i="4"/>
  <c r="P350" i="4" s="1"/>
  <c r="O351" i="4"/>
  <c r="P351" i="4" s="1"/>
  <c r="O352" i="4"/>
  <c r="P352" i="4" s="1"/>
  <c r="O353" i="4"/>
  <c r="P353" i="4" s="1"/>
  <c r="O354" i="4"/>
  <c r="P354" i="4" s="1"/>
  <c r="O355" i="4"/>
  <c r="P355" i="4" s="1"/>
  <c r="O356" i="4"/>
  <c r="P356" i="4" s="1"/>
  <c r="O357" i="4"/>
  <c r="P357" i="4" s="1"/>
  <c r="O358" i="4"/>
  <c r="P358" i="4" s="1"/>
  <c r="O359" i="4"/>
  <c r="P359" i="4" s="1"/>
  <c r="O360" i="4"/>
  <c r="P360" i="4" s="1"/>
  <c r="O361" i="4"/>
  <c r="P361" i="4" s="1"/>
  <c r="O362" i="4"/>
  <c r="P362" i="4" s="1"/>
  <c r="O363" i="4"/>
  <c r="P363" i="4" s="1"/>
  <c r="O364" i="4"/>
  <c r="P364" i="4" s="1"/>
  <c r="O365" i="4"/>
  <c r="P365" i="4" s="1"/>
  <c r="O366" i="4"/>
  <c r="P366" i="4" s="1"/>
  <c r="O367" i="4"/>
  <c r="P367" i="4" s="1"/>
  <c r="O368" i="4"/>
  <c r="P368" i="4" s="1"/>
  <c r="O369" i="4"/>
  <c r="P369" i="4" s="1"/>
  <c r="O370" i="4"/>
  <c r="P370" i="4" s="1"/>
  <c r="O371" i="4"/>
  <c r="P371" i="4" s="1"/>
  <c r="O372" i="4"/>
  <c r="P372" i="4" s="1"/>
  <c r="O373" i="4"/>
  <c r="P373" i="4" s="1"/>
  <c r="O374" i="4"/>
  <c r="P374" i="4" s="1"/>
  <c r="O375" i="4"/>
  <c r="P375" i="4" s="1"/>
  <c r="O376" i="4"/>
  <c r="P376" i="4" s="1"/>
  <c r="O377" i="4"/>
  <c r="P377" i="4" s="1"/>
  <c r="O378" i="4"/>
  <c r="P378" i="4" s="1"/>
  <c r="O379" i="4"/>
  <c r="P379" i="4" s="1"/>
  <c r="O380" i="4"/>
  <c r="P380" i="4" s="1"/>
  <c r="O381" i="4"/>
  <c r="P381" i="4" s="1"/>
  <c r="O382" i="4"/>
  <c r="P382" i="4" s="1"/>
  <c r="O383" i="4"/>
  <c r="P383" i="4" s="1"/>
  <c r="O384" i="4"/>
  <c r="P384" i="4" s="1"/>
  <c r="O385" i="4"/>
  <c r="P385" i="4" s="1"/>
  <c r="O386" i="4"/>
  <c r="P386" i="4" s="1"/>
  <c r="O387" i="4"/>
  <c r="P387" i="4" s="1"/>
  <c r="O388" i="4"/>
  <c r="P388" i="4" s="1"/>
  <c r="O389" i="4"/>
  <c r="P389" i="4" s="1"/>
  <c r="O390" i="4"/>
  <c r="P390" i="4" s="1"/>
  <c r="O391" i="4"/>
  <c r="P391" i="4" s="1"/>
  <c r="O392" i="4"/>
  <c r="P392" i="4" s="1"/>
  <c r="O393" i="4"/>
  <c r="P393" i="4" s="1"/>
  <c r="O394" i="4"/>
  <c r="P394" i="4" s="1"/>
  <c r="O395" i="4"/>
  <c r="P395" i="4" s="1"/>
  <c r="O396" i="4"/>
  <c r="P396" i="4" s="1"/>
  <c r="O397" i="4"/>
  <c r="P397" i="4" s="1"/>
  <c r="O398" i="4"/>
  <c r="P398" i="4" s="1"/>
  <c r="O399" i="4"/>
  <c r="P399" i="4" s="1"/>
  <c r="O400" i="4"/>
  <c r="P400" i="4" s="1"/>
  <c r="O401" i="4"/>
  <c r="P401" i="4" s="1"/>
  <c r="O402" i="4"/>
  <c r="P402" i="4" s="1"/>
  <c r="O403" i="4"/>
  <c r="P403" i="4" s="1"/>
  <c r="O404" i="4"/>
  <c r="P404" i="4" s="1"/>
  <c r="O405" i="4"/>
  <c r="P405" i="4" s="1"/>
  <c r="O406" i="4"/>
  <c r="P406" i="4" s="1"/>
  <c r="O407" i="4"/>
  <c r="P407" i="4" s="1"/>
  <c r="O408" i="4"/>
  <c r="P408" i="4" s="1"/>
  <c r="O409" i="4"/>
  <c r="P409" i="4" s="1"/>
  <c r="O410" i="4"/>
  <c r="P410" i="4" s="1"/>
  <c r="O411" i="4"/>
  <c r="P411" i="4" s="1"/>
  <c r="O412" i="4"/>
  <c r="P412" i="4" s="1"/>
  <c r="O413" i="4"/>
  <c r="P413" i="4" s="1"/>
  <c r="O414" i="4"/>
  <c r="P414" i="4" s="1"/>
  <c r="O415" i="4"/>
  <c r="P415" i="4" s="1"/>
  <c r="O416" i="4"/>
  <c r="P416" i="4" s="1"/>
  <c r="O417" i="4"/>
  <c r="P417" i="4" s="1"/>
  <c r="O418" i="4"/>
  <c r="P418" i="4" s="1"/>
  <c r="O419" i="4"/>
  <c r="P419" i="4" s="1"/>
  <c r="O420" i="4"/>
  <c r="P420" i="4" s="1"/>
  <c r="O421" i="4"/>
  <c r="P421" i="4" s="1"/>
  <c r="O422" i="4"/>
  <c r="P422" i="4" s="1"/>
  <c r="O423" i="4"/>
  <c r="P423" i="4" s="1"/>
  <c r="O424" i="4"/>
  <c r="P424" i="4" s="1"/>
  <c r="O425" i="4"/>
  <c r="P425" i="4" s="1"/>
  <c r="O426" i="4"/>
  <c r="P426" i="4" s="1"/>
  <c r="O427" i="4"/>
  <c r="P427" i="4" s="1"/>
  <c r="O428" i="4"/>
  <c r="P428" i="4" s="1"/>
  <c r="O429" i="4"/>
  <c r="P429" i="4" s="1"/>
  <c r="O430" i="4"/>
  <c r="P430" i="4" s="1"/>
  <c r="O431" i="4"/>
  <c r="P431" i="4" s="1"/>
  <c r="O432" i="4"/>
  <c r="P432" i="4" s="1"/>
  <c r="O433" i="4"/>
  <c r="P433" i="4" s="1"/>
  <c r="O434" i="4"/>
  <c r="P434" i="4" s="1"/>
  <c r="O435" i="4"/>
  <c r="P435" i="4" s="1"/>
  <c r="O436" i="4"/>
  <c r="P436" i="4" s="1"/>
  <c r="O437" i="4"/>
  <c r="P437" i="4" s="1"/>
  <c r="O438" i="4"/>
  <c r="P438" i="4" s="1"/>
  <c r="O439" i="4"/>
  <c r="P439" i="4" s="1"/>
  <c r="O440" i="4"/>
  <c r="P440" i="4" s="1"/>
  <c r="O441" i="4"/>
  <c r="P441" i="4" s="1"/>
  <c r="O442" i="4"/>
  <c r="P442" i="4" s="1"/>
  <c r="O443" i="4"/>
  <c r="P443" i="4" s="1"/>
  <c r="O444" i="4"/>
  <c r="P444" i="4" s="1"/>
  <c r="O445" i="4"/>
  <c r="P445" i="4" s="1"/>
  <c r="O446" i="4"/>
  <c r="P446" i="4" s="1"/>
  <c r="O447" i="4"/>
  <c r="P447" i="4" s="1"/>
  <c r="O448" i="4"/>
  <c r="P448" i="4" s="1"/>
  <c r="O449" i="4"/>
  <c r="P449" i="4" s="1"/>
  <c r="O450" i="4"/>
  <c r="P450" i="4" s="1"/>
  <c r="O451" i="4"/>
  <c r="P451" i="4" s="1"/>
  <c r="O452" i="4"/>
  <c r="P452" i="4" s="1"/>
  <c r="O453" i="4"/>
  <c r="P453" i="4" s="1"/>
  <c r="O454" i="4"/>
  <c r="P454" i="4" s="1"/>
  <c r="O455" i="4"/>
  <c r="P455" i="4" s="1"/>
  <c r="O456" i="4"/>
  <c r="P456" i="4" s="1"/>
  <c r="O457" i="4"/>
  <c r="P457" i="4" s="1"/>
  <c r="O458" i="4"/>
  <c r="O459" i="4"/>
  <c r="O460" i="4"/>
  <c r="P460" i="4" s="1"/>
  <c r="O461" i="4"/>
  <c r="P461" i="4" s="1"/>
  <c r="O462" i="4"/>
  <c r="P462" i="4" s="1"/>
  <c r="O463" i="4"/>
  <c r="P463" i="4" s="1"/>
  <c r="O464" i="4"/>
  <c r="P464" i="4" s="1"/>
  <c r="O465" i="4"/>
  <c r="P465" i="4" s="1"/>
  <c r="O466" i="4"/>
  <c r="P466" i="4" s="1"/>
  <c r="O467" i="4"/>
  <c r="P467" i="4" s="1"/>
  <c r="O468" i="4"/>
  <c r="P468" i="4" s="1"/>
  <c r="O469" i="4"/>
  <c r="P469" i="4" s="1"/>
  <c r="O470" i="4"/>
  <c r="P470" i="4" s="1"/>
  <c r="O471" i="4"/>
  <c r="P471" i="4" s="1"/>
  <c r="O472" i="4"/>
  <c r="P472" i="4" s="1"/>
  <c r="O473" i="4"/>
  <c r="P473" i="4" s="1"/>
  <c r="O474" i="4"/>
  <c r="P474" i="4" s="1"/>
  <c r="O475" i="4"/>
  <c r="P475" i="4" s="1"/>
  <c r="O476" i="4"/>
  <c r="P476" i="4" s="1"/>
  <c r="O477" i="4"/>
  <c r="P477" i="4" s="1"/>
  <c r="O478" i="4"/>
  <c r="P478" i="4" s="1"/>
  <c r="O479" i="4"/>
  <c r="P479" i="4" s="1"/>
  <c r="O480" i="4"/>
  <c r="P480" i="4" s="1"/>
  <c r="O481" i="4"/>
  <c r="P481" i="4" s="1"/>
  <c r="O482" i="4"/>
  <c r="P482" i="4" s="1"/>
  <c r="O483" i="4"/>
  <c r="P483" i="4" s="1"/>
  <c r="O484" i="4"/>
  <c r="P484" i="4" s="1"/>
  <c r="O485" i="4"/>
  <c r="P485" i="4" s="1"/>
  <c r="O486" i="4"/>
  <c r="P486" i="4" s="1"/>
  <c r="O487" i="4"/>
  <c r="P487" i="4" s="1"/>
  <c r="O488" i="4"/>
  <c r="P488" i="4" s="1"/>
  <c r="O489" i="4"/>
  <c r="P489" i="4" s="1"/>
  <c r="O490" i="4"/>
  <c r="P490" i="4" s="1"/>
  <c r="O491" i="4"/>
  <c r="P491" i="4" s="1"/>
  <c r="O492" i="4"/>
  <c r="P492" i="4" s="1"/>
  <c r="O493" i="4"/>
  <c r="P493" i="4" s="1"/>
  <c r="O494" i="4"/>
  <c r="P494" i="4" s="1"/>
  <c r="O495" i="4"/>
  <c r="P495" i="4" s="1"/>
  <c r="O496" i="4"/>
  <c r="P496" i="4" s="1"/>
  <c r="O497" i="4"/>
  <c r="P497" i="4" s="1"/>
  <c r="O498" i="4"/>
  <c r="P498" i="4" s="1"/>
  <c r="O499" i="4"/>
  <c r="P499" i="4" s="1"/>
  <c r="O500" i="4"/>
  <c r="P500" i="4" s="1"/>
  <c r="O501" i="4"/>
  <c r="P501" i="4" s="1"/>
  <c r="O502" i="4"/>
  <c r="P502" i="4" s="1"/>
  <c r="O503" i="4"/>
  <c r="P503" i="4" s="1"/>
  <c r="O504" i="4"/>
  <c r="P504" i="4" s="1"/>
  <c r="O5" i="4"/>
  <c r="P5" i="4" s="1"/>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6" i="3"/>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6" i="2"/>
  <c r="R9" i="2" l="1"/>
  <c r="R7" i="2"/>
  <c r="R8" i="2"/>
</calcChain>
</file>

<file path=xl/sharedStrings.xml><?xml version="1.0" encoding="utf-8"?>
<sst xmlns="http://schemas.openxmlformats.org/spreadsheetml/2006/main" count="33347" uniqueCount="1077">
  <si>
    <t>Q1 – Data Cleaning &amp; Formatting
Use: Global_Trade_Data.xlsx → Sheet: Raw_Data; Columns: Order_Date, Country, Unit_Price, Total_Sales, Profit
Perform:
• Trim extra spaces and convert Country to Proper Case.
• Format Order_Date as MMM-YYYY, and currency columns as USD.
• Highlight negative profits and ensure clean alignment.
Deliverable: A cleaned dataset with proper formatting and conditional highlights.</t>
  </si>
  <si>
    <t>Order_ID</t>
  </si>
  <si>
    <t>Order_Date</t>
  </si>
  <si>
    <t>Customer_Name</t>
  </si>
  <si>
    <t>Country</t>
  </si>
  <si>
    <t>Product</t>
  </si>
  <si>
    <t>Category</t>
  </si>
  <si>
    <t>Quantity</t>
  </si>
  <si>
    <t>Unit_Price</t>
  </si>
  <si>
    <t>Total_Sales</t>
  </si>
  <si>
    <t>Shipping_Cost</t>
  </si>
  <si>
    <t>Profit</t>
  </si>
  <si>
    <t>Ship_Mode</t>
  </si>
  <si>
    <t>Order_Priority</t>
  </si>
  <si>
    <t>Region_Code</t>
  </si>
  <si>
    <t>Unit_Cost</t>
  </si>
  <si>
    <t>Supplier</t>
  </si>
  <si>
    <t>Origin_Country</t>
  </si>
  <si>
    <t>Month</t>
  </si>
  <si>
    <t>ORD_2025_0001</t>
  </si>
  <si>
    <t>Smith, Emily</t>
  </si>
  <si>
    <t>USA</t>
  </si>
  <si>
    <t>Travel Backpack</t>
  </si>
  <si>
    <t>Accessories</t>
  </si>
  <si>
    <t>Land</t>
  </si>
  <si>
    <t>Low</t>
  </si>
  <si>
    <t>CarryPro</t>
  </si>
  <si>
    <t>Vietnam</t>
  </si>
  <si>
    <t>2025-01</t>
  </si>
  <si>
    <t>ORD_2025_0002</t>
  </si>
  <si>
    <t>Brown, Laura</t>
  </si>
  <si>
    <t>UK</t>
  </si>
  <si>
    <t>Leather Wallet</t>
  </si>
  <si>
    <t>Sea</t>
  </si>
  <si>
    <t>Medium</t>
  </si>
  <si>
    <t>EU</t>
  </si>
  <si>
    <t>CraftLine</t>
  </si>
  <si>
    <t>Italy</t>
  </si>
  <si>
    <t>2025-02</t>
  </si>
  <si>
    <t>ORD_2025_0003</t>
  </si>
  <si>
    <t>Davis, John</t>
  </si>
  <si>
    <t>High</t>
  </si>
  <si>
    <t>2024-04</t>
  </si>
  <si>
    <t>ORD_2025_0004</t>
  </si>
  <si>
    <t>Miller, Daniel</t>
  </si>
  <si>
    <t>Brazil</t>
  </si>
  <si>
    <t>Bluetooth Speaker</t>
  </si>
  <si>
    <t>Electronics</t>
  </si>
  <si>
    <t>Air</t>
  </si>
  <si>
    <t>SA</t>
  </si>
  <si>
    <t>AudioTech Ltd.</t>
  </si>
  <si>
    <t>China</t>
  </si>
  <si>
    <t>2024-10</t>
  </si>
  <si>
    <t>ORD_2025_0005</t>
  </si>
  <si>
    <t>Johnson, Emma</t>
  </si>
  <si>
    <t>Canada</t>
  </si>
  <si>
    <t>Denim Jacket</t>
  </si>
  <si>
    <t>Apparel</t>
  </si>
  <si>
    <t>BlueWear</t>
  </si>
  <si>
    <t>Bangladesh</t>
  </si>
  <si>
    <t>ORD_2025_0006</t>
  </si>
  <si>
    <t>Johnson, Michael</t>
  </si>
  <si>
    <t>Mexico</t>
  </si>
  <si>
    <t>Wireless Mouse</t>
  </si>
  <si>
    <t>ClickTech</t>
  </si>
  <si>
    <t>ORD_2025_0007</t>
  </si>
  <si>
    <t>Hernandez, Emma</t>
  </si>
  <si>
    <t>Glass Bowl Set</t>
  </si>
  <si>
    <t>Home Decor</t>
  </si>
  <si>
    <t>ClearCraft</t>
  </si>
  <si>
    <t>India</t>
  </si>
  <si>
    <t>2024-06</t>
  </si>
  <si>
    <t>ORD_2025_0008</t>
  </si>
  <si>
    <t>Miller, John</t>
  </si>
  <si>
    <t>Cotton Bedsheet</t>
  </si>
  <si>
    <t>Textiles</t>
  </si>
  <si>
    <t>AS</t>
  </si>
  <si>
    <t>SoftWeave</t>
  </si>
  <si>
    <t>Turkey</t>
  </si>
  <si>
    <t>2025-05</t>
  </si>
  <si>
    <t>ORD_2025_0009</t>
  </si>
  <si>
    <t>Ceramic Vase</t>
  </si>
  <si>
    <t>Artisans Co.</t>
  </si>
  <si>
    <t>2024-09</t>
  </si>
  <si>
    <t>ORD_2025_0010</t>
  </si>
  <si>
    <t>Martinez, Laura</t>
  </si>
  <si>
    <t>LED Lamp</t>
  </si>
  <si>
    <t>BrightHome</t>
  </si>
  <si>
    <t>2024-08</t>
  </si>
  <si>
    <t>Q2 – Formulas &amp; Business Metrics
Use: Global_Trade_Data.xlsx + Product_Master.xlsx
Perform:
• Add columns: COGS = Quantity * Unit_Cost and Profit_Margin% = Profit / Total_Sales.
• Compute Avg, Max, and Min Profit_Margin%.
Deliverable: Add these columns beside the dataset and display summary metrics below.</t>
  </si>
  <si>
    <t>Q3 – Text Parsing &amp; ID Generation
Use: Customer_Name column from Global_Trade_Data.xlsx
Perform:
• Extract First_Name and Last_Name from format 'Last, First'.
• Create a new Customer_Code = LEFT(First,2) &amp; LEFT(Last,2) &amp; ROW().
Deliverable: New columns showing First_Name, Last_Name, and Customer_Code.</t>
  </si>
  <si>
    <t>Q4 – Logical Classification
Use: Total_Sales and Profit columns.
Perform:
• Calculate Profit_Margin% = Profit / Total_Sales.
• Create a new column Performance_Flag using conditions:
   &gt;20% and Sales&gt;2000 → 'Excellent'
   10–20% → 'Good'
   Else → 'Needs Improvement'
Deliverable: Dataset showing classification results.</t>
  </si>
  <si>
    <t>Q5 – Cross-Workbook Lookups
Use: Product_Master.xlsx and Region_Lookup.xlsx
Perform:
• Fetch Supplier and Origin using INDEX/MATCH from Product_Master.
• Fetch Region_Name using VLOOKUP from Region_Lookup.
• Handle missing data with IFERROR.
Deliverable: A combined dataset with lookup columns filled.</t>
  </si>
  <si>
    <t>Q6 – Conditional Aggregation
Use: Global_Trade_Data.xlsx
Perform:
• Create a summary using SUMIFS and AVERAGEIFS for Total_Sales and Profit by Region_Code × Category.
Deliverable: Summary table formatted with headers and currency values.</t>
  </si>
  <si>
    <t>Q7 – Pivot Analysis
Use this dataset to create a PivotTable:
• Rows: Month | Columns: Region_Code
• Values: Sum of Total_Sales and Avg of Profit_Margin
• Add slicers for Category and Order_Priority.
Deliverable: A pivot layout displaying summarized data interactively.</t>
  </si>
  <si>
    <t>Q8 – Comparative Charts
Use: Global_Trade_Data.xlsx
Perform:
1) Line Chart: Monthly Total_Sales vs Profit.
2) Clustered Column: Category-wise Total_Sales by Region.
Deliverable: Charts with proper titles, colors, and legends.</t>
  </si>
  <si>
    <t>Q9 – Macro Recording
Create a Macro named HighlightTopPerformers.
Logic:
• Highlight rows where Profit_Margin &gt; 25% with green fill.
• Assign this macro to a button labeled 'Highlight Rows'.
Deliverable: Show the macro name, steps followed, and sample output on sheet.</t>
  </si>
  <si>
    <t>2025-01-20</t>
  </si>
  <si>
    <t>NA</t>
  </si>
  <si>
    <t>2025-02-14</t>
  </si>
  <si>
    <t>2024-04-29</t>
  </si>
  <si>
    <t>2024-10-01</t>
  </si>
  <si>
    <t>2025-02-15</t>
  </si>
  <si>
    <t>2025-02-26</t>
  </si>
  <si>
    <t>2024-06-13</t>
  </si>
  <si>
    <t>2025-05-01</t>
  </si>
  <si>
    <t>2024-09-13</t>
  </si>
  <si>
    <t>2024-08-27</t>
  </si>
  <si>
    <t>ORD_2025_0011</t>
  </si>
  <si>
    <t>2025-04-07</t>
  </si>
  <si>
    <t>Martinez, James</t>
  </si>
  <si>
    <t>ORD_2025_0012</t>
  </si>
  <si>
    <t>2024-12-08</t>
  </si>
  <si>
    <t>Davis, James</t>
  </si>
  <si>
    <t>ORD_2025_0013</t>
  </si>
  <si>
    <t>2024-09-12</t>
  </si>
  <si>
    <t>Singapore</t>
  </si>
  <si>
    <t>ORD_2025_0014</t>
  </si>
  <si>
    <t>2024-02-28</t>
  </si>
  <si>
    <t>Smith, Emma</t>
  </si>
  <si>
    <t>ORD_2025_0015</t>
  </si>
  <si>
    <t>2024-03-27</t>
  </si>
  <si>
    <t>Davis, Sarah</t>
  </si>
  <si>
    <t>UAE</t>
  </si>
  <si>
    <t>ORD_2025_0016</t>
  </si>
  <si>
    <t>2024-09-21</t>
  </si>
  <si>
    <t>Williams, David</t>
  </si>
  <si>
    <t>Japan</t>
  </si>
  <si>
    <t>ORD_2025_0017</t>
  </si>
  <si>
    <t>2024-08-02</t>
  </si>
  <si>
    <t>ORD_2025_0018</t>
  </si>
  <si>
    <t>2024-09-29</t>
  </si>
  <si>
    <t>ORD_2025_0019</t>
  </si>
  <si>
    <t>2024-07-03</t>
  </si>
  <si>
    <t>Smith, Sarah</t>
  </si>
  <si>
    <t>ORD_2025_0020</t>
  </si>
  <si>
    <t>2025-04-23</t>
  </si>
  <si>
    <t>Table Lamp</t>
  </si>
  <si>
    <t>ORD_2025_0021</t>
  </si>
  <si>
    <t>2025-02-27</t>
  </si>
  <si>
    <t>Miller, Michael</t>
  </si>
  <si>
    <t>South Africa</t>
  </si>
  <si>
    <t>AF</t>
  </si>
  <si>
    <t>ORD_2025_0022</t>
  </si>
  <si>
    <t>2025-03-25</t>
  </si>
  <si>
    <t>Davis, David</t>
  </si>
  <si>
    <t>ORD_2025_0023</t>
  </si>
  <si>
    <t>2024-05-14</t>
  </si>
  <si>
    <t>Johnson, Sarah</t>
  </si>
  <si>
    <t>ORD_2025_0024</t>
  </si>
  <si>
    <t>2024-02-14</t>
  </si>
  <si>
    <t>Hernandez, Sophia</t>
  </si>
  <si>
    <t>ORD_2025_0025</t>
  </si>
  <si>
    <t>2025-04-24</t>
  </si>
  <si>
    <t>Williams, Daniel</t>
  </si>
  <si>
    <t>ORD_2025_0026</t>
  </si>
  <si>
    <t>2024-12-22</t>
  </si>
  <si>
    <t>Martinez, Michael</t>
  </si>
  <si>
    <t>ORD_2025_0027</t>
  </si>
  <si>
    <t>2024-06-02</t>
  </si>
  <si>
    <t>ORD_2025_0028</t>
  </si>
  <si>
    <t>2024-08-23</t>
  </si>
  <si>
    <t>Jones, Laura</t>
  </si>
  <si>
    <t>ORD_2025_0029</t>
  </si>
  <si>
    <t>2025-01-30</t>
  </si>
  <si>
    <t>Brown, Michael</t>
  </si>
  <si>
    <t>ORD_2025_0030</t>
  </si>
  <si>
    <t>2024-07-15</t>
  </si>
  <si>
    <t>ORD_2025_0031</t>
  </si>
  <si>
    <t>2025-04-22</t>
  </si>
  <si>
    <t>Miller, Laura</t>
  </si>
  <si>
    <t>France</t>
  </si>
  <si>
    <t>ORD_2025_0032</t>
  </si>
  <si>
    <t>2024-05-05</t>
  </si>
  <si>
    <t>Garcia, Sophia</t>
  </si>
  <si>
    <t>ORD_2025_0033</t>
  </si>
  <si>
    <t>2024-04-27</t>
  </si>
  <si>
    <t>Smith, Sophia</t>
  </si>
  <si>
    <t>ORD_2025_0034</t>
  </si>
  <si>
    <t>2025-01-11</t>
  </si>
  <si>
    <t>ORD_2025_0035</t>
  </si>
  <si>
    <t>2024-10-13</t>
  </si>
  <si>
    <t>Hernandez, John</t>
  </si>
  <si>
    <t>ORD_2025_0036</t>
  </si>
  <si>
    <t>2024-11-10</t>
  </si>
  <si>
    <t>Williams, Laura</t>
  </si>
  <si>
    <t>ORD_2025_0037</t>
  </si>
  <si>
    <t>2024-12-12</t>
  </si>
  <si>
    <t>Miller, David</t>
  </si>
  <si>
    <t>ORD_2025_0038</t>
  </si>
  <si>
    <t>2024-05-01</t>
  </si>
  <si>
    <t>Smith, Michael</t>
  </si>
  <si>
    <t>ORD_2025_0039</t>
  </si>
  <si>
    <t>2025-01-27</t>
  </si>
  <si>
    <t>Martinez, Sarah</t>
  </si>
  <si>
    <t>ORD_2025_0040</t>
  </si>
  <si>
    <t>2024-05-02</t>
  </si>
  <si>
    <t>Garcia, Emily</t>
  </si>
  <si>
    <t>ORD_2025_0041</t>
  </si>
  <si>
    <t>2025-04-15</t>
  </si>
  <si>
    <t>Williams, Emma</t>
  </si>
  <si>
    <t>ORD_2025_0042</t>
  </si>
  <si>
    <t>ORD_2025_0043</t>
  </si>
  <si>
    <t>2024-05-29</t>
  </si>
  <si>
    <t>ORD_2025_0044</t>
  </si>
  <si>
    <t>2025-03-29</t>
  </si>
  <si>
    <t>Australia</t>
  </si>
  <si>
    <t>OC</t>
  </si>
  <si>
    <t>ORD_2025_0045</t>
  </si>
  <si>
    <t>2024-12-06</t>
  </si>
  <si>
    <t>ORD_2025_0046</t>
  </si>
  <si>
    <t>2024-02-27</t>
  </si>
  <si>
    <t>ORD_2025_0047</t>
  </si>
  <si>
    <t>2024-11-26</t>
  </si>
  <si>
    <t>ORD_2025_0048</t>
  </si>
  <si>
    <t>2024-07-23</t>
  </si>
  <si>
    <t>Smith, Daniel</t>
  </si>
  <si>
    <t>ORD_2025_0049</t>
  </si>
  <si>
    <t>2024-12-23</t>
  </si>
  <si>
    <t>Jones, David</t>
  </si>
  <si>
    <t>ORD_2025_0050</t>
  </si>
  <si>
    <t>2024-01-08</t>
  </si>
  <si>
    <t>Brown, Sarah</t>
  </si>
  <si>
    <t>ORD_2025_0051</t>
  </si>
  <si>
    <t>2025-04-20</t>
  </si>
  <si>
    <t>ORD_2025_0052</t>
  </si>
  <si>
    <t>2024-07-07</t>
  </si>
  <si>
    <t>Martinez, Emma</t>
  </si>
  <si>
    <t>ORD_2025_0053</t>
  </si>
  <si>
    <t>2024-11-03</t>
  </si>
  <si>
    <t>ORD_2025_0054</t>
  </si>
  <si>
    <t>2024-11-06</t>
  </si>
  <si>
    <t>Johnson, Daniel</t>
  </si>
  <si>
    <t>ORD_2025_0055</t>
  </si>
  <si>
    <t>2025-04-18</t>
  </si>
  <si>
    <t>Jones, Sophia</t>
  </si>
  <si>
    <t>ORD_2025_0056</t>
  </si>
  <si>
    <t>2024-09-08</t>
  </si>
  <si>
    <t>Garcia, Sarah</t>
  </si>
  <si>
    <t>ORD_2025_0057</t>
  </si>
  <si>
    <t>2024-05-06</t>
  </si>
  <si>
    <t>Germany</t>
  </si>
  <si>
    <t>ORD_2025_0058</t>
  </si>
  <si>
    <t>2024-05-13</t>
  </si>
  <si>
    <t>ORD_2025_0059</t>
  </si>
  <si>
    <t>2024-07-20</t>
  </si>
  <si>
    <t>Williams, Michael</t>
  </si>
  <si>
    <t>ORD_2025_0060</t>
  </si>
  <si>
    <t>2025-04-05</t>
  </si>
  <si>
    <t>Hernandez, James</t>
  </si>
  <si>
    <t>ORD_2025_0061</t>
  </si>
  <si>
    <t>2025-03-20</t>
  </si>
  <si>
    <t>Williams, Sarah</t>
  </si>
  <si>
    <t>ORD_2025_0062</t>
  </si>
  <si>
    <t>2024-08-11</t>
  </si>
  <si>
    <t>ORD_2025_0063</t>
  </si>
  <si>
    <t>2024-03-18</t>
  </si>
  <si>
    <t>Williams, Emily</t>
  </si>
  <si>
    <t>ORD_2025_0064</t>
  </si>
  <si>
    <t>2025-04-09</t>
  </si>
  <si>
    <t>ORD_2025_0065</t>
  </si>
  <si>
    <t>2024-10-14</t>
  </si>
  <si>
    <t>ORD_2025_0066</t>
  </si>
  <si>
    <t>2024-12-21</t>
  </si>
  <si>
    <t>ORD_2025_0067</t>
  </si>
  <si>
    <t>2025-03-03</t>
  </si>
  <si>
    <t>Brown, Daniel</t>
  </si>
  <si>
    <t>ORD_2025_0068</t>
  </si>
  <si>
    <t>2024-03-11</t>
  </si>
  <si>
    <t>Martinez, Daniel</t>
  </si>
  <si>
    <t>ORD_2025_0069</t>
  </si>
  <si>
    <t>2024-08-28</t>
  </si>
  <si>
    <t>Jones, Michael</t>
  </si>
  <si>
    <t>ORD_2025_0070</t>
  </si>
  <si>
    <t>2024-06-15</t>
  </si>
  <si>
    <t>ORD_2025_0071</t>
  </si>
  <si>
    <t>2024-08-14</t>
  </si>
  <si>
    <t>Garcia, Michael</t>
  </si>
  <si>
    <t>ORD_2025_0072</t>
  </si>
  <si>
    <t>2024-06-03</t>
  </si>
  <si>
    <t>ORD_2025_0073</t>
  </si>
  <si>
    <t>2024-06-07</t>
  </si>
  <si>
    <t>Smith, David</t>
  </si>
  <si>
    <t>ORD_2025_0074</t>
  </si>
  <si>
    <t>2024-10-04</t>
  </si>
  <si>
    <t>Miller, Sophia</t>
  </si>
  <si>
    <t>ORD_2025_0075</t>
  </si>
  <si>
    <t>2024-01-02</t>
  </si>
  <si>
    <t>Garcia, Laura</t>
  </si>
  <si>
    <t>ORD_2025_0076</t>
  </si>
  <si>
    <t>Davis, Michael</t>
  </si>
  <si>
    <t>ORD_2025_0077</t>
  </si>
  <si>
    <t>2024-11-24</t>
  </si>
  <si>
    <t>ORD_2025_0078</t>
  </si>
  <si>
    <t>2024-11-02</t>
  </si>
  <si>
    <t>ORD_2025_0079</t>
  </si>
  <si>
    <t>2025-03-21</t>
  </si>
  <si>
    <t>ORD_2025_0080</t>
  </si>
  <si>
    <t>2024-01-06</t>
  </si>
  <si>
    <t>ORD_2025_0081</t>
  </si>
  <si>
    <t>2024-09-28</t>
  </si>
  <si>
    <t>Davis, Emma</t>
  </si>
  <si>
    <t>ORD_2025_0082</t>
  </si>
  <si>
    <t>2025-02-28</t>
  </si>
  <si>
    <t>ORD_2025_0083</t>
  </si>
  <si>
    <t>ORD_2025_0084</t>
  </si>
  <si>
    <t>2024-11-18</t>
  </si>
  <si>
    <t>Hernandez, Laura</t>
  </si>
  <si>
    <t>ORD_2025_0085</t>
  </si>
  <si>
    <t>2024-11-12</t>
  </si>
  <si>
    <t>ORD_2025_0086</t>
  </si>
  <si>
    <t>2024-11-01</t>
  </si>
  <si>
    <t>ORD_2025_0087</t>
  </si>
  <si>
    <t>ORD_2025_0088</t>
  </si>
  <si>
    <t>2025-02-21</t>
  </si>
  <si>
    <t>ORD_2025_0089</t>
  </si>
  <si>
    <t>2025-03-08</t>
  </si>
  <si>
    <t>Davis, Emily</t>
  </si>
  <si>
    <t>ORD_2025_0090</t>
  </si>
  <si>
    <t>2025-03-15</t>
  </si>
  <si>
    <t>ORD_2025_0091</t>
  </si>
  <si>
    <t>Johnson, James</t>
  </si>
  <si>
    <t>ORD_2025_0092</t>
  </si>
  <si>
    <t>Martinez, Sophia</t>
  </si>
  <si>
    <t>ORD_2025_0093</t>
  </si>
  <si>
    <t>2024-07-29</t>
  </si>
  <si>
    <t>ORD_2025_0094</t>
  </si>
  <si>
    <t>2025-04-08</t>
  </si>
  <si>
    <t>Miller, Sarah</t>
  </si>
  <si>
    <t>ORD_2025_0095</t>
  </si>
  <si>
    <t>2024-09-14</t>
  </si>
  <si>
    <t>Williams, James</t>
  </si>
  <si>
    <t>ORD_2025_0096</t>
  </si>
  <si>
    <t>2025-03-01</t>
  </si>
  <si>
    <t>Garcia, Emma</t>
  </si>
  <si>
    <t>ORD_2025_0097</t>
  </si>
  <si>
    <t>2024-07-28</t>
  </si>
  <si>
    <t>ORD_2025_0098</t>
  </si>
  <si>
    <t>2024-08-01</t>
  </si>
  <si>
    <t>ORD_2025_0099</t>
  </si>
  <si>
    <t>2025-04-02</t>
  </si>
  <si>
    <t>ORD_2025_0100</t>
  </si>
  <si>
    <t>2024-10-25</t>
  </si>
  <si>
    <t>ORD_2025_0101</t>
  </si>
  <si>
    <t>2024-06-25</t>
  </si>
  <si>
    <t>ORD_2025_0102</t>
  </si>
  <si>
    <t>ORD_2025_0103</t>
  </si>
  <si>
    <t>2024-07-30</t>
  </si>
  <si>
    <t>ORD_2025_0104</t>
  </si>
  <si>
    <t>2024-08-24</t>
  </si>
  <si>
    <t>ORD_2025_0105</t>
  </si>
  <si>
    <t>2024-09-11</t>
  </si>
  <si>
    <t>Johnson, David</t>
  </si>
  <si>
    <t>ORD_2025_0106</t>
  </si>
  <si>
    <t>2025-02-04</t>
  </si>
  <si>
    <t>ORD_2025_0107</t>
  </si>
  <si>
    <t>2024-04-02</t>
  </si>
  <si>
    <t>ORD_2025_0108</t>
  </si>
  <si>
    <t>2024-09-22</t>
  </si>
  <si>
    <t>ORD_2025_0109</t>
  </si>
  <si>
    <t>Miller, Emily</t>
  </si>
  <si>
    <t>ORD_2025_0110</t>
  </si>
  <si>
    <t>2024-10-26</t>
  </si>
  <si>
    <t>ORD_2025_0111</t>
  </si>
  <si>
    <t>2024-09-30</t>
  </si>
  <si>
    <t>ORD_2025_0112</t>
  </si>
  <si>
    <t>2024-06-29</t>
  </si>
  <si>
    <t>ORD_2025_0113</t>
  </si>
  <si>
    <t>2025-01-07</t>
  </si>
  <si>
    <t>Martinez, Emily</t>
  </si>
  <si>
    <t>ORD_2025_0114</t>
  </si>
  <si>
    <t>2024-11-15</t>
  </si>
  <si>
    <t>Hernandez, Daniel</t>
  </si>
  <si>
    <t>ORD_2025_0115</t>
  </si>
  <si>
    <t>ORD_2025_0116</t>
  </si>
  <si>
    <t>2024-02-07</t>
  </si>
  <si>
    <t>ORD_2025_0117</t>
  </si>
  <si>
    <t>ORD_2025_0118</t>
  </si>
  <si>
    <t>ORD_2025_0119</t>
  </si>
  <si>
    <t>ORD_2025_0120</t>
  </si>
  <si>
    <t>2025-04-12</t>
  </si>
  <si>
    <t>Hernandez, David</t>
  </si>
  <si>
    <t>ORD_2025_0121</t>
  </si>
  <si>
    <t>2024-07-24</t>
  </si>
  <si>
    <t>ORD_2025_0122</t>
  </si>
  <si>
    <t>ORD_2025_0123</t>
  </si>
  <si>
    <t>2025-01-04</t>
  </si>
  <si>
    <t>ORD_2025_0124</t>
  </si>
  <si>
    <t>2024-12-17</t>
  </si>
  <si>
    <t>ORD_2025_0125</t>
  </si>
  <si>
    <t>2024-12-29</t>
  </si>
  <si>
    <t>Martinez, John</t>
  </si>
  <si>
    <t>ORD_2025_0126</t>
  </si>
  <si>
    <t>2024-08-31</t>
  </si>
  <si>
    <t>ORD_2025_0127</t>
  </si>
  <si>
    <t>2025-01-25</t>
  </si>
  <si>
    <t>Garcia, David</t>
  </si>
  <si>
    <t>ORD_2025_0128</t>
  </si>
  <si>
    <t>2024-11-29</t>
  </si>
  <si>
    <t>ORD_2025_0129</t>
  </si>
  <si>
    <t>2025-04-11</t>
  </si>
  <si>
    <t>ORD_2025_0130</t>
  </si>
  <si>
    <t>2025-04-13</t>
  </si>
  <si>
    <t>ORD_2025_0131</t>
  </si>
  <si>
    <t>2024-10-05</t>
  </si>
  <si>
    <t>ORD_2025_0132</t>
  </si>
  <si>
    <t>2025-04-16</t>
  </si>
  <si>
    <t>ORD_2025_0133</t>
  </si>
  <si>
    <t>2024-07-11</t>
  </si>
  <si>
    <t>ORD_2025_0134</t>
  </si>
  <si>
    <t>Smith, James</t>
  </si>
  <si>
    <t>ORD_2025_0135</t>
  </si>
  <si>
    <t>2024-12-25</t>
  </si>
  <si>
    <t>ORD_2025_0136</t>
  </si>
  <si>
    <t>2024-07-27</t>
  </si>
  <si>
    <t>ORD_2025_0137</t>
  </si>
  <si>
    <t>2024-01-10</t>
  </si>
  <si>
    <t>Brown, Emily</t>
  </si>
  <si>
    <t>ORD_2025_0138</t>
  </si>
  <si>
    <t>2024-12-27</t>
  </si>
  <si>
    <t>ORD_2025_0139</t>
  </si>
  <si>
    <t>2025-01-14</t>
  </si>
  <si>
    <t>ORD_2025_0140</t>
  </si>
  <si>
    <t>2024-08-22</t>
  </si>
  <si>
    <t>ORD_2025_0141</t>
  </si>
  <si>
    <t>ORD_2025_0142</t>
  </si>
  <si>
    <t>2025-01-13</t>
  </si>
  <si>
    <t>ORD_2025_0143</t>
  </si>
  <si>
    <t>Brown, James</t>
  </si>
  <si>
    <t>ORD_2025_0144</t>
  </si>
  <si>
    <t>ORD_2025_0145</t>
  </si>
  <si>
    <t>2024-12-10</t>
  </si>
  <si>
    <t>ORD_2025_0146</t>
  </si>
  <si>
    <t>2024-07-19</t>
  </si>
  <si>
    <t>ORD_2025_0147</t>
  </si>
  <si>
    <t>2024-05-23</t>
  </si>
  <si>
    <t>ORD_2025_0148</t>
  </si>
  <si>
    <t>Johnson, Sophia</t>
  </si>
  <si>
    <t>ORD_2025_0149</t>
  </si>
  <si>
    <t>2024-10-08</t>
  </si>
  <si>
    <t>Davis, Sophia</t>
  </si>
  <si>
    <t>ORD_2025_0150</t>
  </si>
  <si>
    <t>Jones, Daniel</t>
  </si>
  <si>
    <t>ORD_2025_0151</t>
  </si>
  <si>
    <t>2024-02-29</t>
  </si>
  <si>
    <t>ORD_2025_0152</t>
  </si>
  <si>
    <t>2024-03-03</t>
  </si>
  <si>
    <t>Davis, Laura</t>
  </si>
  <si>
    <t>ORD_2025_0153</t>
  </si>
  <si>
    <t>2024-03-26</t>
  </si>
  <si>
    <t>ORD_2025_0154</t>
  </si>
  <si>
    <t>2025-02-09</t>
  </si>
  <si>
    <t>ORD_2025_0155</t>
  </si>
  <si>
    <t>ORD_2025_0156</t>
  </si>
  <si>
    <t>2024-12-03</t>
  </si>
  <si>
    <t>Hernandez, Michael</t>
  </si>
  <si>
    <t>ORD_2025_0157</t>
  </si>
  <si>
    <t>2024-10-17</t>
  </si>
  <si>
    <t>ORD_2025_0158</t>
  </si>
  <si>
    <t>ORD_2025_0159</t>
  </si>
  <si>
    <t>2024-10-15</t>
  </si>
  <si>
    <t>ORD_2025_0160</t>
  </si>
  <si>
    <t>Brown, John</t>
  </si>
  <si>
    <t>ORD_2025_0161</t>
  </si>
  <si>
    <t>2024-07-01</t>
  </si>
  <si>
    <t>Martinez, David</t>
  </si>
  <si>
    <t>ORD_2025_0162</t>
  </si>
  <si>
    <t>2024-02-01</t>
  </si>
  <si>
    <t>ORD_2025_0163</t>
  </si>
  <si>
    <t>2024-06-23</t>
  </si>
  <si>
    <t>ORD_2025_0164</t>
  </si>
  <si>
    <t>Johnson, Emily</t>
  </si>
  <si>
    <t>ORD_2025_0165</t>
  </si>
  <si>
    <t>2024-02-12</t>
  </si>
  <si>
    <t>ORD_2025_0166</t>
  </si>
  <si>
    <t>Garcia, John</t>
  </si>
  <si>
    <t>ORD_2025_0167</t>
  </si>
  <si>
    <t>2024-08-21</t>
  </si>
  <si>
    <t>ORD_2025_0168</t>
  </si>
  <si>
    <t>2025-05-11</t>
  </si>
  <si>
    <t>Jones, Emily</t>
  </si>
  <si>
    <t>ORD_2025_0169</t>
  </si>
  <si>
    <t>2024-11-20</t>
  </si>
  <si>
    <t>ORD_2025_0170</t>
  </si>
  <si>
    <t>2024-04-23</t>
  </si>
  <si>
    <t>Miller, James</t>
  </si>
  <si>
    <t>ORD_2025_0171</t>
  </si>
  <si>
    <t>ORD_2025_0172</t>
  </si>
  <si>
    <t>2024-02-13</t>
  </si>
  <si>
    <t>ORD_2025_0173</t>
  </si>
  <si>
    <t>ORD_2025_0174</t>
  </si>
  <si>
    <t>2024-10-31</t>
  </si>
  <si>
    <t>ORD_2025_0175</t>
  </si>
  <si>
    <t>2024-08-26</t>
  </si>
  <si>
    <t>ORD_2025_0176</t>
  </si>
  <si>
    <t>2024-10-27</t>
  </si>
  <si>
    <t>ORD_2025_0177</t>
  </si>
  <si>
    <t>2024-02-26</t>
  </si>
  <si>
    <t>ORD_2025_0178</t>
  </si>
  <si>
    <t>Hernandez, Sarah</t>
  </si>
  <si>
    <t>ORD_2025_0179</t>
  </si>
  <si>
    <t>ORD_2025_0180</t>
  </si>
  <si>
    <t>2024-09-07</t>
  </si>
  <si>
    <t>ORD_2025_0181</t>
  </si>
  <si>
    <t>2024-11-21</t>
  </si>
  <si>
    <t>Davis, Daniel</t>
  </si>
  <si>
    <t>ORD_2025_0182</t>
  </si>
  <si>
    <t>ORD_2025_0183</t>
  </si>
  <si>
    <t>2024-03-16</t>
  </si>
  <si>
    <t>ORD_2025_0184</t>
  </si>
  <si>
    <t>2024-03-21</t>
  </si>
  <si>
    <t>Miller, Emma</t>
  </si>
  <si>
    <t>ORD_2025_0185</t>
  </si>
  <si>
    <t>ORD_2025_0186</t>
  </si>
  <si>
    <t>ORD_2025_0187</t>
  </si>
  <si>
    <t>2024-04-14</t>
  </si>
  <si>
    <t>ORD_2025_0188</t>
  </si>
  <si>
    <t>2024-03-30</t>
  </si>
  <si>
    <t>ORD_2025_0189</t>
  </si>
  <si>
    <t>ORD_2025_0190</t>
  </si>
  <si>
    <t>2024-04-20</t>
  </si>
  <si>
    <t>Garcia, Daniel</t>
  </si>
  <si>
    <t>ORD_2025_0191</t>
  </si>
  <si>
    <t>ORD_2025_0192</t>
  </si>
  <si>
    <t>2025-03-28</t>
  </si>
  <si>
    <t>ORD_2025_0193</t>
  </si>
  <si>
    <t>ORD_2025_0194</t>
  </si>
  <si>
    <t>2024-12-18</t>
  </si>
  <si>
    <t>ORD_2025_0195</t>
  </si>
  <si>
    <t>ORD_2025_0196</t>
  </si>
  <si>
    <t>2024-05-24</t>
  </si>
  <si>
    <t>ORD_2025_0197</t>
  </si>
  <si>
    <t>2024-12-09</t>
  </si>
  <si>
    <t>ORD_2025_0198</t>
  </si>
  <si>
    <t>2025-04-29</t>
  </si>
  <si>
    <t>ORD_2025_0199</t>
  </si>
  <si>
    <t>2025-05-05</t>
  </si>
  <si>
    <t>ORD_2025_0200</t>
  </si>
  <si>
    <t>ORD_2025_0201</t>
  </si>
  <si>
    <t>Jones, Sarah</t>
  </si>
  <si>
    <t>ORD_2025_0202</t>
  </si>
  <si>
    <t>2024-04-07</t>
  </si>
  <si>
    <t>ORD_2025_0203</t>
  </si>
  <si>
    <t>2025-03-22</t>
  </si>
  <si>
    <t>ORD_2025_0204</t>
  </si>
  <si>
    <t>ORD_2025_0205</t>
  </si>
  <si>
    <t>ORD_2025_0206</t>
  </si>
  <si>
    <t>2025-01-28</t>
  </si>
  <si>
    <t>ORD_2025_0207</t>
  </si>
  <si>
    <t>ORD_2025_0208</t>
  </si>
  <si>
    <t>2024-05-19</t>
  </si>
  <si>
    <t>ORD_2025_0209</t>
  </si>
  <si>
    <t>2024-02-15</t>
  </si>
  <si>
    <t>ORD_2025_0210</t>
  </si>
  <si>
    <t>2025-04-03</t>
  </si>
  <si>
    <t>ORD_2025_0211</t>
  </si>
  <si>
    <t>2024-07-05</t>
  </si>
  <si>
    <t>ORD_2025_0212</t>
  </si>
  <si>
    <t>2024-03-06</t>
  </si>
  <si>
    <t>Brown, David</t>
  </si>
  <si>
    <t>ORD_2025_0213</t>
  </si>
  <si>
    <t>2024-09-20</t>
  </si>
  <si>
    <t>ORD_2025_0214</t>
  </si>
  <si>
    <t>2024-11-22</t>
  </si>
  <si>
    <t>ORD_2025_0215</t>
  </si>
  <si>
    <t>ORD_2025_0216</t>
  </si>
  <si>
    <t>ORD_2025_0217</t>
  </si>
  <si>
    <t>2024-10-02</t>
  </si>
  <si>
    <t>Johnson, John</t>
  </si>
  <si>
    <t>ORD_2025_0218</t>
  </si>
  <si>
    <t>2024-12-15</t>
  </si>
  <si>
    <t>ORD_2025_0219</t>
  </si>
  <si>
    <t>ORD_2025_0220</t>
  </si>
  <si>
    <t>2024-10-22</t>
  </si>
  <si>
    <t>Brown, Sophia</t>
  </si>
  <si>
    <t>ORD_2025_0221</t>
  </si>
  <si>
    <t>ORD_2025_0222</t>
  </si>
  <si>
    <t>2025-01-06</t>
  </si>
  <si>
    <t>ORD_2025_0223</t>
  </si>
  <si>
    <t>2025-05-07</t>
  </si>
  <si>
    <t>ORD_2025_0224</t>
  </si>
  <si>
    <t>2024-09-19</t>
  </si>
  <si>
    <t>ORD_2025_0225</t>
  </si>
  <si>
    <t>2024-03-23</t>
  </si>
  <si>
    <t>ORD_2025_0226</t>
  </si>
  <si>
    <t>2024-08-18</t>
  </si>
  <si>
    <t>Jones, Emma</t>
  </si>
  <si>
    <t>ORD_2025_0227</t>
  </si>
  <si>
    <t>2024-11-07</t>
  </si>
  <si>
    <t>ORD_2025_0228</t>
  </si>
  <si>
    <t>2025-03-02</t>
  </si>
  <si>
    <t>ORD_2025_0229</t>
  </si>
  <si>
    <t>ORD_2025_0230</t>
  </si>
  <si>
    <t>ORD_2025_0231</t>
  </si>
  <si>
    <t>ORD_2025_0232</t>
  </si>
  <si>
    <t>ORD_2025_0233</t>
  </si>
  <si>
    <t>2025-03-07</t>
  </si>
  <si>
    <t>ORD_2025_0234</t>
  </si>
  <si>
    <t>2025-01-08</t>
  </si>
  <si>
    <t>ORD_2025_0235</t>
  </si>
  <si>
    <t>ORD_2025_0236</t>
  </si>
  <si>
    <t>ORD_2025_0237</t>
  </si>
  <si>
    <t>2024-02-09</t>
  </si>
  <si>
    <t>ORD_2025_0238</t>
  </si>
  <si>
    <t>ORD_2025_0239</t>
  </si>
  <si>
    <t>ORD_2025_0240</t>
  </si>
  <si>
    <t>2025-05-12</t>
  </si>
  <si>
    <t>ORD_2025_0241</t>
  </si>
  <si>
    <t>2024-07-26</t>
  </si>
  <si>
    <t>ORD_2025_0242</t>
  </si>
  <si>
    <t>2025-02-03</t>
  </si>
  <si>
    <t>ORD_2025_0243</t>
  </si>
  <si>
    <t>2024-06-14</t>
  </si>
  <si>
    <t>Johnson, Laura</t>
  </si>
  <si>
    <t>ORD_2025_0244</t>
  </si>
  <si>
    <t>2025-02-19</t>
  </si>
  <si>
    <t>ORD_2025_0245</t>
  </si>
  <si>
    <t>2024-06-22</t>
  </si>
  <si>
    <t>ORD_2025_0246</t>
  </si>
  <si>
    <t>ORD_2025_0247</t>
  </si>
  <si>
    <t>2024-11-05</t>
  </si>
  <si>
    <t>ORD_2025_0248</t>
  </si>
  <si>
    <t>ORD_2025_0249</t>
  </si>
  <si>
    <t>2024-01-15</t>
  </si>
  <si>
    <t>ORD_2025_0250</t>
  </si>
  <si>
    <t>2025-02-23</t>
  </si>
  <si>
    <t>ORD_2025_0251</t>
  </si>
  <si>
    <t>2024-06-28</t>
  </si>
  <si>
    <t>ORD_2025_0252</t>
  </si>
  <si>
    <t>2024-01-19</t>
  </si>
  <si>
    <t>Smith, John</t>
  </si>
  <si>
    <t>ORD_2025_0253</t>
  </si>
  <si>
    <t>ORD_2025_0254</t>
  </si>
  <si>
    <t>2024-02-25</t>
  </si>
  <si>
    <t>ORD_2025_0255</t>
  </si>
  <si>
    <t>ORD_2025_0256</t>
  </si>
  <si>
    <t>ORD_2025_0257</t>
  </si>
  <si>
    <t>ORD_2025_0258</t>
  </si>
  <si>
    <t>2024-01-13</t>
  </si>
  <si>
    <t>ORD_2025_0259</t>
  </si>
  <si>
    <t>2024-09-23</t>
  </si>
  <si>
    <t>ORD_2025_0260</t>
  </si>
  <si>
    <t>2024-10-10</t>
  </si>
  <si>
    <t>Williams, Sophia</t>
  </si>
  <si>
    <t>ORD_2025_0261</t>
  </si>
  <si>
    <t>2024-06-26</t>
  </si>
  <si>
    <t>Garcia, James</t>
  </si>
  <si>
    <t>ORD_2025_0262</t>
  </si>
  <si>
    <t>2024-01-05</t>
  </si>
  <si>
    <t>ORD_2025_0263</t>
  </si>
  <si>
    <t>2024-09-09</t>
  </si>
  <si>
    <t>ORD_2025_0264</t>
  </si>
  <si>
    <t>2024-05-04</t>
  </si>
  <si>
    <t>ORD_2025_0265</t>
  </si>
  <si>
    <t>2024-03-31</t>
  </si>
  <si>
    <t>ORD_2025_0266</t>
  </si>
  <si>
    <t>2024-12-31</t>
  </si>
  <si>
    <t>ORD_2025_0267</t>
  </si>
  <si>
    <t>2024-03-09</t>
  </si>
  <si>
    <t>ORD_2025_0268</t>
  </si>
  <si>
    <t>2025-04-30</t>
  </si>
  <si>
    <t>ORD_2025_0269</t>
  </si>
  <si>
    <t>2024-04-09</t>
  </si>
  <si>
    <t>ORD_2025_0270</t>
  </si>
  <si>
    <t>2025-03-17</t>
  </si>
  <si>
    <t>ORD_2025_0271</t>
  </si>
  <si>
    <t>Smith, Laura</t>
  </si>
  <si>
    <t>ORD_2025_0272</t>
  </si>
  <si>
    <t>2025-04-27</t>
  </si>
  <si>
    <t>ORD_2025_0273</t>
  </si>
  <si>
    <t>2024-10-06</t>
  </si>
  <si>
    <t>ORD_2025_0274</t>
  </si>
  <si>
    <t>2024-06-17</t>
  </si>
  <si>
    <t>ORD_2025_0275</t>
  </si>
  <si>
    <t>ORD_2025_0276</t>
  </si>
  <si>
    <t>2024-11-13</t>
  </si>
  <si>
    <t>ORD_2025_0277</t>
  </si>
  <si>
    <t>ORD_2025_0278</t>
  </si>
  <si>
    <t>ORD_2025_0279</t>
  </si>
  <si>
    <t>2024-06-04</t>
  </si>
  <si>
    <t>ORD_2025_0280</t>
  </si>
  <si>
    <t>ORD_2025_0281</t>
  </si>
  <si>
    <t>2025-05-14</t>
  </si>
  <si>
    <t>ORD_2025_0282</t>
  </si>
  <si>
    <t>ORD_2025_0283</t>
  </si>
  <si>
    <t>ORD_2025_0284</t>
  </si>
  <si>
    <t>2024-01-30</t>
  </si>
  <si>
    <t>ORD_2025_0285</t>
  </si>
  <si>
    <t>2024-12-30</t>
  </si>
  <si>
    <t>ORD_2025_0286</t>
  </si>
  <si>
    <t>ORD_2025_0287</t>
  </si>
  <si>
    <t>2024-05-03</t>
  </si>
  <si>
    <t>ORD_2025_0288</t>
  </si>
  <si>
    <t>ORD_2025_0289</t>
  </si>
  <si>
    <t>2024-01-25</t>
  </si>
  <si>
    <t>ORD_2025_0290</t>
  </si>
  <si>
    <t>2024-06-16</t>
  </si>
  <si>
    <t>ORD_2025_0291</t>
  </si>
  <si>
    <t>ORD_2025_0292</t>
  </si>
  <si>
    <t>2024-07-21</t>
  </si>
  <si>
    <t>ORD_2025_0293</t>
  </si>
  <si>
    <t>2024-04-19</t>
  </si>
  <si>
    <t>ORD_2025_0294</t>
  </si>
  <si>
    <t>2025-02-10</t>
  </si>
  <si>
    <t>ORD_2025_0295</t>
  </si>
  <si>
    <t>ORD_2025_0296</t>
  </si>
  <si>
    <t>2024-09-27</t>
  </si>
  <si>
    <t>ORD_2025_0297</t>
  </si>
  <si>
    <t>ORD_2025_0298</t>
  </si>
  <si>
    <t>ORD_2025_0299</t>
  </si>
  <si>
    <t>ORD_2025_0300</t>
  </si>
  <si>
    <t>ORD_2025_0301</t>
  </si>
  <si>
    <t>2024-11-16</t>
  </si>
  <si>
    <t>ORD_2025_0302</t>
  </si>
  <si>
    <t>2024-07-12</t>
  </si>
  <si>
    <t>ORD_2025_0303</t>
  </si>
  <si>
    <t>ORD_2025_0304</t>
  </si>
  <si>
    <t>ORD_2025_0305</t>
  </si>
  <si>
    <t>2025-04-21</t>
  </si>
  <si>
    <t>ORD_2025_0306</t>
  </si>
  <si>
    <t>ORD_2025_0307</t>
  </si>
  <si>
    <t>ORD_2025_0308</t>
  </si>
  <si>
    <t>ORD_2025_0309</t>
  </si>
  <si>
    <t>2025-04-17</t>
  </si>
  <si>
    <t>ORD_2025_0310</t>
  </si>
  <si>
    <t>ORD_2025_0311</t>
  </si>
  <si>
    <t>2024-07-09</t>
  </si>
  <si>
    <t>ORD_2025_0312</t>
  </si>
  <si>
    <t>2025-03-27</t>
  </si>
  <si>
    <t>ORD_2025_0313</t>
  </si>
  <si>
    <t>ORD_2025_0314</t>
  </si>
  <si>
    <t>2024-03-29</t>
  </si>
  <si>
    <t>Jones, James</t>
  </si>
  <si>
    <t>ORD_2025_0315</t>
  </si>
  <si>
    <t>2024-07-08</t>
  </si>
  <si>
    <t>ORD_2025_0316</t>
  </si>
  <si>
    <t>2024-01-20</t>
  </si>
  <si>
    <t>ORD_2025_0317</t>
  </si>
  <si>
    <t>ORD_2025_0318</t>
  </si>
  <si>
    <t>ORD_2025_0319</t>
  </si>
  <si>
    <t>2024-10-03</t>
  </si>
  <si>
    <t>ORD_2025_0320</t>
  </si>
  <si>
    <t>ORD_2025_0321</t>
  </si>
  <si>
    <t>Jones, John</t>
  </si>
  <si>
    <t>ORD_2025_0322</t>
  </si>
  <si>
    <t>2024-10-19</t>
  </si>
  <si>
    <t>ORD_2025_0323</t>
  </si>
  <si>
    <t>ORD_2025_0324</t>
  </si>
  <si>
    <t>ORD_2025_0325</t>
  </si>
  <si>
    <t>2024-09-03</t>
  </si>
  <si>
    <t>ORD_2025_0326</t>
  </si>
  <si>
    <t>ORD_2025_0327</t>
  </si>
  <si>
    <t>2024-09-10</t>
  </si>
  <si>
    <t>ORD_2025_0328</t>
  </si>
  <si>
    <t>2025-01-23</t>
  </si>
  <si>
    <t>ORD_2025_0329</t>
  </si>
  <si>
    <t>ORD_2025_0330</t>
  </si>
  <si>
    <t>Hernandez, Emily</t>
  </si>
  <si>
    <t>ORD_2025_0331</t>
  </si>
  <si>
    <t>2024-08-15</t>
  </si>
  <si>
    <t>ORD_2025_0332</t>
  </si>
  <si>
    <t>2024-09-24</t>
  </si>
  <si>
    <t>ORD_2025_0333</t>
  </si>
  <si>
    <t>ORD_2025_0334</t>
  </si>
  <si>
    <t>ORD_2025_0335</t>
  </si>
  <si>
    <t>ORD_2025_0336</t>
  </si>
  <si>
    <t>2024-09-04</t>
  </si>
  <si>
    <t>ORD_2025_0337</t>
  </si>
  <si>
    <t>2025-03-18</t>
  </si>
  <si>
    <t>ORD_2025_0338</t>
  </si>
  <si>
    <t>2025-03-19</t>
  </si>
  <si>
    <t>ORD_2025_0339</t>
  </si>
  <si>
    <t>2024-10-12</t>
  </si>
  <si>
    <t>ORD_2025_0340</t>
  </si>
  <si>
    <t>ORD_2025_0341</t>
  </si>
  <si>
    <t>ORD_2025_0342</t>
  </si>
  <si>
    <t>2024-05-11</t>
  </si>
  <si>
    <t>ORD_2025_0343</t>
  </si>
  <si>
    <t>2024-07-17</t>
  </si>
  <si>
    <t>ORD_2025_0344</t>
  </si>
  <si>
    <t>ORD_2025_0345</t>
  </si>
  <si>
    <t>2025-03-24</t>
  </si>
  <si>
    <t>ORD_2025_0346</t>
  </si>
  <si>
    <t>ORD_2025_0347</t>
  </si>
  <si>
    <t>2024-04-05</t>
  </si>
  <si>
    <t>ORD_2025_0348</t>
  </si>
  <si>
    <t>2025-01-12</t>
  </si>
  <si>
    <t>ORD_2025_0349</t>
  </si>
  <si>
    <t>ORD_2025_0350</t>
  </si>
  <si>
    <t>2025-03-06</t>
  </si>
  <si>
    <t>Williams, John</t>
  </si>
  <si>
    <t>ORD_2025_0351</t>
  </si>
  <si>
    <t>ORD_2025_0352</t>
  </si>
  <si>
    <t>ORD_2025_0353</t>
  </si>
  <si>
    <t>ORD_2025_0354</t>
  </si>
  <si>
    <t>2025-05-08</t>
  </si>
  <si>
    <t>ORD_2025_0355</t>
  </si>
  <si>
    <t>ORD_2025_0356</t>
  </si>
  <si>
    <t>2024-06-11</t>
  </si>
  <si>
    <t>ORD_2025_0357</t>
  </si>
  <si>
    <t>ORD_2025_0358</t>
  </si>
  <si>
    <t>ORD_2025_0359</t>
  </si>
  <si>
    <t>ORD_2025_0360</t>
  </si>
  <si>
    <t>ORD_2025_0361</t>
  </si>
  <si>
    <t>2024-03-17</t>
  </si>
  <si>
    <t>ORD_2025_0362</t>
  </si>
  <si>
    <t>ORD_2025_0363</t>
  </si>
  <si>
    <t>ORD_2025_0364</t>
  </si>
  <si>
    <t>2024-05-25</t>
  </si>
  <si>
    <t>ORD_2025_0365</t>
  </si>
  <si>
    <t>2024-01-01</t>
  </si>
  <si>
    <t>ORD_2025_0366</t>
  </si>
  <si>
    <t>2024-08-07</t>
  </si>
  <si>
    <t>ORD_2025_0367</t>
  </si>
  <si>
    <t>ORD_2025_0368</t>
  </si>
  <si>
    <t>ORD_2025_0369</t>
  </si>
  <si>
    <t>2024-07-14</t>
  </si>
  <si>
    <t>ORD_2025_0370</t>
  </si>
  <si>
    <t>ORD_2025_0371</t>
  </si>
  <si>
    <t>ORD_2025_0372</t>
  </si>
  <si>
    <t>ORD_2025_0373</t>
  </si>
  <si>
    <t>2024-09-25</t>
  </si>
  <si>
    <t>ORD_2025_0374</t>
  </si>
  <si>
    <t>2024-03-14</t>
  </si>
  <si>
    <t>ORD_2025_0375</t>
  </si>
  <si>
    <t>2025-02-16</t>
  </si>
  <si>
    <t>ORD_2025_0376</t>
  </si>
  <si>
    <t>ORD_2025_0377</t>
  </si>
  <si>
    <t>ORD_2025_0378</t>
  </si>
  <si>
    <t>ORD_2025_0379</t>
  </si>
  <si>
    <t>2024-03-12</t>
  </si>
  <si>
    <t>ORD_2025_0380</t>
  </si>
  <si>
    <t>2024-08-29</t>
  </si>
  <si>
    <t>ORD_2025_0381</t>
  </si>
  <si>
    <t>ORD_2025_0382</t>
  </si>
  <si>
    <t>ORD_2025_0383</t>
  </si>
  <si>
    <t>2025-03-16</t>
  </si>
  <si>
    <t>ORD_2025_0384</t>
  </si>
  <si>
    <t>2024-05-16</t>
  </si>
  <si>
    <t>ORD_2025_0385</t>
  </si>
  <si>
    <t>ORD_2025_0386</t>
  </si>
  <si>
    <t>ORD_2025_0387</t>
  </si>
  <si>
    <t>ORD_2025_0388</t>
  </si>
  <si>
    <t>2024-02-17</t>
  </si>
  <si>
    <t>ORD_2025_0389</t>
  </si>
  <si>
    <t>2024-07-13</t>
  </si>
  <si>
    <t>ORD_2025_0390</t>
  </si>
  <si>
    <t>2025-02-13</t>
  </si>
  <si>
    <t>ORD_2025_0391</t>
  </si>
  <si>
    <t>ORD_2025_0392</t>
  </si>
  <si>
    <t>2024-02-16</t>
  </si>
  <si>
    <t>ORD_2025_0393</t>
  </si>
  <si>
    <t>2024-03-08</t>
  </si>
  <si>
    <t>ORD_2025_0394</t>
  </si>
  <si>
    <t>2024-11-30</t>
  </si>
  <si>
    <t>ORD_2025_0395</t>
  </si>
  <si>
    <t>ORD_2025_0396</t>
  </si>
  <si>
    <t>2024-12-19</t>
  </si>
  <si>
    <t>ORD_2025_0397</t>
  </si>
  <si>
    <t>ORD_2025_0398</t>
  </si>
  <si>
    <t>2024-06-01</t>
  </si>
  <si>
    <t>ORD_2025_0399</t>
  </si>
  <si>
    <t>2024-04-25</t>
  </si>
  <si>
    <t>ORD_2025_0400</t>
  </si>
  <si>
    <t>ORD_2025_0401</t>
  </si>
  <si>
    <t>ORD_2025_0402</t>
  </si>
  <si>
    <t>ORD_2025_0403</t>
  </si>
  <si>
    <t>ORD_2025_0404</t>
  </si>
  <si>
    <t>ORD_2025_0405</t>
  </si>
  <si>
    <t>ORD_2025_0406</t>
  </si>
  <si>
    <t>ORD_2025_0407</t>
  </si>
  <si>
    <t>2024-07-25</t>
  </si>
  <si>
    <t>ORD_2025_0408</t>
  </si>
  <si>
    <t>ORD_2025_0409</t>
  </si>
  <si>
    <t>2024-01-17</t>
  </si>
  <si>
    <t>ORD_2025_0410</t>
  </si>
  <si>
    <t>ORD_2025_0411</t>
  </si>
  <si>
    <t>2024-01-14</t>
  </si>
  <si>
    <t>ORD_2025_0412</t>
  </si>
  <si>
    <t>ORD_2025_0413</t>
  </si>
  <si>
    <t>ORD_2025_0414</t>
  </si>
  <si>
    <t>ORD_2025_0415</t>
  </si>
  <si>
    <t>2024-05-31</t>
  </si>
  <si>
    <t>ORD_2025_0416</t>
  </si>
  <si>
    <t>ORD_2025_0417</t>
  </si>
  <si>
    <t>ORD_2025_0418</t>
  </si>
  <si>
    <t>ORD_2025_0419</t>
  </si>
  <si>
    <t>2025-02-17</t>
  </si>
  <si>
    <t>ORD_2025_0420</t>
  </si>
  <si>
    <t>ORD_2025_0421</t>
  </si>
  <si>
    <t>2024-02-24</t>
  </si>
  <si>
    <t>ORD_2025_0422</t>
  </si>
  <si>
    <t>2025-05-13</t>
  </si>
  <si>
    <t>ORD_2025_0423</t>
  </si>
  <si>
    <t>ORD_2025_0424</t>
  </si>
  <si>
    <t>ORD_2025_0425</t>
  </si>
  <si>
    <t>2025-05-15</t>
  </si>
  <si>
    <t>ORD_2025_0426</t>
  </si>
  <si>
    <t>ORD_2025_0427</t>
  </si>
  <si>
    <t>2024-05-12</t>
  </si>
  <si>
    <t>ORD_2025_0428</t>
  </si>
  <si>
    <t>ORD_2025_0429</t>
  </si>
  <si>
    <t>2024-08-25</t>
  </si>
  <si>
    <t>ORD_2025_0430</t>
  </si>
  <si>
    <t>ORD_2025_0431</t>
  </si>
  <si>
    <t>ORD_2025_0432</t>
  </si>
  <si>
    <t>2024-06-27</t>
  </si>
  <si>
    <t>ORD_2025_0433</t>
  </si>
  <si>
    <t>ORD_2025_0434</t>
  </si>
  <si>
    <t>ORD_2025_0435</t>
  </si>
  <si>
    <t>ORD_2025_0436</t>
  </si>
  <si>
    <t>2024-02-03</t>
  </si>
  <si>
    <t>ORD_2025_0437</t>
  </si>
  <si>
    <t>ORD_2025_0438</t>
  </si>
  <si>
    <t>ORD_2025_0439</t>
  </si>
  <si>
    <t>ORD_2025_0440</t>
  </si>
  <si>
    <t>2025-01-22</t>
  </si>
  <si>
    <t>ORD_2025_0441</t>
  </si>
  <si>
    <t>2024-01-07</t>
  </si>
  <si>
    <t>ORD_2025_0442</t>
  </si>
  <si>
    <t>ORD_2025_0443</t>
  </si>
  <si>
    <t>2025-01-24</t>
  </si>
  <si>
    <t>ORD_2025_0444</t>
  </si>
  <si>
    <t>ORD_2025_0445</t>
  </si>
  <si>
    <t>2024-02-18</t>
  </si>
  <si>
    <t>ORD_2025_0446</t>
  </si>
  <si>
    <t>ORD_2025_0447</t>
  </si>
  <si>
    <t>ORD_2025_0448</t>
  </si>
  <si>
    <t>2024-04-04</t>
  </si>
  <si>
    <t>ORD_2025_0449</t>
  </si>
  <si>
    <t>2024-06-12</t>
  </si>
  <si>
    <t>ORD_2025_0450</t>
  </si>
  <si>
    <t>ORD_2025_0451</t>
  </si>
  <si>
    <t>ORD_2025_0452</t>
  </si>
  <si>
    <t>ORD_2025_0453</t>
  </si>
  <si>
    <t>ORD_2025_0454</t>
  </si>
  <si>
    <t>ORD_2025_0455</t>
  </si>
  <si>
    <t>ORD_2025_0456</t>
  </si>
  <si>
    <t>ORD_2025_0457</t>
  </si>
  <si>
    <t>2024-09-16</t>
  </si>
  <si>
    <t>ORD_2025_0458</t>
  </si>
  <si>
    <t>2025-01-03</t>
  </si>
  <si>
    <t>ORD_2025_0459</t>
  </si>
  <si>
    <t>2024-02-06</t>
  </si>
  <si>
    <t>ORD_2025_0460</t>
  </si>
  <si>
    <t>2024-10-20</t>
  </si>
  <si>
    <t>ORD_2025_0461</t>
  </si>
  <si>
    <t>2025-02-22</t>
  </si>
  <si>
    <t>ORD_2025_0462</t>
  </si>
  <si>
    <t>ORD_2025_0463</t>
  </si>
  <si>
    <t>ORD_2025_0464</t>
  </si>
  <si>
    <t>2024-04-15</t>
  </si>
  <si>
    <t>ORD_2025_0465</t>
  </si>
  <si>
    <t>ORD_2025_0466</t>
  </si>
  <si>
    <t>ORD_2025_0467</t>
  </si>
  <si>
    <t>ORD_2025_0468</t>
  </si>
  <si>
    <t>ORD_2025_0469</t>
  </si>
  <si>
    <t>2024-03-05</t>
  </si>
  <si>
    <t>ORD_2025_0470</t>
  </si>
  <si>
    <t>ORD_2025_0471</t>
  </si>
  <si>
    <t>ORD_2025_0472</t>
  </si>
  <si>
    <t>ORD_2025_0473</t>
  </si>
  <si>
    <t>ORD_2025_0474</t>
  </si>
  <si>
    <t>ORD_2025_0475</t>
  </si>
  <si>
    <t>2024-05-07</t>
  </si>
  <si>
    <t>ORD_2025_0476</t>
  </si>
  <si>
    <t>ORD_2025_0477</t>
  </si>
  <si>
    <t>ORD_2025_0478</t>
  </si>
  <si>
    <t>ORD_2025_0479</t>
  </si>
  <si>
    <t>ORD_2025_0480</t>
  </si>
  <si>
    <t>ORD_2025_0481</t>
  </si>
  <si>
    <t>2024-12-07</t>
  </si>
  <si>
    <t>ORD_2025_0482</t>
  </si>
  <si>
    <t>2024-03-04</t>
  </si>
  <si>
    <t>ORD_2025_0483</t>
  </si>
  <si>
    <t>ORD_2025_0484</t>
  </si>
  <si>
    <t>ORD_2025_0485</t>
  </si>
  <si>
    <t>2024-12-26</t>
  </si>
  <si>
    <t>ORD_2025_0486</t>
  </si>
  <si>
    <t>ORD_2025_0487</t>
  </si>
  <si>
    <t>2024-12-05</t>
  </si>
  <si>
    <t>ORD_2025_0488</t>
  </si>
  <si>
    <t>2024-01-21</t>
  </si>
  <si>
    <t>ORD_2025_0489</t>
  </si>
  <si>
    <t>2025-05-10</t>
  </si>
  <si>
    <t>ORD_2025_0490</t>
  </si>
  <si>
    <t>2024-09-15</t>
  </si>
  <si>
    <t>ORD_2025_0491</t>
  </si>
  <si>
    <t>2024-05-27</t>
  </si>
  <si>
    <t>ORD_2025_0492</t>
  </si>
  <si>
    <t>ORD_2025_0493</t>
  </si>
  <si>
    <t>ORD_2025_0494</t>
  </si>
  <si>
    <t>2024-04-17</t>
  </si>
  <si>
    <t>ORD_2025_0495</t>
  </si>
  <si>
    <t>2025-02-18</t>
  </si>
  <si>
    <t>ORD_2025_0496</t>
  </si>
  <si>
    <t>2024-04-13</t>
  </si>
  <si>
    <t>ORD_2025_0497</t>
  </si>
  <si>
    <t>2024-07-04</t>
  </si>
  <si>
    <t>ORD_2025_0498</t>
  </si>
  <si>
    <t>ORD_2025_0499</t>
  </si>
  <si>
    <t>2024-09-02</t>
  </si>
  <si>
    <t>ORD_2025_0500</t>
  </si>
  <si>
    <t>Usa</t>
  </si>
  <si>
    <t>Uk</t>
  </si>
  <si>
    <t>Uae</t>
  </si>
  <si>
    <t/>
  </si>
  <si>
    <t>Jan-2025</t>
  </si>
  <si>
    <t>Feb-2025</t>
  </si>
  <si>
    <t>Apr-2024</t>
  </si>
  <si>
    <t>Oct-2024</t>
  </si>
  <si>
    <t>Jun-2024</t>
  </si>
  <si>
    <t>May-2025</t>
  </si>
  <si>
    <t>Sep-2024</t>
  </si>
  <si>
    <t>Aug-2024</t>
  </si>
  <si>
    <t>Apr-2025</t>
  </si>
  <si>
    <t>Dec-2024</t>
  </si>
  <si>
    <t>Feb-2024</t>
  </si>
  <si>
    <t>Mar-2024</t>
  </si>
  <si>
    <t>Jul-2024</t>
  </si>
  <si>
    <t>Mar-2025</t>
  </si>
  <si>
    <t>May-2024</t>
  </si>
  <si>
    <t>Nov-2024</t>
  </si>
  <si>
    <t>Jan-2024</t>
  </si>
  <si>
    <t>Column1</t>
  </si>
  <si>
    <t>COGS</t>
  </si>
  <si>
    <t>AVG</t>
  </si>
  <si>
    <t>MAX</t>
  </si>
  <si>
    <t>MIN</t>
  </si>
  <si>
    <t>Profit margin</t>
  </si>
  <si>
    <t>PROFIT_MARGIN</t>
  </si>
  <si>
    <t>FIRST_NAME</t>
  </si>
  <si>
    <t>LAST_NAME</t>
  </si>
  <si>
    <t>CUSTOMER_CODE</t>
  </si>
  <si>
    <t>FLAG_CONDITION</t>
  </si>
  <si>
    <t>Row Labels</t>
  </si>
  <si>
    <t>Grand Total</t>
  </si>
  <si>
    <t>Column Labels</t>
  </si>
  <si>
    <t>Sum of Total_Sales</t>
  </si>
  <si>
    <t>Sum of Profit</t>
  </si>
  <si>
    <t>Total Sum of Total_Sales</t>
  </si>
  <si>
    <t>Total Sum of Profit</t>
  </si>
  <si>
    <t>(blank)</t>
  </si>
  <si>
    <t>Profit_margin</t>
  </si>
  <si>
    <t>MONTHS</t>
  </si>
  <si>
    <t>Jan</t>
  </si>
  <si>
    <t>Feb</t>
  </si>
  <si>
    <t>Mar</t>
  </si>
  <si>
    <t>Apr</t>
  </si>
  <si>
    <t>May</t>
  </si>
  <si>
    <t>Jun</t>
  </si>
  <si>
    <t>Jul</t>
  </si>
  <si>
    <t>Aug</t>
  </si>
  <si>
    <t>Sep</t>
  </si>
  <si>
    <t>Oct</t>
  </si>
  <si>
    <t>Nov</t>
  </si>
  <si>
    <t>Dec</t>
  </si>
  <si>
    <t>Origin</t>
  </si>
  <si>
    <t>Region_Name</t>
  </si>
  <si>
    <t>Total_sales2</t>
  </si>
  <si>
    <t>Total_profit</t>
  </si>
  <si>
    <t>Average_sales</t>
  </si>
  <si>
    <t>Average_profit</t>
  </si>
  <si>
    <t>Total Orders</t>
  </si>
  <si>
    <t>Total Sales</t>
  </si>
  <si>
    <t>Total Profit</t>
  </si>
  <si>
    <t>Avg Profit Margin</t>
  </si>
  <si>
    <t>Avg Shipping Cost</t>
  </si>
  <si>
    <t>Top Region by Sales</t>
  </si>
  <si>
    <t>Top Product by Profit</t>
  </si>
  <si>
    <t xml:space="preserve">Monthly Sales vs Profit </t>
  </si>
  <si>
    <t>Category Share of Sales</t>
  </si>
  <si>
    <t>Top 5 Products by Sales</t>
  </si>
  <si>
    <t>Avg Profit Margin by Region</t>
  </si>
  <si>
    <t>Shipping Cost vs Profit</t>
  </si>
  <si>
    <t>Region-wise Sales &amp; Profit</t>
  </si>
  <si>
    <t xml:space="preserve">Order Priority Distribution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</si>
</sst>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mm:ss"/>
    <numFmt numFmtId="165" formatCode="\$#,##0"/>
    <numFmt numFmtId="166" formatCode="0.0%"/>
    <numFmt numFmtId="167" formatCode="\$#,##0.00"/>
  </numFmts>
  <fonts count="14" x14ac:knownFonts="1">
    <font>
      <sz val="11"/>
      <color theme="1"/>
      <name val="Calibri"/>
      <family val="2"/>
      <scheme val="minor"/>
    </font>
    <font>
      <b/>
      <sz val="12"/>
      <name val="Calibri"/>
      <family val="2"/>
    </font>
    <font>
      <b/>
      <sz val="11"/>
      <color rgb="FFFFFFFF"/>
      <name val="Calibri"/>
      <family val="2"/>
    </font>
    <font>
      <sz val="11"/>
      <color theme="1"/>
      <name val="Calibri"/>
      <family val="2"/>
      <scheme val="minor"/>
    </font>
    <font>
      <b/>
      <sz val="11"/>
      <color theme="1"/>
      <name val="Calibri"/>
      <family val="2"/>
      <scheme val="minor"/>
    </font>
    <font>
      <b/>
      <sz val="11"/>
      <name val="Calibri"/>
      <family val="2"/>
    </font>
    <font>
      <b/>
      <sz val="11"/>
      <name val="Calibri"/>
      <family val="2"/>
    </font>
    <font>
      <sz val="8"/>
      <name val="Calibri"/>
      <family val="2"/>
      <scheme val="minor"/>
    </font>
    <font>
      <b/>
      <sz val="12"/>
      <name val="Calibri"/>
      <family val="2"/>
    </font>
    <font>
      <sz val="11"/>
      <color rgb="FF000000"/>
      <name val="Calibri"/>
      <family val="2"/>
    </font>
    <font>
      <b/>
      <sz val="11"/>
      <name val="Calibri"/>
      <family val="2"/>
      <scheme val="minor"/>
    </font>
    <font>
      <sz val="11"/>
      <name val="Calibri"/>
      <family val="2"/>
      <scheme val="minor"/>
    </font>
    <font>
      <b/>
      <sz val="9"/>
      <color rgb="FFFFFFFF"/>
      <name val="Arial"/>
      <family val="2"/>
    </font>
    <font>
      <b/>
      <sz val="15"/>
      <color rgb="FFFFFFFF"/>
      <name val="Arial"/>
      <family val="2"/>
    </font>
  </fonts>
  <fills count="6">
    <fill>
      <patternFill patternType="none"/>
    </fill>
    <fill>
      <patternFill patternType="gray125"/>
    </fill>
    <fill>
      <patternFill patternType="solid">
        <fgColor rgb="FF4F81BD"/>
      </patternFill>
    </fill>
    <fill>
      <patternFill patternType="solid">
        <fgColor theme="4" tint="0.59999389629810485"/>
        <bgColor indexed="64"/>
      </patternFill>
    </fill>
    <fill>
      <patternFill patternType="solid">
        <fgColor theme="4" tint="-0.249977111117893"/>
        <bgColor rgb="FF4A7EBB"/>
      </patternFill>
    </fill>
    <fill>
      <patternFill patternType="solid">
        <fgColor theme="4" tint="-0.249977111117893"/>
        <bgColor rgb="FF595959"/>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indexed="64"/>
      </bottom>
      <diagonal/>
    </border>
    <border>
      <left style="thin">
        <color auto="1"/>
      </left>
      <right/>
      <top/>
      <bottom/>
      <diagonal/>
    </border>
    <border>
      <left style="thin">
        <color auto="1"/>
      </left>
      <right style="thin">
        <color auto="1"/>
      </right>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
      <left/>
      <right style="thin">
        <color auto="1"/>
      </right>
      <top/>
      <bottom/>
      <diagonal/>
    </border>
  </borders>
  <cellStyleXfs count="2">
    <xf numFmtId="0" fontId="0" fillId="0" borderId="0"/>
    <xf numFmtId="9" fontId="3" fillId="0" borderId="0" applyFont="0" applyFill="0" applyBorder="0" applyAlignment="0" applyProtection="0"/>
  </cellStyleXfs>
  <cellXfs count="47">
    <xf numFmtId="0" fontId="0" fillId="0" borderId="0" xfId="0"/>
    <xf numFmtId="0" fontId="2" fillId="2" borderId="0" xfId="0" applyFont="1" applyFill="1" applyAlignment="1">
      <alignment horizontal="center" wrapText="1"/>
    </xf>
    <xf numFmtId="164" fontId="0" fillId="0" borderId="0" xfId="0" applyNumberFormat="1"/>
    <xf numFmtId="0" fontId="5" fillId="0" borderId="2" xfId="0" applyFont="1" applyBorder="1" applyAlignment="1">
      <alignment horizontal="center" vertical="top"/>
    </xf>
    <xf numFmtId="0" fontId="6" fillId="0" borderId="1" xfId="0" applyFont="1" applyBorder="1" applyAlignment="1">
      <alignment horizontal="center" vertical="top"/>
    </xf>
    <xf numFmtId="9" fontId="0" fillId="0" borderId="0" xfId="1" applyFont="1"/>
    <xf numFmtId="0" fontId="0" fillId="0" borderId="0" xfId="0" applyAlignment="1">
      <alignment horizontal="center"/>
    </xf>
    <xf numFmtId="9" fontId="0" fillId="0" borderId="0" xfId="0" applyNumberFormat="1"/>
    <xf numFmtId="0" fontId="6" fillId="0" borderId="2" xfId="0" applyFont="1" applyBorder="1" applyAlignment="1">
      <alignment horizontal="center" vertical="top"/>
    </xf>
    <xf numFmtId="0" fontId="4" fillId="0" borderId="3" xfId="0" applyFont="1" applyBorder="1"/>
    <xf numFmtId="0" fontId="6" fillId="0" borderId="4" xfId="0" applyFont="1" applyBorder="1" applyAlignment="1">
      <alignment horizontal="center" vertical="top"/>
    </xf>
    <xf numFmtId="0" fontId="6" fillId="0" borderId="5" xfId="0" applyFont="1" applyBorder="1" applyAlignment="1">
      <alignment horizontal="center" vertical="top"/>
    </xf>
    <xf numFmtId="9" fontId="0" fillId="0" borderId="0" xfId="1" applyFont="1" applyAlignment="1">
      <alignment horizontal="center"/>
    </xf>
    <xf numFmtId="0" fontId="4" fillId="0" borderId="0" xfId="0" applyFont="1"/>
    <xf numFmtId="0" fontId="0" fillId="0" borderId="0" xfId="0" pivotButton="1"/>
    <xf numFmtId="0" fontId="0" fillId="0" borderId="0" xfId="0" applyAlignment="1">
      <alignment horizontal="left"/>
    </xf>
    <xf numFmtId="0" fontId="5" fillId="0" borderId="1" xfId="0" applyFont="1" applyBorder="1" applyAlignment="1">
      <alignment horizontal="center" vertical="top"/>
    </xf>
    <xf numFmtId="0" fontId="4" fillId="0" borderId="2" xfId="0" applyFont="1" applyBorder="1"/>
    <xf numFmtId="0" fontId="4" fillId="0" borderId="0" xfId="0" applyFont="1" applyAlignment="1">
      <alignment horizontal="center" vertical="top"/>
    </xf>
    <xf numFmtId="0" fontId="11" fillId="0" borderId="1" xfId="0" applyFont="1" applyBorder="1"/>
    <xf numFmtId="0" fontId="11" fillId="0" borderId="7" xfId="0" applyFont="1" applyBorder="1"/>
    <xf numFmtId="0" fontId="11" fillId="0" borderId="8" xfId="0" applyFont="1" applyBorder="1"/>
    <xf numFmtId="0" fontId="10" fillId="0" borderId="9" xfId="0" applyFont="1" applyBorder="1" applyAlignment="1">
      <alignment horizontal="center" vertical="top"/>
    </xf>
    <xf numFmtId="0" fontId="10" fillId="0" borderId="2" xfId="0" applyFont="1" applyBorder="1"/>
    <xf numFmtId="0" fontId="10" fillId="0" borderId="10" xfId="0" applyFont="1" applyBorder="1"/>
    <xf numFmtId="0" fontId="11" fillId="0" borderId="11" xfId="0" applyFont="1" applyBorder="1"/>
    <xf numFmtId="0" fontId="11" fillId="0" borderId="6" xfId="0" applyFont="1" applyBorder="1"/>
    <xf numFmtId="0" fontId="11" fillId="0" borderId="12" xfId="0" applyFont="1" applyBorder="1"/>
    <xf numFmtId="0" fontId="0" fillId="0" borderId="12" xfId="0" applyBorder="1"/>
    <xf numFmtId="0" fontId="0" fillId="0" borderId="11" xfId="0" applyBorder="1"/>
    <xf numFmtId="0" fontId="0" fillId="0" borderId="7" xfId="0" applyBorder="1"/>
    <xf numFmtId="0" fontId="0" fillId="0" borderId="8" xfId="0" applyBorder="1"/>
    <xf numFmtId="0" fontId="4" fillId="0" borderId="13" xfId="0" applyFont="1" applyBorder="1" applyAlignment="1">
      <alignment horizontal="center" vertical="top"/>
    </xf>
    <xf numFmtId="0" fontId="4" fillId="0" borderId="10" xfId="0" applyFont="1" applyBorder="1"/>
    <xf numFmtId="0" fontId="0" fillId="3" borderId="0" xfId="0" applyFill="1"/>
    <xf numFmtId="0" fontId="1" fillId="0" borderId="0" xfId="0" applyFont="1" applyAlignment="1">
      <alignment vertical="top" wrapText="1"/>
    </xf>
    <xf numFmtId="9" fontId="1" fillId="0" borderId="0" xfId="1" applyFont="1" applyAlignment="1">
      <alignment vertical="top" wrapText="1"/>
    </xf>
    <xf numFmtId="9" fontId="0" fillId="0" borderId="0" xfId="1" applyFont="1"/>
    <xf numFmtId="0" fontId="0" fillId="0" borderId="0" xfId="0"/>
    <xf numFmtId="0" fontId="8" fillId="0" borderId="0" xfId="0" applyFont="1" applyAlignment="1">
      <alignment vertical="top" wrapText="1"/>
    </xf>
    <xf numFmtId="49" fontId="13" fillId="5" borderId="0" xfId="0" applyNumberFormat="1" applyFont="1" applyFill="1" applyAlignment="1">
      <alignment horizontal="center" vertical="center"/>
    </xf>
    <xf numFmtId="0" fontId="12" fillId="4" borderId="0" xfId="0" applyFont="1" applyFill="1" applyAlignment="1">
      <alignment horizontal="center" vertical="center" wrapText="1"/>
    </xf>
    <xf numFmtId="0" fontId="12" fillId="5" borderId="0" xfId="0" applyFont="1" applyFill="1" applyAlignment="1">
      <alignment horizontal="center" vertical="center" wrapText="1"/>
    </xf>
    <xf numFmtId="1" fontId="13" fillId="4" borderId="0" xfId="0" applyNumberFormat="1" applyFont="1" applyFill="1" applyAlignment="1">
      <alignment horizontal="center" vertical="center"/>
    </xf>
    <xf numFmtId="165" fontId="13" fillId="4" borderId="0" xfId="0" applyNumberFormat="1" applyFont="1" applyFill="1" applyAlignment="1">
      <alignment horizontal="center" vertical="center"/>
    </xf>
    <xf numFmtId="166" fontId="13" fillId="4" borderId="0" xfId="0" applyNumberFormat="1" applyFont="1" applyFill="1" applyAlignment="1">
      <alignment horizontal="center" vertical="center"/>
    </xf>
    <xf numFmtId="167" fontId="13" fillId="4" borderId="0" xfId="0" applyNumberFormat="1" applyFont="1" applyFill="1" applyAlignment="1">
      <alignment horizontal="center" vertical="center"/>
    </xf>
  </cellXfs>
  <cellStyles count="2">
    <cellStyle name="Normal" xfId="0" builtinId="0"/>
    <cellStyle name="Percent" xfId="1" builtinId="5"/>
  </cellStyles>
  <dxfs count="68">
    <dxf>
      <fill>
        <patternFill>
          <fgColor indexed="64"/>
          <bgColor rgb="FF00B050"/>
        </patternFill>
      </fill>
    </dxf>
    <dxf>
      <fill>
        <patternFill>
          <bgColor rgb="FF00B050"/>
        </patternFill>
      </fill>
    </dxf>
    <dxf>
      <font>
        <color rgb="FF006100"/>
      </font>
      <fill>
        <patternFill>
          <bgColor rgb="FFC6EFCE"/>
        </patternFill>
      </fil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1"/>
        <color auto="1"/>
        <name val="Calibri"/>
        <family val="2"/>
        <scheme val="none"/>
      </font>
      <fill>
        <patternFill patternType="none">
          <fgColor indexed="64"/>
          <bgColor indexed="65"/>
        </patternFill>
      </fill>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3" formatCode="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numFmt numFmtId="0" formatCode="General"/>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Data.xlsx]Q8_Charts!PivotTable3</c:name>
    <c:fmtId val="0"/>
  </c:pivotSource>
  <c:chart>
    <c:autoTitleDeleted val="0"/>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Q8_Charts!$B$4</c:f>
              <c:strCache>
                <c:ptCount val="1"/>
                <c:pt idx="0">
                  <c:v>Sum of Profit</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Q8_Charts!$A$5:$A$17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Q8_Charts!$B$5:$B$17</c:f>
              <c:numCache>
                <c:formatCode>General</c:formatCode>
                <c:ptCount val="12"/>
                <c:pt idx="0">
                  <c:v>13464.060000000003</c:v>
                </c:pt>
                <c:pt idx="1">
                  <c:v>16542.95</c:v>
                </c:pt>
                <c:pt idx="2">
                  <c:v>17797.150000000001</c:v>
                </c:pt>
                <c:pt idx="3">
                  <c:v>14560.49</c:v>
                </c:pt>
                <c:pt idx="4">
                  <c:v>8828.5399999999991</c:v>
                </c:pt>
                <c:pt idx="5">
                  <c:v>11775.910000000003</c:v>
                </c:pt>
                <c:pt idx="6">
                  <c:v>8441.1899999999987</c:v>
                </c:pt>
                <c:pt idx="7">
                  <c:v>7976.39</c:v>
                </c:pt>
                <c:pt idx="8">
                  <c:v>8387.18</c:v>
                </c:pt>
                <c:pt idx="9">
                  <c:v>7552.51</c:v>
                </c:pt>
                <c:pt idx="10">
                  <c:v>7763.1299999999983</c:v>
                </c:pt>
                <c:pt idx="11">
                  <c:v>10480.899999999998</c:v>
                </c:pt>
              </c:numCache>
            </c:numRef>
          </c:val>
          <c:smooth val="0"/>
          <c:extLst>
            <c:ext xmlns:c16="http://schemas.microsoft.com/office/drawing/2014/chart" uri="{C3380CC4-5D6E-409C-BE32-E72D297353CC}">
              <c16:uniqueId val="{00000000-5242-43D6-AA4F-CBB2D4EA314F}"/>
            </c:ext>
          </c:extLst>
        </c:ser>
        <c:ser>
          <c:idx val="1"/>
          <c:order val="1"/>
          <c:tx>
            <c:strRef>
              <c:f>Q8_Charts!$C$4</c:f>
              <c:strCache>
                <c:ptCount val="1"/>
                <c:pt idx="0">
                  <c:v>Sum of Total_Sales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Q8_Charts!$A$5:$A$17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Q8_Charts!$C$5:$C$17</c:f>
              <c:numCache>
                <c:formatCode>General</c:formatCode>
                <c:ptCount val="12"/>
                <c:pt idx="0">
                  <c:v>48705.329999999994</c:v>
                </c:pt>
                <c:pt idx="1">
                  <c:v>55444.229999999996</c:v>
                </c:pt>
                <c:pt idx="2">
                  <c:v>59605.460000000006</c:v>
                </c:pt>
                <c:pt idx="3">
                  <c:v>50615.600000000013</c:v>
                </c:pt>
                <c:pt idx="4">
                  <c:v>34777.109999999993</c:v>
                </c:pt>
                <c:pt idx="5">
                  <c:v>38692.6</c:v>
                </c:pt>
                <c:pt idx="6">
                  <c:v>30288.910000000003</c:v>
                </c:pt>
                <c:pt idx="7">
                  <c:v>28579.070000000003</c:v>
                </c:pt>
                <c:pt idx="8">
                  <c:v>31738.729999999996</c:v>
                </c:pt>
                <c:pt idx="9">
                  <c:v>25371.880000000005</c:v>
                </c:pt>
                <c:pt idx="10">
                  <c:v>31766.41</c:v>
                </c:pt>
                <c:pt idx="11">
                  <c:v>39119.29</c:v>
                </c:pt>
              </c:numCache>
            </c:numRef>
          </c:val>
          <c:smooth val="0"/>
          <c:extLst>
            <c:ext xmlns:c16="http://schemas.microsoft.com/office/drawing/2014/chart" uri="{C3380CC4-5D6E-409C-BE32-E72D297353CC}">
              <c16:uniqueId val="{00000002-5242-43D6-AA4F-CBB2D4EA314F}"/>
            </c:ext>
          </c:extLst>
        </c:ser>
        <c:dLbls>
          <c:showLegendKey val="0"/>
          <c:showVal val="0"/>
          <c:showCatName val="0"/>
          <c:showSerName val="0"/>
          <c:showPercent val="0"/>
          <c:showBubbleSize val="0"/>
        </c:dLbls>
        <c:marker val="1"/>
        <c:smooth val="0"/>
        <c:axId val="302816751"/>
        <c:axId val="302813871"/>
      </c:lineChart>
      <c:catAx>
        <c:axId val="302816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02813871"/>
        <c:crosses val="autoZero"/>
        <c:auto val="1"/>
        <c:lblAlgn val="ctr"/>
        <c:lblOffset val="100"/>
        <c:noMultiLvlLbl val="0"/>
      </c:catAx>
      <c:valAx>
        <c:axId val="302813871"/>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81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Data.xlsx]Q8_Charts!PivotTable5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92038495188101E-2"/>
          <c:y val="0.2572178477690289"/>
          <c:w val="0.67278915135608053"/>
          <c:h val="0.65853091280256637"/>
        </c:manualLayout>
      </c:layout>
      <c:barChart>
        <c:barDir val="col"/>
        <c:grouping val="clustered"/>
        <c:varyColors val="0"/>
        <c:ser>
          <c:idx val="0"/>
          <c:order val="0"/>
          <c:tx>
            <c:strRef>
              <c:f>Q8_Charts!$B$20:$B$21</c:f>
              <c:strCache>
                <c:ptCount val="1"/>
                <c:pt idx="0">
                  <c:v>Accessories</c:v>
                </c:pt>
              </c:strCache>
            </c:strRef>
          </c:tx>
          <c:spPr>
            <a:solidFill>
              <a:schemeClr val="accent1"/>
            </a:solidFill>
            <a:ln>
              <a:noFill/>
            </a:ln>
            <a:effectLst/>
          </c:spPr>
          <c:invertIfNegative val="0"/>
          <c:cat>
            <c:strRef>
              <c:f>Q8_Charts!$A$22:$A$28</c:f>
              <c:strCache>
                <c:ptCount val="6"/>
                <c:pt idx="0">
                  <c:v>AF</c:v>
                </c:pt>
                <c:pt idx="1">
                  <c:v>AS</c:v>
                </c:pt>
                <c:pt idx="2">
                  <c:v>EU</c:v>
                </c:pt>
                <c:pt idx="3">
                  <c:v>NA</c:v>
                </c:pt>
                <c:pt idx="4">
                  <c:v>OC</c:v>
                </c:pt>
                <c:pt idx="5">
                  <c:v>SA</c:v>
                </c:pt>
              </c:strCache>
            </c:strRef>
          </c:cat>
          <c:val>
            <c:numRef>
              <c:f>Q8_Charts!$B$22:$B$28</c:f>
              <c:numCache>
                <c:formatCode>General</c:formatCode>
                <c:ptCount val="6"/>
                <c:pt idx="0">
                  <c:v>6956.41</c:v>
                </c:pt>
                <c:pt idx="1">
                  <c:v>33225.639999999992</c:v>
                </c:pt>
                <c:pt idx="2">
                  <c:v>30642.080000000002</c:v>
                </c:pt>
                <c:pt idx="3">
                  <c:v>24079.71</c:v>
                </c:pt>
                <c:pt idx="4">
                  <c:v>6810.06</c:v>
                </c:pt>
                <c:pt idx="5">
                  <c:v>8480.99</c:v>
                </c:pt>
              </c:numCache>
            </c:numRef>
          </c:val>
          <c:extLst>
            <c:ext xmlns:c16="http://schemas.microsoft.com/office/drawing/2014/chart" uri="{C3380CC4-5D6E-409C-BE32-E72D297353CC}">
              <c16:uniqueId val="{00000000-DF42-4510-9409-463D05FD0D69}"/>
            </c:ext>
          </c:extLst>
        </c:ser>
        <c:ser>
          <c:idx val="1"/>
          <c:order val="1"/>
          <c:tx>
            <c:strRef>
              <c:f>Q8_Charts!$C$20:$C$21</c:f>
              <c:strCache>
                <c:ptCount val="1"/>
                <c:pt idx="0">
                  <c:v>Apparel</c:v>
                </c:pt>
              </c:strCache>
            </c:strRef>
          </c:tx>
          <c:spPr>
            <a:solidFill>
              <a:schemeClr val="accent2"/>
            </a:solidFill>
            <a:ln>
              <a:noFill/>
            </a:ln>
            <a:effectLst/>
          </c:spPr>
          <c:invertIfNegative val="0"/>
          <c:cat>
            <c:strRef>
              <c:f>Q8_Charts!$A$22:$A$28</c:f>
              <c:strCache>
                <c:ptCount val="6"/>
                <c:pt idx="0">
                  <c:v>AF</c:v>
                </c:pt>
                <c:pt idx="1">
                  <c:v>AS</c:v>
                </c:pt>
                <c:pt idx="2">
                  <c:v>EU</c:v>
                </c:pt>
                <c:pt idx="3">
                  <c:v>NA</c:v>
                </c:pt>
                <c:pt idx="4">
                  <c:v>OC</c:v>
                </c:pt>
                <c:pt idx="5">
                  <c:v>SA</c:v>
                </c:pt>
              </c:strCache>
            </c:strRef>
          </c:cat>
          <c:val>
            <c:numRef>
              <c:f>Q8_Charts!$C$22:$C$28</c:f>
              <c:numCache>
                <c:formatCode>General</c:formatCode>
                <c:ptCount val="6"/>
                <c:pt idx="0">
                  <c:v>6721.25</c:v>
                </c:pt>
                <c:pt idx="1">
                  <c:v>30263.43</c:v>
                </c:pt>
                <c:pt idx="2">
                  <c:v>11433.35</c:v>
                </c:pt>
                <c:pt idx="3">
                  <c:v>9625.9699999999993</c:v>
                </c:pt>
                <c:pt idx="4">
                  <c:v>12174.14</c:v>
                </c:pt>
                <c:pt idx="5">
                  <c:v>2134.23</c:v>
                </c:pt>
              </c:numCache>
            </c:numRef>
          </c:val>
          <c:extLst>
            <c:ext xmlns:c16="http://schemas.microsoft.com/office/drawing/2014/chart" uri="{C3380CC4-5D6E-409C-BE32-E72D297353CC}">
              <c16:uniqueId val="{00000001-DF42-4510-9409-463D05FD0D69}"/>
            </c:ext>
          </c:extLst>
        </c:ser>
        <c:ser>
          <c:idx val="2"/>
          <c:order val="2"/>
          <c:tx>
            <c:strRef>
              <c:f>Q8_Charts!$D$20:$D$21</c:f>
              <c:strCache>
                <c:ptCount val="1"/>
                <c:pt idx="0">
                  <c:v>Electronics</c:v>
                </c:pt>
              </c:strCache>
            </c:strRef>
          </c:tx>
          <c:spPr>
            <a:solidFill>
              <a:schemeClr val="accent3"/>
            </a:solidFill>
            <a:ln>
              <a:noFill/>
            </a:ln>
            <a:effectLst/>
          </c:spPr>
          <c:invertIfNegative val="0"/>
          <c:cat>
            <c:strRef>
              <c:f>Q8_Charts!$A$22:$A$28</c:f>
              <c:strCache>
                <c:ptCount val="6"/>
                <c:pt idx="0">
                  <c:v>AF</c:v>
                </c:pt>
                <c:pt idx="1">
                  <c:v>AS</c:v>
                </c:pt>
                <c:pt idx="2">
                  <c:v>EU</c:v>
                </c:pt>
                <c:pt idx="3">
                  <c:v>NA</c:v>
                </c:pt>
                <c:pt idx="4">
                  <c:v>OC</c:v>
                </c:pt>
                <c:pt idx="5">
                  <c:v>SA</c:v>
                </c:pt>
              </c:strCache>
            </c:strRef>
          </c:cat>
          <c:val>
            <c:numRef>
              <c:f>Q8_Charts!$D$22:$D$28</c:f>
              <c:numCache>
                <c:formatCode>General</c:formatCode>
                <c:ptCount val="6"/>
                <c:pt idx="0">
                  <c:v>7452.9400000000005</c:v>
                </c:pt>
                <c:pt idx="1">
                  <c:v>34174.130000000005</c:v>
                </c:pt>
                <c:pt idx="2">
                  <c:v>25086.150000000005</c:v>
                </c:pt>
                <c:pt idx="3">
                  <c:v>22495.010000000002</c:v>
                </c:pt>
                <c:pt idx="4">
                  <c:v>8892.01</c:v>
                </c:pt>
                <c:pt idx="5">
                  <c:v>16927.670000000002</c:v>
                </c:pt>
              </c:numCache>
            </c:numRef>
          </c:val>
          <c:extLst>
            <c:ext xmlns:c16="http://schemas.microsoft.com/office/drawing/2014/chart" uri="{C3380CC4-5D6E-409C-BE32-E72D297353CC}">
              <c16:uniqueId val="{00000002-DF42-4510-9409-463D05FD0D69}"/>
            </c:ext>
          </c:extLst>
        </c:ser>
        <c:ser>
          <c:idx val="3"/>
          <c:order val="3"/>
          <c:tx>
            <c:strRef>
              <c:f>Q8_Charts!$E$20:$E$21</c:f>
              <c:strCache>
                <c:ptCount val="1"/>
                <c:pt idx="0">
                  <c:v>Home Decor</c:v>
                </c:pt>
              </c:strCache>
            </c:strRef>
          </c:tx>
          <c:spPr>
            <a:solidFill>
              <a:schemeClr val="accent4"/>
            </a:solidFill>
            <a:ln>
              <a:noFill/>
            </a:ln>
            <a:effectLst/>
          </c:spPr>
          <c:invertIfNegative val="0"/>
          <c:cat>
            <c:strRef>
              <c:f>Q8_Charts!$A$22:$A$28</c:f>
              <c:strCache>
                <c:ptCount val="6"/>
                <c:pt idx="0">
                  <c:v>AF</c:v>
                </c:pt>
                <c:pt idx="1">
                  <c:v>AS</c:v>
                </c:pt>
                <c:pt idx="2">
                  <c:v>EU</c:v>
                </c:pt>
                <c:pt idx="3">
                  <c:v>NA</c:v>
                </c:pt>
                <c:pt idx="4">
                  <c:v>OC</c:v>
                </c:pt>
                <c:pt idx="5">
                  <c:v>SA</c:v>
                </c:pt>
              </c:strCache>
            </c:strRef>
          </c:cat>
          <c:val>
            <c:numRef>
              <c:f>Q8_Charts!$E$22:$E$28</c:f>
              <c:numCache>
                <c:formatCode>General</c:formatCode>
                <c:ptCount val="6"/>
                <c:pt idx="0">
                  <c:v>8364.44</c:v>
                </c:pt>
                <c:pt idx="1">
                  <c:v>51860.89</c:v>
                </c:pt>
                <c:pt idx="2">
                  <c:v>33685.94</c:v>
                </c:pt>
                <c:pt idx="3">
                  <c:v>26924.320000000003</c:v>
                </c:pt>
                <c:pt idx="4">
                  <c:v>6972.93</c:v>
                </c:pt>
                <c:pt idx="5">
                  <c:v>2088.92</c:v>
                </c:pt>
              </c:numCache>
            </c:numRef>
          </c:val>
          <c:extLst>
            <c:ext xmlns:c16="http://schemas.microsoft.com/office/drawing/2014/chart" uri="{C3380CC4-5D6E-409C-BE32-E72D297353CC}">
              <c16:uniqueId val="{00000003-DF42-4510-9409-463D05FD0D69}"/>
            </c:ext>
          </c:extLst>
        </c:ser>
        <c:ser>
          <c:idx val="4"/>
          <c:order val="4"/>
          <c:tx>
            <c:strRef>
              <c:f>Q8_Charts!$F$20:$F$21</c:f>
              <c:strCache>
                <c:ptCount val="1"/>
                <c:pt idx="0">
                  <c:v>Textiles</c:v>
                </c:pt>
              </c:strCache>
            </c:strRef>
          </c:tx>
          <c:spPr>
            <a:solidFill>
              <a:schemeClr val="accent5"/>
            </a:solidFill>
            <a:ln>
              <a:noFill/>
            </a:ln>
            <a:effectLst/>
          </c:spPr>
          <c:invertIfNegative val="0"/>
          <c:cat>
            <c:strRef>
              <c:f>Q8_Charts!$A$22:$A$28</c:f>
              <c:strCache>
                <c:ptCount val="6"/>
                <c:pt idx="0">
                  <c:v>AF</c:v>
                </c:pt>
                <c:pt idx="1">
                  <c:v>AS</c:v>
                </c:pt>
                <c:pt idx="2">
                  <c:v>EU</c:v>
                </c:pt>
                <c:pt idx="3">
                  <c:v>NA</c:v>
                </c:pt>
                <c:pt idx="4">
                  <c:v>OC</c:v>
                </c:pt>
                <c:pt idx="5">
                  <c:v>SA</c:v>
                </c:pt>
              </c:strCache>
            </c:strRef>
          </c:cat>
          <c:val>
            <c:numRef>
              <c:f>Q8_Charts!$F$22:$F$28</c:f>
              <c:numCache>
                <c:formatCode>General</c:formatCode>
                <c:ptCount val="6"/>
                <c:pt idx="1">
                  <c:v>21644.309999999998</c:v>
                </c:pt>
                <c:pt idx="2">
                  <c:v>14367.099999999999</c:v>
                </c:pt>
                <c:pt idx="3">
                  <c:v>3820.0600000000004</c:v>
                </c:pt>
                <c:pt idx="4">
                  <c:v>2168.3200000000002</c:v>
                </c:pt>
                <c:pt idx="5">
                  <c:v>5232.22</c:v>
                </c:pt>
              </c:numCache>
            </c:numRef>
          </c:val>
          <c:extLst>
            <c:ext xmlns:c16="http://schemas.microsoft.com/office/drawing/2014/chart" uri="{C3380CC4-5D6E-409C-BE32-E72D297353CC}">
              <c16:uniqueId val="{00000004-DF42-4510-9409-463D05FD0D69}"/>
            </c:ext>
          </c:extLst>
        </c:ser>
        <c:dLbls>
          <c:showLegendKey val="0"/>
          <c:showVal val="0"/>
          <c:showCatName val="0"/>
          <c:showSerName val="0"/>
          <c:showPercent val="0"/>
          <c:showBubbleSize val="0"/>
        </c:dLbls>
        <c:gapWidth val="219"/>
        <c:overlap val="-27"/>
        <c:axId val="71553775"/>
        <c:axId val="71554735"/>
      </c:barChart>
      <c:catAx>
        <c:axId val="7155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54735"/>
        <c:crosses val="autoZero"/>
        <c:auto val="1"/>
        <c:lblAlgn val="ctr"/>
        <c:lblOffset val="100"/>
        <c:noMultiLvlLbl val="0"/>
      </c:catAx>
      <c:valAx>
        <c:axId val="71554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5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Sum of Profit</c:v>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13464.060000000003</c:v>
              </c:pt>
              <c:pt idx="1">
                <c:v>16542.95</c:v>
              </c:pt>
              <c:pt idx="2">
                <c:v>17797.150000000001</c:v>
              </c:pt>
              <c:pt idx="3">
                <c:v>14560.49</c:v>
              </c:pt>
              <c:pt idx="4">
                <c:v>8828.5399999999991</c:v>
              </c:pt>
              <c:pt idx="5">
                <c:v>11775.910000000003</c:v>
              </c:pt>
              <c:pt idx="6">
                <c:v>8441.1899999999987</c:v>
              </c:pt>
              <c:pt idx="7">
                <c:v>7976.39</c:v>
              </c:pt>
              <c:pt idx="8">
                <c:v>8387.18</c:v>
              </c:pt>
              <c:pt idx="9">
                <c:v>7552.51</c:v>
              </c:pt>
              <c:pt idx="10">
                <c:v>7763.1299999999983</c:v>
              </c:pt>
              <c:pt idx="11">
                <c:v>10480.899999999998</c:v>
              </c:pt>
            </c:numLit>
          </c:val>
          <c:smooth val="0"/>
          <c:extLst>
            <c:ext xmlns:c16="http://schemas.microsoft.com/office/drawing/2014/chart" uri="{C3380CC4-5D6E-409C-BE32-E72D297353CC}">
              <c16:uniqueId val="{00000000-62DE-4F03-9950-E82AD95CA49D}"/>
            </c:ext>
          </c:extLst>
        </c:ser>
        <c:ser>
          <c:idx val="1"/>
          <c:order val="1"/>
          <c:tx>
            <c:v>Sum of Total_Sales</c:v>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48705.329999999994</c:v>
              </c:pt>
              <c:pt idx="1">
                <c:v>55444.229999999996</c:v>
              </c:pt>
              <c:pt idx="2">
                <c:v>59605.460000000006</c:v>
              </c:pt>
              <c:pt idx="3">
                <c:v>50615.600000000013</c:v>
              </c:pt>
              <c:pt idx="4">
                <c:v>34777.109999999993</c:v>
              </c:pt>
              <c:pt idx="5">
                <c:v>38692.6</c:v>
              </c:pt>
              <c:pt idx="6">
                <c:v>30288.910000000003</c:v>
              </c:pt>
              <c:pt idx="7">
                <c:v>28579.070000000003</c:v>
              </c:pt>
              <c:pt idx="8">
                <c:v>31738.729999999996</c:v>
              </c:pt>
              <c:pt idx="9">
                <c:v>25371.880000000005</c:v>
              </c:pt>
              <c:pt idx="10">
                <c:v>31766.41</c:v>
              </c:pt>
              <c:pt idx="11">
                <c:v>39119.29</c:v>
              </c:pt>
            </c:numLit>
          </c:val>
          <c:smooth val="0"/>
          <c:extLst>
            <c:ext xmlns:c16="http://schemas.microsoft.com/office/drawing/2014/chart" uri="{C3380CC4-5D6E-409C-BE32-E72D297353CC}">
              <c16:uniqueId val="{00000001-62DE-4F03-9950-E82AD95CA49D}"/>
            </c:ext>
          </c:extLst>
        </c:ser>
        <c:dLbls>
          <c:showLegendKey val="0"/>
          <c:showVal val="0"/>
          <c:showCatName val="0"/>
          <c:showSerName val="0"/>
          <c:showPercent val="0"/>
          <c:showBubbleSize val="0"/>
        </c:dLbls>
        <c:marker val="1"/>
        <c:smooth val="0"/>
        <c:axId val="880449904"/>
        <c:axId val="880449424"/>
      </c:lineChart>
      <c:catAx>
        <c:axId val="8804499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449424"/>
        <c:crosses val="autoZero"/>
        <c:auto val="1"/>
        <c:lblAlgn val="ctr"/>
        <c:lblOffset val="100"/>
        <c:noMultiLvlLbl val="0"/>
      </c:catAx>
      <c:valAx>
        <c:axId val="880449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449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777766234084374E-2"/>
          <c:y val="0.12860892388451445"/>
          <c:w val="0.68191126817338843"/>
          <c:h val="0.66712598425196845"/>
        </c:manualLayout>
      </c:layout>
      <c:barChart>
        <c:barDir val="col"/>
        <c:grouping val="clustered"/>
        <c:varyColors val="0"/>
        <c:ser>
          <c:idx val="0"/>
          <c:order val="0"/>
          <c:tx>
            <c:v>Sum of Profit</c:v>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6"/>
              <c:pt idx="0">
                <c:v>AF</c:v>
              </c:pt>
              <c:pt idx="1">
                <c:v>AS</c:v>
              </c:pt>
              <c:pt idx="2">
                <c:v>EU</c:v>
              </c:pt>
              <c:pt idx="3">
                <c:v>NA</c:v>
              </c:pt>
              <c:pt idx="4">
                <c:v>OC</c:v>
              </c:pt>
              <c:pt idx="5">
                <c:v>SA</c:v>
              </c:pt>
            </c:strLit>
          </c:cat>
          <c:val>
            <c:numLit>
              <c:formatCode>General</c:formatCode>
              <c:ptCount val="6"/>
              <c:pt idx="0">
                <c:v>8967.3199999999979</c:v>
              </c:pt>
              <c:pt idx="1">
                <c:v>47915.860000000015</c:v>
              </c:pt>
              <c:pt idx="2">
                <c:v>32134.75</c:v>
              </c:pt>
              <c:pt idx="3">
                <c:v>24053.239999999994</c:v>
              </c:pt>
              <c:pt idx="4">
                <c:v>10162.700000000001</c:v>
              </c:pt>
              <c:pt idx="5">
                <c:v>10336.529999999999</c:v>
              </c:pt>
            </c:numLit>
          </c:val>
          <c:extLst>
            <c:ext xmlns:c16="http://schemas.microsoft.com/office/drawing/2014/chart" uri="{C3380CC4-5D6E-409C-BE32-E72D297353CC}">
              <c16:uniqueId val="{00000000-02E1-4127-8ABE-4AB5546C47FB}"/>
            </c:ext>
          </c:extLst>
        </c:ser>
        <c:ser>
          <c:idx val="1"/>
          <c:order val="1"/>
          <c:tx>
            <c:v>Sum of Total_Sales</c:v>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6"/>
              <c:pt idx="0">
                <c:v>AF</c:v>
              </c:pt>
              <c:pt idx="1">
                <c:v>AS</c:v>
              </c:pt>
              <c:pt idx="2">
                <c:v>EU</c:v>
              </c:pt>
              <c:pt idx="3">
                <c:v>NA</c:v>
              </c:pt>
              <c:pt idx="4">
                <c:v>OC</c:v>
              </c:pt>
              <c:pt idx="5">
                <c:v>SA</c:v>
              </c:pt>
            </c:strLit>
          </c:cat>
          <c:val>
            <c:numLit>
              <c:formatCode>General</c:formatCode>
              <c:ptCount val="6"/>
              <c:pt idx="0">
                <c:v>29495.040000000001</c:v>
              </c:pt>
              <c:pt idx="1">
                <c:v>171168.39999999991</c:v>
              </c:pt>
              <c:pt idx="2">
                <c:v>115214.62000000004</c:v>
              </c:pt>
              <c:pt idx="3">
                <c:v>86945.07</c:v>
              </c:pt>
              <c:pt idx="4">
                <c:v>37017.46</c:v>
              </c:pt>
              <c:pt idx="5">
                <c:v>34864.03</c:v>
              </c:pt>
            </c:numLit>
          </c:val>
          <c:extLst>
            <c:ext xmlns:c16="http://schemas.microsoft.com/office/drawing/2014/chart" uri="{C3380CC4-5D6E-409C-BE32-E72D297353CC}">
              <c16:uniqueId val="{00000001-02E1-4127-8ABE-4AB5546C47FB}"/>
            </c:ext>
          </c:extLst>
        </c:ser>
        <c:dLbls>
          <c:dLblPos val="outEnd"/>
          <c:showLegendKey val="0"/>
          <c:showVal val="1"/>
          <c:showCatName val="0"/>
          <c:showSerName val="0"/>
          <c:showPercent val="0"/>
          <c:showBubbleSize val="0"/>
        </c:dLbls>
        <c:gapWidth val="444"/>
        <c:overlap val="-90"/>
        <c:axId val="986625424"/>
        <c:axId val="986632144"/>
      </c:barChart>
      <c:catAx>
        <c:axId val="986625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86632144"/>
        <c:crosses val="autoZero"/>
        <c:auto val="1"/>
        <c:lblAlgn val="ctr"/>
        <c:lblOffset val="100"/>
        <c:noMultiLvlLbl val="0"/>
      </c:catAx>
      <c:valAx>
        <c:axId val="986632144"/>
        <c:scaling>
          <c:orientation val="minMax"/>
        </c:scaling>
        <c:delete val="1"/>
        <c:axPos val="l"/>
        <c:numFmt formatCode="General" sourceLinked="1"/>
        <c:majorTickMark val="none"/>
        <c:minorTickMark val="none"/>
        <c:tickLblPos val="nextTo"/>
        <c:crossAx val="986625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6"/>
              <c:pt idx="0">
                <c:v>AF</c:v>
              </c:pt>
              <c:pt idx="1">
                <c:v>AS</c:v>
              </c:pt>
              <c:pt idx="2">
                <c:v>EU</c:v>
              </c:pt>
              <c:pt idx="3">
                <c:v>NA</c:v>
              </c:pt>
              <c:pt idx="4">
                <c:v>OC</c:v>
              </c:pt>
              <c:pt idx="5">
                <c:v>SA</c:v>
              </c:pt>
            </c:strLit>
          </c:cat>
          <c:val>
            <c:numLit>
              <c:formatCode>General</c:formatCode>
              <c:ptCount val="6"/>
              <c:pt idx="0">
                <c:v>271.73696969696965</c:v>
              </c:pt>
              <c:pt idx="1">
                <c:v>267.68636871508386</c:v>
              </c:pt>
              <c:pt idx="2">
                <c:v>239.81156716417911</c:v>
              </c:pt>
              <c:pt idx="3">
                <c:v>276.47402298850568</c:v>
              </c:pt>
              <c:pt idx="4">
                <c:v>317.58437500000002</c:v>
              </c:pt>
              <c:pt idx="5">
                <c:v>295.32942857142854</c:v>
              </c:pt>
            </c:numLit>
          </c:val>
          <c:extLst>
            <c:ext xmlns:c16="http://schemas.microsoft.com/office/drawing/2014/chart" uri="{C3380CC4-5D6E-409C-BE32-E72D297353CC}">
              <c16:uniqueId val="{00000000-8A5D-4228-8102-7F9FBB97A466}"/>
            </c:ext>
          </c:extLst>
        </c:ser>
        <c:dLbls>
          <c:showLegendKey val="0"/>
          <c:showVal val="0"/>
          <c:showCatName val="0"/>
          <c:showSerName val="0"/>
          <c:showPercent val="0"/>
          <c:showBubbleSize val="0"/>
        </c:dLbls>
        <c:gapWidth val="219"/>
        <c:overlap val="-27"/>
        <c:axId val="986644624"/>
        <c:axId val="986628304"/>
      </c:barChart>
      <c:catAx>
        <c:axId val="98664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628304"/>
        <c:crosses val="autoZero"/>
        <c:auto val="1"/>
        <c:lblAlgn val="ctr"/>
        <c:lblOffset val="100"/>
        <c:noMultiLvlLbl val="0"/>
      </c:catAx>
      <c:valAx>
        <c:axId val="98662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64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4172395700197769E-2"/>
          <c:y val="0.2378613867063897"/>
          <c:w val="0.80533102826622183"/>
          <c:h val="0.70578314305824175"/>
        </c:manualLayout>
      </c:layout>
      <c:pie3DChart>
        <c:varyColors val="1"/>
        <c:ser>
          <c:idx val="0"/>
          <c:order val="0"/>
          <c:tx>
            <c:v>Total</c:v>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368-4749-B834-D2289083269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368-4749-B834-D2289083269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368-4749-B834-D2289083269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368-4749-B834-D2289083269C}"/>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4368-4749-B834-D228908326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Accessories</c:v>
              </c:pt>
              <c:pt idx="1">
                <c:v>Apparel</c:v>
              </c:pt>
              <c:pt idx="2">
                <c:v>Electronics</c:v>
              </c:pt>
              <c:pt idx="3">
                <c:v>Home Decor</c:v>
              </c:pt>
              <c:pt idx="4">
                <c:v>Textiles</c:v>
              </c:pt>
            </c:strLit>
          </c:cat>
          <c:val>
            <c:numLit>
              <c:formatCode>General</c:formatCode>
              <c:ptCount val="5"/>
              <c:pt idx="0">
                <c:v>110194.88999999997</c:v>
              </c:pt>
              <c:pt idx="1">
                <c:v>72352.37000000001</c:v>
              </c:pt>
              <c:pt idx="2">
                <c:v>115027.91000000003</c:v>
              </c:pt>
              <c:pt idx="3">
                <c:v>129897.44</c:v>
              </c:pt>
              <c:pt idx="4">
                <c:v>47232.010000000009</c:v>
              </c:pt>
            </c:numLit>
          </c:val>
          <c:extLst>
            <c:ext xmlns:c16="http://schemas.microsoft.com/office/drawing/2014/chart" uri="{C3380CC4-5D6E-409C-BE32-E72D297353CC}">
              <c16:uniqueId val="{0000000A-4368-4749-B834-D2289083269C}"/>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16912309150973"/>
          <c:y val="0.13335475613728523"/>
          <c:w val="0.57421825261740989"/>
          <c:h val="0.78093241689270443"/>
        </c:manualLayout>
      </c:layout>
      <c:barChart>
        <c:barDir val="bar"/>
        <c:grouping val="clustered"/>
        <c:varyColors val="0"/>
        <c:ser>
          <c:idx val="0"/>
          <c:order val="0"/>
          <c:tx>
            <c:v>Total</c:v>
          </c:tx>
          <c:spPr>
            <a:solidFill>
              <a:schemeClr val="accent1"/>
            </a:solidFill>
            <a:ln>
              <a:noFill/>
            </a:ln>
            <a:effectLst/>
          </c:spPr>
          <c:invertIfNegative val="0"/>
          <c:cat>
            <c:strLit>
              <c:ptCount val="10"/>
              <c:pt idx="0">
                <c:v>Bluetooth Speaker</c:v>
              </c:pt>
              <c:pt idx="1">
                <c:v>Ceramic Vase</c:v>
              </c:pt>
              <c:pt idx="2">
                <c:v>Cotton Bedsheet</c:v>
              </c:pt>
              <c:pt idx="3">
                <c:v>Denim Jacket</c:v>
              </c:pt>
              <c:pt idx="4">
                <c:v>Glass Bowl Set</c:v>
              </c:pt>
              <c:pt idx="5">
                <c:v>Leather Wallet</c:v>
              </c:pt>
              <c:pt idx="6">
                <c:v>LED Lamp</c:v>
              </c:pt>
              <c:pt idx="7">
                <c:v>Table Lamp</c:v>
              </c:pt>
              <c:pt idx="8">
                <c:v>Travel Backpack</c:v>
              </c:pt>
              <c:pt idx="9">
                <c:v>Wireless Mouse</c:v>
              </c:pt>
            </c:strLit>
          </c:cat>
          <c:val>
            <c:numLit>
              <c:formatCode>General</c:formatCode>
              <c:ptCount val="10"/>
              <c:pt idx="0">
                <c:v>10</c:v>
              </c:pt>
              <c:pt idx="1">
                <c:v>1</c:v>
              </c:pt>
              <c:pt idx="2">
                <c:v>3</c:v>
              </c:pt>
              <c:pt idx="3">
                <c:v>7</c:v>
              </c:pt>
              <c:pt idx="4">
                <c:v>9</c:v>
              </c:pt>
              <c:pt idx="5">
                <c:v>4</c:v>
              </c:pt>
              <c:pt idx="6">
                <c:v>5</c:v>
              </c:pt>
              <c:pt idx="7">
                <c:v>8</c:v>
              </c:pt>
              <c:pt idx="8">
                <c:v>6</c:v>
              </c:pt>
              <c:pt idx="9">
                <c:v>2</c:v>
              </c:pt>
            </c:numLit>
          </c:val>
          <c:extLst>
            <c:ext xmlns:c16="http://schemas.microsoft.com/office/drawing/2014/chart" uri="{C3380CC4-5D6E-409C-BE32-E72D297353CC}">
              <c16:uniqueId val="{00000000-2B79-4459-B502-F9D2DA75BDEC}"/>
            </c:ext>
          </c:extLst>
        </c:ser>
        <c:dLbls>
          <c:showLegendKey val="0"/>
          <c:showVal val="0"/>
          <c:showCatName val="0"/>
          <c:showSerName val="0"/>
          <c:showPercent val="0"/>
          <c:showBubbleSize val="0"/>
        </c:dLbls>
        <c:gapWidth val="182"/>
        <c:axId val="1237907632"/>
        <c:axId val="1237904752"/>
      </c:barChart>
      <c:catAx>
        <c:axId val="1237907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904752"/>
        <c:crosses val="autoZero"/>
        <c:auto val="1"/>
        <c:lblAlgn val="ctr"/>
        <c:lblOffset val="100"/>
        <c:noMultiLvlLbl val="0"/>
      </c:catAx>
      <c:valAx>
        <c:axId val="1237904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90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098044825540546"/>
          <c:y val="0.12139046811854597"/>
          <c:w val="0.80557825089520241"/>
          <c:h val="0.62198078266024226"/>
        </c:manualLayout>
      </c:layout>
      <c:line3DChart>
        <c:grouping val="standard"/>
        <c:varyColors val="0"/>
        <c:ser>
          <c:idx val="0"/>
          <c:order val="0"/>
          <c:tx>
            <c:v>Total</c:v>
          </c:tx>
          <c:spPr>
            <a:solidFill>
              <a:schemeClr val="accent1"/>
            </a:solidFill>
            <a:ln>
              <a:noFill/>
            </a:ln>
            <a:effectLst/>
            <a:sp3d/>
          </c:spPr>
          <c:cat>
            <c:strLit>
              <c:ptCount val="486"/>
              <c:pt idx="0">
                <c:v>0.5</c:v>
              </c:pt>
              <c:pt idx="1">
                <c:v>0.63</c:v>
              </c:pt>
              <c:pt idx="2">
                <c:v>0.65</c:v>
              </c:pt>
              <c:pt idx="3">
                <c:v>1.14</c:v>
              </c:pt>
              <c:pt idx="4">
                <c:v>1.26</c:v>
              </c:pt>
              <c:pt idx="5">
                <c:v>1.45</c:v>
              </c:pt>
              <c:pt idx="6">
                <c:v>1.58</c:v>
              </c:pt>
              <c:pt idx="7">
                <c:v>1.89</c:v>
              </c:pt>
              <c:pt idx="8">
                <c:v>2.04</c:v>
              </c:pt>
              <c:pt idx="9">
                <c:v>2.32</c:v>
              </c:pt>
              <c:pt idx="10">
                <c:v>2.34</c:v>
              </c:pt>
              <c:pt idx="11">
                <c:v>2.52</c:v>
              </c:pt>
              <c:pt idx="12">
                <c:v>2.61</c:v>
              </c:pt>
              <c:pt idx="13">
                <c:v>2.81</c:v>
              </c:pt>
              <c:pt idx="14">
                <c:v>3.35</c:v>
              </c:pt>
              <c:pt idx="15">
                <c:v>3.73</c:v>
              </c:pt>
              <c:pt idx="16">
                <c:v>3.76</c:v>
              </c:pt>
              <c:pt idx="17">
                <c:v>3.78</c:v>
              </c:pt>
              <c:pt idx="18">
                <c:v>4.04</c:v>
              </c:pt>
              <c:pt idx="19">
                <c:v>4.05</c:v>
              </c:pt>
              <c:pt idx="20">
                <c:v>4.11</c:v>
              </c:pt>
              <c:pt idx="21">
                <c:v>4.2</c:v>
              </c:pt>
              <c:pt idx="22">
                <c:v>4.28</c:v>
              </c:pt>
              <c:pt idx="23">
                <c:v>4.35</c:v>
              </c:pt>
              <c:pt idx="24">
                <c:v>4.42</c:v>
              </c:pt>
              <c:pt idx="25">
                <c:v>4.46</c:v>
              </c:pt>
              <c:pt idx="26">
                <c:v>4.59</c:v>
              </c:pt>
              <c:pt idx="27">
                <c:v>4.66</c:v>
              </c:pt>
              <c:pt idx="28">
                <c:v>4.73</c:v>
              </c:pt>
              <c:pt idx="29">
                <c:v>5.26</c:v>
              </c:pt>
              <c:pt idx="30">
                <c:v>5.37</c:v>
              </c:pt>
              <c:pt idx="31">
                <c:v>5.39</c:v>
              </c:pt>
              <c:pt idx="32">
                <c:v>5.6</c:v>
              </c:pt>
              <c:pt idx="33">
                <c:v>5.63</c:v>
              </c:pt>
              <c:pt idx="34">
                <c:v>5.91</c:v>
              </c:pt>
              <c:pt idx="35">
                <c:v>6.3</c:v>
              </c:pt>
              <c:pt idx="36">
                <c:v>6.33</c:v>
              </c:pt>
              <c:pt idx="37">
                <c:v>6.49</c:v>
              </c:pt>
              <c:pt idx="38">
                <c:v>6.59</c:v>
              </c:pt>
              <c:pt idx="39">
                <c:v>6.95</c:v>
              </c:pt>
              <c:pt idx="40">
                <c:v>6.97</c:v>
              </c:pt>
              <c:pt idx="41">
                <c:v>6.98</c:v>
              </c:pt>
              <c:pt idx="42">
                <c:v>7</c:v>
              </c:pt>
              <c:pt idx="43">
                <c:v>7.03</c:v>
              </c:pt>
              <c:pt idx="44">
                <c:v>7.04</c:v>
              </c:pt>
              <c:pt idx="45">
                <c:v>7.15</c:v>
              </c:pt>
              <c:pt idx="46">
                <c:v>7.22</c:v>
              </c:pt>
              <c:pt idx="47">
                <c:v>7.56</c:v>
              </c:pt>
              <c:pt idx="48">
                <c:v>7.75</c:v>
              </c:pt>
              <c:pt idx="49">
                <c:v>7.82</c:v>
              </c:pt>
              <c:pt idx="50">
                <c:v>8.08</c:v>
              </c:pt>
              <c:pt idx="51">
                <c:v>8.38</c:v>
              </c:pt>
              <c:pt idx="52">
                <c:v>8.66</c:v>
              </c:pt>
              <c:pt idx="53">
                <c:v>8.84</c:v>
              </c:pt>
              <c:pt idx="54">
                <c:v>8.99</c:v>
              </c:pt>
              <c:pt idx="55">
                <c:v>9.17</c:v>
              </c:pt>
              <c:pt idx="56">
                <c:v>9.47</c:v>
              </c:pt>
              <c:pt idx="57">
                <c:v>9.51</c:v>
              </c:pt>
              <c:pt idx="58">
                <c:v>9.64</c:v>
              </c:pt>
              <c:pt idx="59">
                <c:v>9.8</c:v>
              </c:pt>
              <c:pt idx="60">
                <c:v>10.01</c:v>
              </c:pt>
              <c:pt idx="61">
                <c:v>10.15</c:v>
              </c:pt>
              <c:pt idx="62">
                <c:v>10.21</c:v>
              </c:pt>
              <c:pt idx="63">
                <c:v>10.23</c:v>
              </c:pt>
              <c:pt idx="64">
                <c:v>10.3</c:v>
              </c:pt>
              <c:pt idx="65">
                <c:v>10.45</c:v>
              </c:pt>
              <c:pt idx="66">
                <c:v>10.76</c:v>
              </c:pt>
              <c:pt idx="67">
                <c:v>10.81</c:v>
              </c:pt>
              <c:pt idx="68">
                <c:v>10.97</c:v>
              </c:pt>
              <c:pt idx="69">
                <c:v>11.12</c:v>
              </c:pt>
              <c:pt idx="70">
                <c:v>11.19</c:v>
              </c:pt>
              <c:pt idx="71">
                <c:v>11.39</c:v>
              </c:pt>
              <c:pt idx="72">
                <c:v>11.64</c:v>
              </c:pt>
              <c:pt idx="73">
                <c:v>11.67</c:v>
              </c:pt>
              <c:pt idx="74">
                <c:v>11.78</c:v>
              </c:pt>
              <c:pt idx="75">
                <c:v>11.84</c:v>
              </c:pt>
              <c:pt idx="76">
                <c:v>11.85</c:v>
              </c:pt>
              <c:pt idx="77">
                <c:v>12</c:v>
              </c:pt>
              <c:pt idx="78">
                <c:v>12.5</c:v>
              </c:pt>
              <c:pt idx="79">
                <c:v>12.52</c:v>
              </c:pt>
              <c:pt idx="80">
                <c:v>12.66</c:v>
              </c:pt>
              <c:pt idx="81">
                <c:v>12.96</c:v>
              </c:pt>
              <c:pt idx="82">
                <c:v>13.03</c:v>
              </c:pt>
              <c:pt idx="83">
                <c:v>13.07</c:v>
              </c:pt>
              <c:pt idx="84">
                <c:v>13.21</c:v>
              </c:pt>
              <c:pt idx="85">
                <c:v>13.22</c:v>
              </c:pt>
              <c:pt idx="86">
                <c:v>13.29</c:v>
              </c:pt>
              <c:pt idx="87">
                <c:v>13.3</c:v>
              </c:pt>
              <c:pt idx="88">
                <c:v>13.36</c:v>
              </c:pt>
              <c:pt idx="89">
                <c:v>13.39</c:v>
              </c:pt>
              <c:pt idx="90">
                <c:v>13.53</c:v>
              </c:pt>
              <c:pt idx="91">
                <c:v>13.86</c:v>
              </c:pt>
              <c:pt idx="92">
                <c:v>14.08</c:v>
              </c:pt>
              <c:pt idx="93">
                <c:v>14.12</c:v>
              </c:pt>
              <c:pt idx="94">
                <c:v>14.4</c:v>
              </c:pt>
              <c:pt idx="95">
                <c:v>14.42</c:v>
              </c:pt>
              <c:pt idx="96">
                <c:v>14.45</c:v>
              </c:pt>
              <c:pt idx="97">
                <c:v>14.63</c:v>
              </c:pt>
              <c:pt idx="98">
                <c:v>14.68</c:v>
              </c:pt>
              <c:pt idx="99">
                <c:v>15.16</c:v>
              </c:pt>
              <c:pt idx="100">
                <c:v>15.18</c:v>
              </c:pt>
              <c:pt idx="101">
                <c:v>15.35</c:v>
              </c:pt>
              <c:pt idx="102">
                <c:v>15.36</c:v>
              </c:pt>
              <c:pt idx="103">
                <c:v>15.43</c:v>
              </c:pt>
              <c:pt idx="104">
                <c:v>15.49</c:v>
              </c:pt>
              <c:pt idx="105">
                <c:v>15.55</c:v>
              </c:pt>
              <c:pt idx="106">
                <c:v>15.57</c:v>
              </c:pt>
              <c:pt idx="107">
                <c:v>15.59</c:v>
              </c:pt>
              <c:pt idx="108">
                <c:v>15.6</c:v>
              </c:pt>
              <c:pt idx="109">
                <c:v>15.66</c:v>
              </c:pt>
              <c:pt idx="110">
                <c:v>15.68</c:v>
              </c:pt>
              <c:pt idx="111">
                <c:v>15.87</c:v>
              </c:pt>
              <c:pt idx="112">
                <c:v>15.95</c:v>
              </c:pt>
              <c:pt idx="113">
                <c:v>16.39</c:v>
              </c:pt>
              <c:pt idx="114">
                <c:v>16.59</c:v>
              </c:pt>
              <c:pt idx="115">
                <c:v>16.89</c:v>
              </c:pt>
              <c:pt idx="116">
                <c:v>16.91</c:v>
              </c:pt>
              <c:pt idx="117">
                <c:v>17.18</c:v>
              </c:pt>
              <c:pt idx="118">
                <c:v>17.2</c:v>
              </c:pt>
              <c:pt idx="119">
                <c:v>17.29</c:v>
              </c:pt>
              <c:pt idx="120">
                <c:v>17.64</c:v>
              </c:pt>
              <c:pt idx="121">
                <c:v>17.89</c:v>
              </c:pt>
              <c:pt idx="122">
                <c:v>18.04</c:v>
              </c:pt>
              <c:pt idx="123">
                <c:v>18.26</c:v>
              </c:pt>
              <c:pt idx="124">
                <c:v>18.45</c:v>
              </c:pt>
              <c:pt idx="125">
                <c:v>18.47</c:v>
              </c:pt>
              <c:pt idx="126">
                <c:v>18.64</c:v>
              </c:pt>
              <c:pt idx="127">
                <c:v>18.74</c:v>
              </c:pt>
              <c:pt idx="128">
                <c:v>18.75</c:v>
              </c:pt>
              <c:pt idx="129">
                <c:v>18.78</c:v>
              </c:pt>
              <c:pt idx="130">
                <c:v>19.1</c:v>
              </c:pt>
              <c:pt idx="131">
                <c:v>19.11</c:v>
              </c:pt>
              <c:pt idx="132">
                <c:v>19.45</c:v>
              </c:pt>
              <c:pt idx="133">
                <c:v>19.52</c:v>
              </c:pt>
              <c:pt idx="134">
                <c:v>19.63</c:v>
              </c:pt>
              <c:pt idx="135">
                <c:v>19.7</c:v>
              </c:pt>
              <c:pt idx="136">
                <c:v>20.17</c:v>
              </c:pt>
              <c:pt idx="137">
                <c:v>20.22</c:v>
              </c:pt>
              <c:pt idx="138">
                <c:v>20.44</c:v>
              </c:pt>
              <c:pt idx="139">
                <c:v>20.54</c:v>
              </c:pt>
              <c:pt idx="140">
                <c:v>21.23</c:v>
              </c:pt>
              <c:pt idx="141">
                <c:v>21.34</c:v>
              </c:pt>
              <c:pt idx="142">
                <c:v>21.4</c:v>
              </c:pt>
              <c:pt idx="143">
                <c:v>21.61</c:v>
              </c:pt>
              <c:pt idx="144">
                <c:v>21.62</c:v>
              </c:pt>
              <c:pt idx="145">
                <c:v>21.64</c:v>
              </c:pt>
              <c:pt idx="146">
                <c:v>22.03</c:v>
              </c:pt>
              <c:pt idx="147">
                <c:v>22.08</c:v>
              </c:pt>
              <c:pt idx="148">
                <c:v>22.22</c:v>
              </c:pt>
              <c:pt idx="149">
                <c:v>22.23</c:v>
              </c:pt>
              <c:pt idx="150">
                <c:v>22.33</c:v>
              </c:pt>
              <c:pt idx="151">
                <c:v>22.43</c:v>
              </c:pt>
              <c:pt idx="152">
                <c:v>22.61</c:v>
              </c:pt>
              <c:pt idx="153">
                <c:v>22.68</c:v>
              </c:pt>
              <c:pt idx="154">
                <c:v>22.74</c:v>
              </c:pt>
              <c:pt idx="155">
                <c:v>22.76</c:v>
              </c:pt>
              <c:pt idx="156">
                <c:v>22.88</c:v>
              </c:pt>
              <c:pt idx="157">
                <c:v>23.31</c:v>
              </c:pt>
              <c:pt idx="158">
                <c:v>23.97</c:v>
              </c:pt>
              <c:pt idx="159">
                <c:v>24.28</c:v>
              </c:pt>
              <c:pt idx="160">
                <c:v>24.66</c:v>
              </c:pt>
              <c:pt idx="161">
                <c:v>24.69</c:v>
              </c:pt>
              <c:pt idx="162">
                <c:v>25.19</c:v>
              </c:pt>
              <c:pt idx="163">
                <c:v>25.51</c:v>
              </c:pt>
              <c:pt idx="164">
                <c:v>25.56</c:v>
              </c:pt>
              <c:pt idx="165">
                <c:v>25.63</c:v>
              </c:pt>
              <c:pt idx="166">
                <c:v>25.68</c:v>
              </c:pt>
              <c:pt idx="167">
                <c:v>25.78</c:v>
              </c:pt>
              <c:pt idx="168">
                <c:v>25.8</c:v>
              </c:pt>
              <c:pt idx="169">
                <c:v>26.18</c:v>
              </c:pt>
              <c:pt idx="170">
                <c:v>26.23</c:v>
              </c:pt>
              <c:pt idx="171">
                <c:v>26.26</c:v>
              </c:pt>
              <c:pt idx="172">
                <c:v>26.28</c:v>
              </c:pt>
              <c:pt idx="173">
                <c:v>26.33</c:v>
              </c:pt>
              <c:pt idx="174">
                <c:v>26.42</c:v>
              </c:pt>
              <c:pt idx="175">
                <c:v>26.51</c:v>
              </c:pt>
              <c:pt idx="176">
                <c:v>26.73</c:v>
              </c:pt>
              <c:pt idx="177">
                <c:v>26.91</c:v>
              </c:pt>
              <c:pt idx="178">
                <c:v>26.93</c:v>
              </c:pt>
              <c:pt idx="179">
                <c:v>26.99</c:v>
              </c:pt>
              <c:pt idx="180">
                <c:v>27.02</c:v>
              </c:pt>
              <c:pt idx="181">
                <c:v>27.16</c:v>
              </c:pt>
              <c:pt idx="182">
                <c:v>27.24</c:v>
              </c:pt>
              <c:pt idx="183">
                <c:v>27.5</c:v>
              </c:pt>
              <c:pt idx="184">
                <c:v>28.4</c:v>
              </c:pt>
              <c:pt idx="185">
                <c:v>28.48</c:v>
              </c:pt>
              <c:pt idx="186">
                <c:v>28.6</c:v>
              </c:pt>
              <c:pt idx="187">
                <c:v>28.89</c:v>
              </c:pt>
              <c:pt idx="188">
                <c:v>29.02</c:v>
              </c:pt>
              <c:pt idx="189">
                <c:v>29.08</c:v>
              </c:pt>
              <c:pt idx="190">
                <c:v>29.35</c:v>
              </c:pt>
              <c:pt idx="191">
                <c:v>29.68</c:v>
              </c:pt>
              <c:pt idx="192">
                <c:v>29.87</c:v>
              </c:pt>
              <c:pt idx="193">
                <c:v>29.88</c:v>
              </c:pt>
              <c:pt idx="194">
                <c:v>29.93</c:v>
              </c:pt>
              <c:pt idx="195">
                <c:v>29.99</c:v>
              </c:pt>
              <c:pt idx="196">
                <c:v>30.04</c:v>
              </c:pt>
              <c:pt idx="197">
                <c:v>30.14</c:v>
              </c:pt>
              <c:pt idx="198">
                <c:v>30.23</c:v>
              </c:pt>
              <c:pt idx="199">
                <c:v>30.6</c:v>
              </c:pt>
              <c:pt idx="200">
                <c:v>31.29</c:v>
              </c:pt>
              <c:pt idx="201">
                <c:v>31.39</c:v>
              </c:pt>
              <c:pt idx="202">
                <c:v>31.41</c:v>
              </c:pt>
              <c:pt idx="203">
                <c:v>31.5</c:v>
              </c:pt>
              <c:pt idx="204">
                <c:v>31.7</c:v>
              </c:pt>
              <c:pt idx="205">
                <c:v>31.88</c:v>
              </c:pt>
              <c:pt idx="206">
                <c:v>31.92</c:v>
              </c:pt>
              <c:pt idx="207">
                <c:v>32.31</c:v>
              </c:pt>
              <c:pt idx="208">
                <c:v>32.34</c:v>
              </c:pt>
              <c:pt idx="209">
                <c:v>32.4</c:v>
              </c:pt>
              <c:pt idx="210">
                <c:v>32.67</c:v>
              </c:pt>
              <c:pt idx="211">
                <c:v>32.68</c:v>
              </c:pt>
              <c:pt idx="212">
                <c:v>32.73</c:v>
              </c:pt>
              <c:pt idx="213">
                <c:v>32.79</c:v>
              </c:pt>
              <c:pt idx="214">
                <c:v>32.8</c:v>
              </c:pt>
              <c:pt idx="215">
                <c:v>32.9</c:v>
              </c:pt>
              <c:pt idx="216">
                <c:v>32.93</c:v>
              </c:pt>
              <c:pt idx="217">
                <c:v>33.05</c:v>
              </c:pt>
              <c:pt idx="218">
                <c:v>33.15</c:v>
              </c:pt>
              <c:pt idx="219">
                <c:v>33.26</c:v>
              </c:pt>
              <c:pt idx="220">
                <c:v>33.51</c:v>
              </c:pt>
              <c:pt idx="221">
                <c:v>33.94</c:v>
              </c:pt>
              <c:pt idx="222">
                <c:v>34.13</c:v>
              </c:pt>
              <c:pt idx="223">
                <c:v>34.28</c:v>
              </c:pt>
              <c:pt idx="224">
                <c:v>35.07</c:v>
              </c:pt>
              <c:pt idx="225">
                <c:v>35.32</c:v>
              </c:pt>
              <c:pt idx="226">
                <c:v>35.34</c:v>
              </c:pt>
              <c:pt idx="227">
                <c:v>35.65</c:v>
              </c:pt>
              <c:pt idx="228">
                <c:v>35.81</c:v>
              </c:pt>
              <c:pt idx="229">
                <c:v>36.48</c:v>
              </c:pt>
              <c:pt idx="230">
                <c:v>36.63</c:v>
              </c:pt>
              <c:pt idx="231">
                <c:v>36.65</c:v>
              </c:pt>
              <c:pt idx="232">
                <c:v>36.76</c:v>
              </c:pt>
              <c:pt idx="233">
                <c:v>36.85</c:v>
              </c:pt>
              <c:pt idx="234">
                <c:v>37.01</c:v>
              </c:pt>
              <c:pt idx="235">
                <c:v>37.33</c:v>
              </c:pt>
              <c:pt idx="236">
                <c:v>37.37</c:v>
              </c:pt>
              <c:pt idx="237">
                <c:v>37.59</c:v>
              </c:pt>
              <c:pt idx="238">
                <c:v>38.26</c:v>
              </c:pt>
              <c:pt idx="239">
                <c:v>38.32</c:v>
              </c:pt>
              <c:pt idx="240">
                <c:v>38.34</c:v>
              </c:pt>
              <c:pt idx="241">
                <c:v>38.37</c:v>
              </c:pt>
              <c:pt idx="242">
                <c:v>38.42</c:v>
              </c:pt>
              <c:pt idx="243">
                <c:v>38.43</c:v>
              </c:pt>
              <c:pt idx="244">
                <c:v>38.57</c:v>
              </c:pt>
              <c:pt idx="245">
                <c:v>38.73</c:v>
              </c:pt>
              <c:pt idx="246">
                <c:v>38.77</c:v>
              </c:pt>
              <c:pt idx="247">
                <c:v>39.23</c:v>
              </c:pt>
              <c:pt idx="248">
                <c:v>39.8</c:v>
              </c:pt>
              <c:pt idx="249">
                <c:v>40</c:v>
              </c:pt>
              <c:pt idx="250">
                <c:v>40.09</c:v>
              </c:pt>
              <c:pt idx="251">
                <c:v>40.13</c:v>
              </c:pt>
              <c:pt idx="252">
                <c:v>40.25</c:v>
              </c:pt>
              <c:pt idx="253">
                <c:v>40.42</c:v>
              </c:pt>
              <c:pt idx="254">
                <c:v>41.18</c:v>
              </c:pt>
              <c:pt idx="255">
                <c:v>41.34</c:v>
              </c:pt>
              <c:pt idx="256">
                <c:v>42.15</c:v>
              </c:pt>
              <c:pt idx="257">
                <c:v>43.01</c:v>
              </c:pt>
              <c:pt idx="258">
                <c:v>43.1</c:v>
              </c:pt>
              <c:pt idx="259">
                <c:v>43.55</c:v>
              </c:pt>
              <c:pt idx="260">
                <c:v>43.87</c:v>
              </c:pt>
              <c:pt idx="261">
                <c:v>43.89</c:v>
              </c:pt>
              <c:pt idx="262">
                <c:v>43.92</c:v>
              </c:pt>
              <c:pt idx="263">
                <c:v>44.24</c:v>
              </c:pt>
              <c:pt idx="264">
                <c:v>44.56</c:v>
              </c:pt>
              <c:pt idx="265">
                <c:v>44.97</c:v>
              </c:pt>
              <c:pt idx="266">
                <c:v>45.08</c:v>
              </c:pt>
              <c:pt idx="267">
                <c:v>45.37</c:v>
              </c:pt>
              <c:pt idx="268">
                <c:v>45.6</c:v>
              </c:pt>
              <c:pt idx="269">
                <c:v>45.67</c:v>
              </c:pt>
              <c:pt idx="270">
                <c:v>45.83</c:v>
              </c:pt>
              <c:pt idx="271">
                <c:v>45.91</c:v>
              </c:pt>
              <c:pt idx="272">
                <c:v>45.93</c:v>
              </c:pt>
              <c:pt idx="273">
                <c:v>46.25</c:v>
              </c:pt>
              <c:pt idx="274">
                <c:v>46.62</c:v>
              </c:pt>
              <c:pt idx="275">
                <c:v>46.8</c:v>
              </c:pt>
              <c:pt idx="276">
                <c:v>47.06</c:v>
              </c:pt>
              <c:pt idx="277">
                <c:v>47.45</c:v>
              </c:pt>
              <c:pt idx="278">
                <c:v>47.88</c:v>
              </c:pt>
              <c:pt idx="279">
                <c:v>48.08</c:v>
              </c:pt>
              <c:pt idx="280">
                <c:v>48.44</c:v>
              </c:pt>
              <c:pt idx="281">
                <c:v>48.55</c:v>
              </c:pt>
              <c:pt idx="282">
                <c:v>49.07</c:v>
              </c:pt>
              <c:pt idx="283">
                <c:v>49.36</c:v>
              </c:pt>
              <c:pt idx="284">
                <c:v>49.68</c:v>
              </c:pt>
              <c:pt idx="285">
                <c:v>49.93</c:v>
              </c:pt>
              <c:pt idx="286">
                <c:v>49.95</c:v>
              </c:pt>
              <c:pt idx="287">
                <c:v>50.01</c:v>
              </c:pt>
              <c:pt idx="288">
                <c:v>50.02</c:v>
              </c:pt>
              <c:pt idx="289">
                <c:v>50.12</c:v>
              </c:pt>
              <c:pt idx="290">
                <c:v>50.32</c:v>
              </c:pt>
              <c:pt idx="291">
                <c:v>50.37</c:v>
              </c:pt>
              <c:pt idx="292">
                <c:v>50.38</c:v>
              </c:pt>
              <c:pt idx="293">
                <c:v>50.82</c:v>
              </c:pt>
              <c:pt idx="294">
                <c:v>50.88</c:v>
              </c:pt>
              <c:pt idx="295">
                <c:v>50.96</c:v>
              </c:pt>
              <c:pt idx="296">
                <c:v>51.06</c:v>
              </c:pt>
              <c:pt idx="297">
                <c:v>51.15</c:v>
              </c:pt>
              <c:pt idx="298">
                <c:v>51.6</c:v>
              </c:pt>
              <c:pt idx="299">
                <c:v>51.77</c:v>
              </c:pt>
              <c:pt idx="300">
                <c:v>51.82</c:v>
              </c:pt>
              <c:pt idx="301">
                <c:v>53.06</c:v>
              </c:pt>
              <c:pt idx="302">
                <c:v>53.99</c:v>
              </c:pt>
              <c:pt idx="303">
                <c:v>54.06</c:v>
              </c:pt>
              <c:pt idx="304">
                <c:v>54.09</c:v>
              </c:pt>
              <c:pt idx="305">
                <c:v>54.24</c:v>
              </c:pt>
              <c:pt idx="306">
                <c:v>54.49</c:v>
              </c:pt>
              <c:pt idx="307">
                <c:v>54.52</c:v>
              </c:pt>
              <c:pt idx="308">
                <c:v>54.58</c:v>
              </c:pt>
              <c:pt idx="309">
                <c:v>54.68</c:v>
              </c:pt>
              <c:pt idx="310">
                <c:v>54.86</c:v>
              </c:pt>
              <c:pt idx="311">
                <c:v>55.15</c:v>
              </c:pt>
              <c:pt idx="312">
                <c:v>55.36</c:v>
              </c:pt>
              <c:pt idx="313">
                <c:v>55.82</c:v>
              </c:pt>
              <c:pt idx="314">
                <c:v>56.29</c:v>
              </c:pt>
              <c:pt idx="315">
                <c:v>56.45</c:v>
              </c:pt>
              <c:pt idx="316">
                <c:v>56.47</c:v>
              </c:pt>
              <c:pt idx="317">
                <c:v>56.83</c:v>
              </c:pt>
              <c:pt idx="318">
                <c:v>56.88</c:v>
              </c:pt>
              <c:pt idx="319">
                <c:v>56.99</c:v>
              </c:pt>
              <c:pt idx="320">
                <c:v>57.06</c:v>
              </c:pt>
              <c:pt idx="321">
                <c:v>57.2</c:v>
              </c:pt>
              <c:pt idx="322">
                <c:v>57.81</c:v>
              </c:pt>
              <c:pt idx="323">
                <c:v>58.22</c:v>
              </c:pt>
              <c:pt idx="324">
                <c:v>58.25</c:v>
              </c:pt>
              <c:pt idx="325">
                <c:v>58.95</c:v>
              </c:pt>
              <c:pt idx="326">
                <c:v>59.59</c:v>
              </c:pt>
              <c:pt idx="327">
                <c:v>59.84</c:v>
              </c:pt>
              <c:pt idx="328">
                <c:v>60.02</c:v>
              </c:pt>
              <c:pt idx="329">
                <c:v>60.06</c:v>
              </c:pt>
              <c:pt idx="330">
                <c:v>60.07</c:v>
              </c:pt>
              <c:pt idx="331">
                <c:v>60.27</c:v>
              </c:pt>
              <c:pt idx="332">
                <c:v>60.3</c:v>
              </c:pt>
              <c:pt idx="333">
                <c:v>60.43</c:v>
              </c:pt>
              <c:pt idx="334">
                <c:v>60.65</c:v>
              </c:pt>
              <c:pt idx="335">
                <c:v>60.95</c:v>
              </c:pt>
              <c:pt idx="336">
                <c:v>61</c:v>
              </c:pt>
              <c:pt idx="337">
                <c:v>61.01</c:v>
              </c:pt>
              <c:pt idx="338">
                <c:v>61.06</c:v>
              </c:pt>
              <c:pt idx="339">
                <c:v>61.3</c:v>
              </c:pt>
              <c:pt idx="340">
                <c:v>61.48</c:v>
              </c:pt>
              <c:pt idx="341">
                <c:v>61.72</c:v>
              </c:pt>
              <c:pt idx="342">
                <c:v>61.74</c:v>
              </c:pt>
              <c:pt idx="343">
                <c:v>61.84</c:v>
              </c:pt>
              <c:pt idx="344">
                <c:v>61.97</c:v>
              </c:pt>
              <c:pt idx="345">
                <c:v>62.4</c:v>
              </c:pt>
              <c:pt idx="346">
                <c:v>62.78</c:v>
              </c:pt>
              <c:pt idx="347">
                <c:v>62.79</c:v>
              </c:pt>
              <c:pt idx="348">
                <c:v>62.85</c:v>
              </c:pt>
              <c:pt idx="349">
                <c:v>62.93</c:v>
              </c:pt>
              <c:pt idx="350">
                <c:v>63.15</c:v>
              </c:pt>
              <c:pt idx="351">
                <c:v>63.55</c:v>
              </c:pt>
              <c:pt idx="352">
                <c:v>63.72</c:v>
              </c:pt>
              <c:pt idx="353">
                <c:v>63.85</c:v>
              </c:pt>
              <c:pt idx="354">
                <c:v>63.94</c:v>
              </c:pt>
              <c:pt idx="355">
                <c:v>64.51</c:v>
              </c:pt>
              <c:pt idx="356">
                <c:v>65.75</c:v>
              </c:pt>
              <c:pt idx="357">
                <c:v>65.94</c:v>
              </c:pt>
              <c:pt idx="358">
                <c:v>65.98</c:v>
              </c:pt>
              <c:pt idx="359">
                <c:v>66.31</c:v>
              </c:pt>
              <c:pt idx="360">
                <c:v>66.8</c:v>
              </c:pt>
              <c:pt idx="361">
                <c:v>66.81</c:v>
              </c:pt>
              <c:pt idx="362">
                <c:v>67</c:v>
              </c:pt>
              <c:pt idx="363">
                <c:v>67.08</c:v>
              </c:pt>
              <c:pt idx="364">
                <c:v>67.45</c:v>
              </c:pt>
              <c:pt idx="365">
                <c:v>67.78</c:v>
              </c:pt>
              <c:pt idx="366">
                <c:v>68.05</c:v>
              </c:pt>
              <c:pt idx="367">
                <c:v>68.44</c:v>
              </c:pt>
              <c:pt idx="368">
                <c:v>68.55</c:v>
              </c:pt>
              <c:pt idx="369">
                <c:v>68.6</c:v>
              </c:pt>
              <c:pt idx="370">
                <c:v>69.3</c:v>
              </c:pt>
              <c:pt idx="371">
                <c:v>69.32</c:v>
              </c:pt>
              <c:pt idx="372">
                <c:v>69.33</c:v>
              </c:pt>
              <c:pt idx="373">
                <c:v>69.65</c:v>
              </c:pt>
              <c:pt idx="374">
                <c:v>69.7</c:v>
              </c:pt>
              <c:pt idx="375">
                <c:v>69.95</c:v>
              </c:pt>
              <c:pt idx="376">
                <c:v>70.01</c:v>
              </c:pt>
              <c:pt idx="377">
                <c:v>70.07</c:v>
              </c:pt>
              <c:pt idx="378">
                <c:v>70.13</c:v>
              </c:pt>
              <c:pt idx="379">
                <c:v>70.3</c:v>
              </c:pt>
              <c:pt idx="380">
                <c:v>70.38</c:v>
              </c:pt>
              <c:pt idx="381">
                <c:v>70.99</c:v>
              </c:pt>
              <c:pt idx="382">
                <c:v>71.22</c:v>
              </c:pt>
              <c:pt idx="383">
                <c:v>71.3</c:v>
              </c:pt>
              <c:pt idx="384">
                <c:v>71.66</c:v>
              </c:pt>
              <c:pt idx="385">
                <c:v>71.97</c:v>
              </c:pt>
              <c:pt idx="386">
                <c:v>72.15</c:v>
              </c:pt>
              <c:pt idx="387">
                <c:v>73.4</c:v>
              </c:pt>
              <c:pt idx="388">
                <c:v>73.95</c:v>
              </c:pt>
              <c:pt idx="389">
                <c:v>74.26</c:v>
              </c:pt>
              <c:pt idx="390">
                <c:v>74.57</c:v>
              </c:pt>
              <c:pt idx="391">
                <c:v>74.65</c:v>
              </c:pt>
              <c:pt idx="392">
                <c:v>75.84</c:v>
              </c:pt>
              <c:pt idx="393">
                <c:v>77.05</c:v>
              </c:pt>
              <c:pt idx="394">
                <c:v>77.17</c:v>
              </c:pt>
              <c:pt idx="395">
                <c:v>78.03</c:v>
              </c:pt>
              <c:pt idx="396">
                <c:v>79.2</c:v>
              </c:pt>
              <c:pt idx="397">
                <c:v>80.02</c:v>
              </c:pt>
              <c:pt idx="398">
                <c:v>80.12</c:v>
              </c:pt>
              <c:pt idx="399">
                <c:v>80.13</c:v>
              </c:pt>
              <c:pt idx="400">
                <c:v>80.15</c:v>
              </c:pt>
              <c:pt idx="401">
                <c:v>80.55</c:v>
              </c:pt>
              <c:pt idx="402">
                <c:v>80.74</c:v>
              </c:pt>
              <c:pt idx="403">
                <c:v>81.1</c:v>
              </c:pt>
              <c:pt idx="404">
                <c:v>81.15</c:v>
              </c:pt>
              <c:pt idx="405">
                <c:v>81.46</c:v>
              </c:pt>
              <c:pt idx="406">
                <c:v>81.6</c:v>
              </c:pt>
              <c:pt idx="407">
                <c:v>82.09</c:v>
              </c:pt>
              <c:pt idx="408">
                <c:v>82.25</c:v>
              </c:pt>
              <c:pt idx="409">
                <c:v>82.77</c:v>
              </c:pt>
              <c:pt idx="410">
                <c:v>83.28</c:v>
              </c:pt>
              <c:pt idx="411">
                <c:v>83.55</c:v>
              </c:pt>
              <c:pt idx="412">
                <c:v>84.56</c:v>
              </c:pt>
              <c:pt idx="413">
                <c:v>85.24</c:v>
              </c:pt>
              <c:pt idx="414">
                <c:v>85.4</c:v>
              </c:pt>
              <c:pt idx="415">
                <c:v>85.5</c:v>
              </c:pt>
              <c:pt idx="416">
                <c:v>85.73</c:v>
              </c:pt>
              <c:pt idx="417">
                <c:v>88.54</c:v>
              </c:pt>
              <c:pt idx="418">
                <c:v>89.26</c:v>
              </c:pt>
              <c:pt idx="419">
                <c:v>89.65</c:v>
              </c:pt>
              <c:pt idx="420">
                <c:v>89.85</c:v>
              </c:pt>
              <c:pt idx="421">
                <c:v>91.32</c:v>
              </c:pt>
              <c:pt idx="422">
                <c:v>91.7</c:v>
              </c:pt>
              <c:pt idx="423">
                <c:v>92.09</c:v>
              </c:pt>
              <c:pt idx="424">
                <c:v>92.86</c:v>
              </c:pt>
              <c:pt idx="425">
                <c:v>92.92</c:v>
              </c:pt>
              <c:pt idx="426">
                <c:v>93.92</c:v>
              </c:pt>
              <c:pt idx="427">
                <c:v>93.95</c:v>
              </c:pt>
              <c:pt idx="428">
                <c:v>94.22</c:v>
              </c:pt>
              <c:pt idx="429">
                <c:v>94.34</c:v>
              </c:pt>
              <c:pt idx="430">
                <c:v>95.61</c:v>
              </c:pt>
              <c:pt idx="431">
                <c:v>96.12</c:v>
              </c:pt>
              <c:pt idx="432">
                <c:v>96.77</c:v>
              </c:pt>
              <c:pt idx="433">
                <c:v>96.91</c:v>
              </c:pt>
              <c:pt idx="434">
                <c:v>97.39</c:v>
              </c:pt>
              <c:pt idx="435">
                <c:v>98.71</c:v>
              </c:pt>
              <c:pt idx="436">
                <c:v>99.05</c:v>
              </c:pt>
              <c:pt idx="437">
                <c:v>99.86</c:v>
              </c:pt>
              <c:pt idx="438">
                <c:v>101.51</c:v>
              </c:pt>
              <c:pt idx="439">
                <c:v>102.31</c:v>
              </c:pt>
              <c:pt idx="440">
                <c:v>102.52</c:v>
              </c:pt>
              <c:pt idx="441">
                <c:v>103.06</c:v>
              </c:pt>
              <c:pt idx="442">
                <c:v>104.2</c:v>
              </c:pt>
              <c:pt idx="443">
                <c:v>104.27</c:v>
              </c:pt>
              <c:pt idx="444">
                <c:v>104.7</c:v>
              </c:pt>
              <c:pt idx="445">
                <c:v>105.97</c:v>
              </c:pt>
              <c:pt idx="446">
                <c:v>106.39</c:v>
              </c:pt>
              <c:pt idx="447">
                <c:v>106.4</c:v>
              </c:pt>
              <c:pt idx="448">
                <c:v>109.24</c:v>
              </c:pt>
              <c:pt idx="449">
                <c:v>109.92</c:v>
              </c:pt>
              <c:pt idx="450">
                <c:v>110.1</c:v>
              </c:pt>
              <c:pt idx="451">
                <c:v>111.13</c:v>
              </c:pt>
              <c:pt idx="452">
                <c:v>111.7</c:v>
              </c:pt>
              <c:pt idx="453">
                <c:v>112.26</c:v>
              </c:pt>
              <c:pt idx="454">
                <c:v>112.45</c:v>
              </c:pt>
              <c:pt idx="455">
                <c:v>112.91</c:v>
              </c:pt>
              <c:pt idx="456">
                <c:v>115.04</c:v>
              </c:pt>
              <c:pt idx="457">
                <c:v>116.75</c:v>
              </c:pt>
              <c:pt idx="458">
                <c:v>118.59</c:v>
              </c:pt>
              <c:pt idx="459">
                <c:v>120.16</c:v>
              </c:pt>
              <c:pt idx="460">
                <c:v>124.47</c:v>
              </c:pt>
              <c:pt idx="461">
                <c:v>124.49</c:v>
              </c:pt>
              <c:pt idx="462">
                <c:v>127.85</c:v>
              </c:pt>
              <c:pt idx="463">
                <c:v>128.4</c:v>
              </c:pt>
              <c:pt idx="464">
                <c:v>128.91</c:v>
              </c:pt>
              <c:pt idx="465">
                <c:v>132.74</c:v>
              </c:pt>
              <c:pt idx="466">
                <c:v>133.51</c:v>
              </c:pt>
              <c:pt idx="467">
                <c:v>136.25</c:v>
              </c:pt>
              <c:pt idx="468">
                <c:v>137.22</c:v>
              </c:pt>
              <c:pt idx="469">
                <c:v>140.29</c:v>
              </c:pt>
              <c:pt idx="470">
                <c:v>140.4</c:v>
              </c:pt>
              <c:pt idx="471">
                <c:v>141.58</c:v>
              </c:pt>
              <c:pt idx="472">
                <c:v>144.32</c:v>
              </c:pt>
              <c:pt idx="473">
                <c:v>147.39</c:v>
              </c:pt>
              <c:pt idx="474">
                <c:v>147.43</c:v>
              </c:pt>
              <c:pt idx="475">
                <c:v>148.41</c:v>
              </c:pt>
              <c:pt idx="476">
                <c:v>150.34</c:v>
              </c:pt>
              <c:pt idx="477">
                <c:v>150.83</c:v>
              </c:pt>
              <c:pt idx="478">
                <c:v>152.05</c:v>
              </c:pt>
              <c:pt idx="479">
                <c:v>160.11</c:v>
              </c:pt>
              <c:pt idx="480">
                <c:v>166.22</c:v>
              </c:pt>
              <c:pt idx="481">
                <c:v>166.81</c:v>
              </c:pt>
              <c:pt idx="482">
                <c:v>166.91</c:v>
              </c:pt>
              <c:pt idx="483">
                <c:v>169.97</c:v>
              </c:pt>
              <c:pt idx="484">
                <c:v>179.44</c:v>
              </c:pt>
              <c:pt idx="485">
                <c:v>197.89</c:v>
              </c:pt>
            </c:strLit>
          </c:cat>
          <c:val>
            <c:numLit>
              <c:formatCode>General</c:formatCode>
              <c:ptCount val="486"/>
              <c:pt idx="0">
                <c:v>2.74</c:v>
              </c:pt>
              <c:pt idx="1">
                <c:v>11.36</c:v>
              </c:pt>
              <c:pt idx="2">
                <c:v>5.99</c:v>
              </c:pt>
              <c:pt idx="3">
                <c:v>10.26</c:v>
              </c:pt>
              <c:pt idx="4">
                <c:v>16.579999999999998</c:v>
              </c:pt>
              <c:pt idx="5">
                <c:v>17.09</c:v>
              </c:pt>
              <c:pt idx="6">
                <c:v>6.93</c:v>
              </c:pt>
              <c:pt idx="7">
                <c:v>6.09</c:v>
              </c:pt>
              <c:pt idx="8">
                <c:v>3.68</c:v>
              </c:pt>
              <c:pt idx="9">
                <c:v>24.2</c:v>
              </c:pt>
              <c:pt idx="10">
                <c:v>29.5</c:v>
              </c:pt>
              <c:pt idx="11">
                <c:v>50.31</c:v>
              </c:pt>
              <c:pt idx="12">
                <c:v>7.47</c:v>
              </c:pt>
              <c:pt idx="13">
                <c:v>17.170000000000002</c:v>
              </c:pt>
              <c:pt idx="14">
                <c:v>37.9</c:v>
              </c:pt>
              <c:pt idx="15">
                <c:v>29.17</c:v>
              </c:pt>
              <c:pt idx="16">
                <c:v>24.44</c:v>
              </c:pt>
              <c:pt idx="17">
                <c:v>21.22</c:v>
              </c:pt>
              <c:pt idx="18">
                <c:v>65.19</c:v>
              </c:pt>
              <c:pt idx="19">
                <c:v>27.07</c:v>
              </c:pt>
              <c:pt idx="20">
                <c:v>21.04</c:v>
              </c:pt>
              <c:pt idx="21">
                <c:v>18.95</c:v>
              </c:pt>
              <c:pt idx="22">
                <c:v>24.34</c:v>
              </c:pt>
              <c:pt idx="23">
                <c:v>47.8</c:v>
              </c:pt>
              <c:pt idx="24">
                <c:v>7.34</c:v>
              </c:pt>
              <c:pt idx="25">
                <c:v>13.12</c:v>
              </c:pt>
              <c:pt idx="26">
                <c:v>9.69</c:v>
              </c:pt>
              <c:pt idx="27">
                <c:v>16.579999999999998</c:v>
              </c:pt>
              <c:pt idx="28">
                <c:v>31.31</c:v>
              </c:pt>
              <c:pt idx="29">
                <c:v>29.24</c:v>
              </c:pt>
              <c:pt idx="30">
                <c:v>25.19</c:v>
              </c:pt>
              <c:pt idx="31">
                <c:v>76.650000000000006</c:v>
              </c:pt>
              <c:pt idx="32">
                <c:v>22.92</c:v>
              </c:pt>
              <c:pt idx="33">
                <c:v>39.07</c:v>
              </c:pt>
              <c:pt idx="34">
                <c:v>29.39</c:v>
              </c:pt>
              <c:pt idx="35">
                <c:v>73.709999999999994</c:v>
              </c:pt>
              <c:pt idx="36">
                <c:v>26.35</c:v>
              </c:pt>
              <c:pt idx="37">
                <c:v>72.42</c:v>
              </c:pt>
              <c:pt idx="38">
                <c:v>28.89</c:v>
              </c:pt>
              <c:pt idx="39">
                <c:v>27.42</c:v>
              </c:pt>
              <c:pt idx="40">
                <c:v>35.99</c:v>
              </c:pt>
              <c:pt idx="41">
                <c:v>20.079999999999998</c:v>
              </c:pt>
              <c:pt idx="42">
                <c:v>80.52</c:v>
              </c:pt>
              <c:pt idx="43">
                <c:v>25.21</c:v>
              </c:pt>
              <c:pt idx="44">
                <c:v>61.91</c:v>
              </c:pt>
              <c:pt idx="45">
                <c:v>53.3</c:v>
              </c:pt>
              <c:pt idx="46">
                <c:v>135.96</c:v>
              </c:pt>
              <c:pt idx="47">
                <c:v>41.07</c:v>
              </c:pt>
              <c:pt idx="48">
                <c:v>29.99</c:v>
              </c:pt>
              <c:pt idx="49">
                <c:v>61.83</c:v>
              </c:pt>
              <c:pt idx="50">
                <c:v>94.7</c:v>
              </c:pt>
              <c:pt idx="51">
                <c:v>123.74</c:v>
              </c:pt>
              <c:pt idx="52">
                <c:v>32.78</c:v>
              </c:pt>
              <c:pt idx="53">
                <c:v>25.24</c:v>
              </c:pt>
              <c:pt idx="54">
                <c:v>37.65</c:v>
              </c:pt>
              <c:pt idx="55">
                <c:v>60.13</c:v>
              </c:pt>
              <c:pt idx="56">
                <c:v>110.91</c:v>
              </c:pt>
              <c:pt idx="57">
                <c:v>64.97</c:v>
              </c:pt>
              <c:pt idx="58">
                <c:v>54.13</c:v>
              </c:pt>
              <c:pt idx="59">
                <c:v>38.44</c:v>
              </c:pt>
              <c:pt idx="60">
                <c:v>22.45</c:v>
              </c:pt>
              <c:pt idx="61">
                <c:v>143.9</c:v>
              </c:pt>
              <c:pt idx="62">
                <c:v>57.09</c:v>
              </c:pt>
              <c:pt idx="63">
                <c:v>122.41999999999999</c:v>
              </c:pt>
              <c:pt idx="64">
                <c:v>101.76</c:v>
              </c:pt>
              <c:pt idx="65">
                <c:v>39.83</c:v>
              </c:pt>
              <c:pt idx="66">
                <c:v>49.18</c:v>
              </c:pt>
              <c:pt idx="67">
                <c:v>96.33</c:v>
              </c:pt>
              <c:pt idx="68">
                <c:v>37.590000000000003</c:v>
              </c:pt>
              <c:pt idx="69">
                <c:v>151</c:v>
              </c:pt>
              <c:pt idx="70">
                <c:v>100.39</c:v>
              </c:pt>
              <c:pt idx="71">
                <c:v>134.77000000000001</c:v>
              </c:pt>
              <c:pt idx="72">
                <c:v>53.26</c:v>
              </c:pt>
              <c:pt idx="73">
                <c:v>24.08</c:v>
              </c:pt>
              <c:pt idx="74">
                <c:v>119.1</c:v>
              </c:pt>
              <c:pt idx="75">
                <c:v>144.96</c:v>
              </c:pt>
              <c:pt idx="76">
                <c:v>65.67</c:v>
              </c:pt>
              <c:pt idx="77">
                <c:v>220.02</c:v>
              </c:pt>
              <c:pt idx="78">
                <c:v>36.25</c:v>
              </c:pt>
              <c:pt idx="79">
                <c:v>42.62</c:v>
              </c:pt>
              <c:pt idx="80">
                <c:v>63.58</c:v>
              </c:pt>
              <c:pt idx="81">
                <c:v>191.37</c:v>
              </c:pt>
              <c:pt idx="82">
                <c:v>66.91</c:v>
              </c:pt>
              <c:pt idx="83">
                <c:v>145.09</c:v>
              </c:pt>
              <c:pt idx="84">
                <c:v>225.14</c:v>
              </c:pt>
              <c:pt idx="85">
                <c:v>160.11000000000001</c:v>
              </c:pt>
              <c:pt idx="86">
                <c:v>33.19</c:v>
              </c:pt>
              <c:pt idx="87">
                <c:v>78.2</c:v>
              </c:pt>
              <c:pt idx="88">
                <c:v>184.44</c:v>
              </c:pt>
              <c:pt idx="89">
                <c:v>75.16</c:v>
              </c:pt>
              <c:pt idx="90">
                <c:v>68.64</c:v>
              </c:pt>
              <c:pt idx="91">
                <c:v>167.02</c:v>
              </c:pt>
              <c:pt idx="92">
                <c:v>149.44</c:v>
              </c:pt>
              <c:pt idx="93">
                <c:v>82.6</c:v>
              </c:pt>
              <c:pt idx="94">
                <c:v>164.2</c:v>
              </c:pt>
              <c:pt idx="95">
                <c:v>112.84</c:v>
              </c:pt>
              <c:pt idx="96">
                <c:v>58.57</c:v>
              </c:pt>
              <c:pt idx="97">
                <c:v>223.63</c:v>
              </c:pt>
              <c:pt idx="98">
                <c:v>201.9</c:v>
              </c:pt>
              <c:pt idx="99">
                <c:v>106.82</c:v>
              </c:pt>
              <c:pt idx="100">
                <c:v>115.74</c:v>
              </c:pt>
              <c:pt idx="101">
                <c:v>55.25</c:v>
              </c:pt>
              <c:pt idx="102">
                <c:v>87.86</c:v>
              </c:pt>
              <c:pt idx="103">
                <c:v>134.09</c:v>
              </c:pt>
              <c:pt idx="104">
                <c:v>241.01</c:v>
              </c:pt>
              <c:pt idx="105">
                <c:v>114.93</c:v>
              </c:pt>
              <c:pt idx="106">
                <c:v>106.89</c:v>
              </c:pt>
              <c:pt idx="107">
                <c:v>39.369999999999997</c:v>
              </c:pt>
              <c:pt idx="108">
                <c:v>92.72</c:v>
              </c:pt>
              <c:pt idx="109">
                <c:v>303.63</c:v>
              </c:pt>
              <c:pt idx="110">
                <c:v>144.16999999999999</c:v>
              </c:pt>
              <c:pt idx="111">
                <c:v>119.65</c:v>
              </c:pt>
              <c:pt idx="112">
                <c:v>226.06</c:v>
              </c:pt>
              <c:pt idx="113">
                <c:v>51.61</c:v>
              </c:pt>
              <c:pt idx="114">
                <c:v>207.91</c:v>
              </c:pt>
              <c:pt idx="115">
                <c:v>125.31</c:v>
              </c:pt>
              <c:pt idx="116">
                <c:v>106.93</c:v>
              </c:pt>
              <c:pt idx="117">
                <c:v>232.64</c:v>
              </c:pt>
              <c:pt idx="118">
                <c:v>245.44</c:v>
              </c:pt>
              <c:pt idx="119">
                <c:v>154.75</c:v>
              </c:pt>
              <c:pt idx="120">
                <c:v>41.4</c:v>
              </c:pt>
              <c:pt idx="121">
                <c:v>228.61</c:v>
              </c:pt>
              <c:pt idx="122">
                <c:v>167.34</c:v>
              </c:pt>
              <c:pt idx="123">
                <c:v>31.34</c:v>
              </c:pt>
              <c:pt idx="124">
                <c:v>143.55000000000001</c:v>
              </c:pt>
              <c:pt idx="125">
                <c:v>69.59</c:v>
              </c:pt>
              <c:pt idx="126">
                <c:v>290.76</c:v>
              </c:pt>
              <c:pt idx="127">
                <c:v>116.73</c:v>
              </c:pt>
              <c:pt idx="128">
                <c:v>65.25</c:v>
              </c:pt>
              <c:pt idx="129">
                <c:v>219.9</c:v>
              </c:pt>
              <c:pt idx="130">
                <c:v>143.78</c:v>
              </c:pt>
              <c:pt idx="131">
                <c:v>325.29000000000002</c:v>
              </c:pt>
              <c:pt idx="132">
                <c:v>255.37</c:v>
              </c:pt>
              <c:pt idx="133">
                <c:v>171.28</c:v>
              </c:pt>
              <c:pt idx="134">
                <c:v>213.84</c:v>
              </c:pt>
              <c:pt idx="135">
                <c:v>261.02999999999997</c:v>
              </c:pt>
              <c:pt idx="136">
                <c:v>293.43</c:v>
              </c:pt>
              <c:pt idx="137">
                <c:v>35.729999999999997</c:v>
              </c:pt>
              <c:pt idx="138">
                <c:v>115.91</c:v>
              </c:pt>
              <c:pt idx="139">
                <c:v>157.06</c:v>
              </c:pt>
              <c:pt idx="140">
                <c:v>210.38</c:v>
              </c:pt>
              <c:pt idx="141">
                <c:v>47.42</c:v>
              </c:pt>
              <c:pt idx="142">
                <c:v>63.32</c:v>
              </c:pt>
              <c:pt idx="143">
                <c:v>187.67</c:v>
              </c:pt>
              <c:pt idx="144">
                <c:v>149.9</c:v>
              </c:pt>
              <c:pt idx="145">
                <c:v>379.02</c:v>
              </c:pt>
              <c:pt idx="146">
                <c:v>32.54</c:v>
              </c:pt>
              <c:pt idx="147">
                <c:v>90.32</c:v>
              </c:pt>
              <c:pt idx="148">
                <c:v>316.5</c:v>
              </c:pt>
              <c:pt idx="149">
                <c:v>48.15</c:v>
              </c:pt>
              <c:pt idx="150">
                <c:v>118.95</c:v>
              </c:pt>
              <c:pt idx="151">
                <c:v>177.49</c:v>
              </c:pt>
              <c:pt idx="152">
                <c:v>384.55</c:v>
              </c:pt>
              <c:pt idx="153">
                <c:v>103.32</c:v>
              </c:pt>
              <c:pt idx="154">
                <c:v>155.34</c:v>
              </c:pt>
              <c:pt idx="155">
                <c:v>168.83</c:v>
              </c:pt>
              <c:pt idx="156">
                <c:v>61.12</c:v>
              </c:pt>
              <c:pt idx="157">
                <c:v>125.49</c:v>
              </c:pt>
              <c:pt idx="158">
                <c:v>191.19</c:v>
              </c:pt>
              <c:pt idx="159">
                <c:v>82.52</c:v>
              </c:pt>
              <c:pt idx="160">
                <c:v>168.24</c:v>
              </c:pt>
              <c:pt idx="161">
                <c:v>67.790000000000006</c:v>
              </c:pt>
              <c:pt idx="162">
                <c:v>105.29</c:v>
              </c:pt>
              <c:pt idx="163">
                <c:v>110.36</c:v>
              </c:pt>
              <c:pt idx="164">
                <c:v>100.26</c:v>
              </c:pt>
              <c:pt idx="165">
                <c:v>266.69</c:v>
              </c:pt>
              <c:pt idx="166">
                <c:v>378.27</c:v>
              </c:pt>
              <c:pt idx="167">
                <c:v>108.34</c:v>
              </c:pt>
              <c:pt idx="168">
                <c:v>149.5</c:v>
              </c:pt>
              <c:pt idx="169">
                <c:v>79.66</c:v>
              </c:pt>
              <c:pt idx="170">
                <c:v>329.61</c:v>
              </c:pt>
              <c:pt idx="171">
                <c:v>109.04</c:v>
              </c:pt>
              <c:pt idx="172">
                <c:v>258.62</c:v>
              </c:pt>
              <c:pt idx="173">
                <c:v>395.89</c:v>
              </c:pt>
              <c:pt idx="174">
                <c:v>295.98</c:v>
              </c:pt>
              <c:pt idx="175">
                <c:v>73.33</c:v>
              </c:pt>
              <c:pt idx="176">
                <c:v>123.77</c:v>
              </c:pt>
              <c:pt idx="177">
                <c:v>47.97</c:v>
              </c:pt>
              <c:pt idx="178">
                <c:v>204.07</c:v>
              </c:pt>
              <c:pt idx="179">
                <c:v>55.99</c:v>
              </c:pt>
              <c:pt idx="180">
                <c:v>153.69999999999999</c:v>
              </c:pt>
              <c:pt idx="181">
                <c:v>45.74</c:v>
              </c:pt>
              <c:pt idx="182">
                <c:v>320.08</c:v>
              </c:pt>
              <c:pt idx="183">
                <c:v>222.4</c:v>
              </c:pt>
              <c:pt idx="184">
                <c:v>166.92</c:v>
              </c:pt>
              <c:pt idx="185">
                <c:v>91.16</c:v>
              </c:pt>
              <c:pt idx="186">
                <c:v>400.43</c:v>
              </c:pt>
              <c:pt idx="187">
                <c:v>139.32</c:v>
              </c:pt>
              <c:pt idx="188">
                <c:v>114.75</c:v>
              </c:pt>
              <c:pt idx="189">
                <c:v>160.78</c:v>
              </c:pt>
              <c:pt idx="190">
                <c:v>166.65</c:v>
              </c:pt>
              <c:pt idx="191">
                <c:v>193.4</c:v>
              </c:pt>
              <c:pt idx="192">
                <c:v>357.11</c:v>
              </c:pt>
              <c:pt idx="193">
                <c:v>239.48</c:v>
              </c:pt>
              <c:pt idx="194">
                <c:v>429.43</c:v>
              </c:pt>
              <c:pt idx="195">
                <c:v>120.46</c:v>
              </c:pt>
              <c:pt idx="196">
                <c:v>560.36</c:v>
              </c:pt>
              <c:pt idx="197">
                <c:v>446.98</c:v>
              </c:pt>
              <c:pt idx="198">
                <c:v>79.680000000000007</c:v>
              </c:pt>
              <c:pt idx="199">
                <c:v>196.18</c:v>
              </c:pt>
              <c:pt idx="200">
                <c:v>196.14</c:v>
              </c:pt>
              <c:pt idx="201">
                <c:v>195.79</c:v>
              </c:pt>
              <c:pt idx="202">
                <c:v>372.11</c:v>
              </c:pt>
              <c:pt idx="203">
                <c:v>78.3</c:v>
              </c:pt>
              <c:pt idx="204">
                <c:v>351.25</c:v>
              </c:pt>
              <c:pt idx="205">
                <c:v>108.03</c:v>
              </c:pt>
              <c:pt idx="206">
                <c:v>235.2</c:v>
              </c:pt>
              <c:pt idx="207">
                <c:v>270.08999999999997</c:v>
              </c:pt>
              <c:pt idx="208">
                <c:v>187.95</c:v>
              </c:pt>
              <c:pt idx="209">
                <c:v>223.59</c:v>
              </c:pt>
              <c:pt idx="210">
                <c:v>373.47</c:v>
              </c:pt>
              <c:pt idx="211">
                <c:v>327.82</c:v>
              </c:pt>
              <c:pt idx="212">
                <c:v>238.47</c:v>
              </c:pt>
              <c:pt idx="213">
                <c:v>69.13</c:v>
              </c:pt>
              <c:pt idx="214">
                <c:v>185</c:v>
              </c:pt>
              <c:pt idx="215">
                <c:v>117.69</c:v>
              </c:pt>
              <c:pt idx="216">
                <c:v>131.68</c:v>
              </c:pt>
              <c:pt idx="217">
                <c:v>285.39</c:v>
              </c:pt>
              <c:pt idx="218">
                <c:v>125.77</c:v>
              </c:pt>
              <c:pt idx="219">
                <c:v>435.78</c:v>
              </c:pt>
              <c:pt idx="220">
                <c:v>334.77</c:v>
              </c:pt>
              <c:pt idx="221">
                <c:v>87.48</c:v>
              </c:pt>
              <c:pt idx="222">
                <c:v>223.87</c:v>
              </c:pt>
              <c:pt idx="223">
                <c:v>412.66</c:v>
              </c:pt>
              <c:pt idx="224">
                <c:v>226.37</c:v>
              </c:pt>
              <c:pt idx="225">
                <c:v>461.88</c:v>
              </c:pt>
              <c:pt idx="226">
                <c:v>499.15</c:v>
              </c:pt>
              <c:pt idx="227">
                <c:v>139.71</c:v>
              </c:pt>
              <c:pt idx="228">
                <c:v>461.83</c:v>
              </c:pt>
              <c:pt idx="229">
                <c:v>247.02</c:v>
              </c:pt>
              <c:pt idx="230">
                <c:v>105.93</c:v>
              </c:pt>
              <c:pt idx="231">
                <c:v>60.38</c:v>
              </c:pt>
              <c:pt idx="232">
                <c:v>559.6</c:v>
              </c:pt>
              <c:pt idx="233">
                <c:v>86.45</c:v>
              </c:pt>
              <c:pt idx="234">
                <c:v>298.57</c:v>
              </c:pt>
              <c:pt idx="235">
                <c:v>258.17</c:v>
              </c:pt>
              <c:pt idx="236">
                <c:v>120.97</c:v>
              </c:pt>
              <c:pt idx="237">
                <c:v>180.41</c:v>
              </c:pt>
              <c:pt idx="238">
                <c:v>139.06</c:v>
              </c:pt>
              <c:pt idx="239">
                <c:v>239.75</c:v>
              </c:pt>
              <c:pt idx="240">
                <c:v>418.16</c:v>
              </c:pt>
              <c:pt idx="241">
                <c:v>157.61000000000001</c:v>
              </c:pt>
              <c:pt idx="242">
                <c:v>190.69</c:v>
              </c:pt>
              <c:pt idx="243">
                <c:v>424.70000000000005</c:v>
              </c:pt>
              <c:pt idx="244">
                <c:v>673.96</c:v>
              </c:pt>
              <c:pt idx="245">
                <c:v>500.16</c:v>
              </c:pt>
              <c:pt idx="246">
                <c:v>237.87</c:v>
              </c:pt>
              <c:pt idx="247">
                <c:v>276.17</c:v>
              </c:pt>
              <c:pt idx="248">
                <c:v>140.44999999999999</c:v>
              </c:pt>
              <c:pt idx="249">
                <c:v>120.36</c:v>
              </c:pt>
              <c:pt idx="250">
                <c:v>222.38</c:v>
              </c:pt>
              <c:pt idx="251">
                <c:v>181.91</c:v>
              </c:pt>
              <c:pt idx="252">
                <c:v>262.75</c:v>
              </c:pt>
              <c:pt idx="253">
                <c:v>268.98</c:v>
              </c:pt>
              <c:pt idx="254">
                <c:v>398.98</c:v>
              </c:pt>
              <c:pt idx="255">
                <c:v>354.56</c:v>
              </c:pt>
              <c:pt idx="256">
                <c:v>101.85</c:v>
              </c:pt>
              <c:pt idx="257">
                <c:v>549.39</c:v>
              </c:pt>
              <c:pt idx="258">
                <c:v>275.94</c:v>
              </c:pt>
              <c:pt idx="259">
                <c:v>153.79</c:v>
              </c:pt>
              <c:pt idx="260">
                <c:v>175.93</c:v>
              </c:pt>
              <c:pt idx="261">
                <c:v>209.88</c:v>
              </c:pt>
              <c:pt idx="262">
                <c:v>260.08</c:v>
              </c:pt>
              <c:pt idx="263">
                <c:v>224</c:v>
              </c:pt>
              <c:pt idx="264">
                <c:v>307.82</c:v>
              </c:pt>
              <c:pt idx="265">
                <c:v>199.35</c:v>
              </c:pt>
              <c:pt idx="266">
                <c:v>203.74</c:v>
              </c:pt>
              <c:pt idx="267">
                <c:v>186.51</c:v>
              </c:pt>
              <c:pt idx="268">
                <c:v>400.25</c:v>
              </c:pt>
              <c:pt idx="269">
                <c:v>538.33000000000004</c:v>
              </c:pt>
              <c:pt idx="270">
                <c:v>220.45</c:v>
              </c:pt>
              <c:pt idx="271">
                <c:v>418.92</c:v>
              </c:pt>
              <c:pt idx="272">
                <c:v>627.51</c:v>
              </c:pt>
              <c:pt idx="273">
                <c:v>269.64999999999998</c:v>
              </c:pt>
              <c:pt idx="274">
                <c:v>362.38</c:v>
              </c:pt>
              <c:pt idx="275">
                <c:v>130.30000000000001</c:v>
              </c:pt>
              <c:pt idx="276">
                <c:v>454.54</c:v>
              </c:pt>
              <c:pt idx="277">
                <c:v>231.3</c:v>
              </c:pt>
              <c:pt idx="278">
                <c:v>481.06000000000006</c:v>
              </c:pt>
              <c:pt idx="279">
                <c:v>423.56</c:v>
              </c:pt>
              <c:pt idx="280">
                <c:v>328.56</c:v>
              </c:pt>
              <c:pt idx="281">
                <c:v>102.79</c:v>
              </c:pt>
              <c:pt idx="282">
                <c:v>164.11</c:v>
              </c:pt>
              <c:pt idx="283">
                <c:v>355.04</c:v>
              </c:pt>
              <c:pt idx="284">
                <c:v>207.6</c:v>
              </c:pt>
              <c:pt idx="285">
                <c:v>145.72999999999999</c:v>
              </c:pt>
              <c:pt idx="286">
                <c:v>444.6</c:v>
              </c:pt>
              <c:pt idx="287">
                <c:v>535.77</c:v>
              </c:pt>
              <c:pt idx="288">
                <c:v>191.21</c:v>
              </c:pt>
              <c:pt idx="289">
                <c:v>186.29</c:v>
              </c:pt>
              <c:pt idx="290">
                <c:v>314.75</c:v>
              </c:pt>
              <c:pt idx="291">
                <c:v>939.91</c:v>
              </c:pt>
              <c:pt idx="292">
                <c:v>163.12</c:v>
              </c:pt>
              <c:pt idx="293">
                <c:v>237</c:v>
              </c:pt>
              <c:pt idx="294">
                <c:v>342.72</c:v>
              </c:pt>
              <c:pt idx="295">
                <c:v>140.80000000000001</c:v>
              </c:pt>
              <c:pt idx="296">
                <c:v>306.64</c:v>
              </c:pt>
              <c:pt idx="297">
                <c:v>343.16</c:v>
              </c:pt>
              <c:pt idx="298">
                <c:v>351.6</c:v>
              </c:pt>
              <c:pt idx="299">
                <c:v>418.91</c:v>
              </c:pt>
              <c:pt idx="300">
                <c:v>460.72</c:v>
              </c:pt>
              <c:pt idx="301">
                <c:v>264.45999999999998</c:v>
              </c:pt>
              <c:pt idx="302">
                <c:v>164.65</c:v>
              </c:pt>
              <c:pt idx="303">
                <c:v>388.8</c:v>
              </c:pt>
              <c:pt idx="304">
                <c:v>301.38</c:v>
              </c:pt>
              <c:pt idx="305">
                <c:v>277.27999999999997</c:v>
              </c:pt>
              <c:pt idx="306">
                <c:v>214.17</c:v>
              </c:pt>
              <c:pt idx="307">
                <c:v>227.18</c:v>
              </c:pt>
              <c:pt idx="308">
                <c:v>317.20999999999998</c:v>
              </c:pt>
              <c:pt idx="309">
                <c:v>206.17</c:v>
              </c:pt>
              <c:pt idx="310">
                <c:v>376.26</c:v>
              </c:pt>
              <c:pt idx="311">
                <c:v>675.73</c:v>
              </c:pt>
              <c:pt idx="312">
                <c:v>481.28</c:v>
              </c:pt>
              <c:pt idx="313">
                <c:v>456.31</c:v>
              </c:pt>
              <c:pt idx="314">
                <c:v>144.11000000000001</c:v>
              </c:pt>
              <c:pt idx="315">
                <c:v>219.49</c:v>
              </c:pt>
              <c:pt idx="316">
                <c:v>232.78</c:v>
              </c:pt>
              <c:pt idx="317">
                <c:v>431.53</c:v>
              </c:pt>
              <c:pt idx="318">
                <c:v>271.94</c:v>
              </c:pt>
              <c:pt idx="319">
                <c:v>179.47</c:v>
              </c:pt>
              <c:pt idx="320">
                <c:v>312.33</c:v>
              </c:pt>
              <c:pt idx="321">
                <c:v>234.78</c:v>
              </c:pt>
              <c:pt idx="322">
                <c:v>110.52</c:v>
              </c:pt>
              <c:pt idx="323">
                <c:v>645.98</c:v>
              </c:pt>
              <c:pt idx="324">
                <c:v>237.89</c:v>
              </c:pt>
              <c:pt idx="325">
                <c:v>372.47</c:v>
              </c:pt>
              <c:pt idx="326">
                <c:v>403.4</c:v>
              </c:pt>
              <c:pt idx="327">
                <c:v>654.16</c:v>
              </c:pt>
              <c:pt idx="328">
                <c:v>273.3</c:v>
              </c:pt>
              <c:pt idx="329">
                <c:v>509.37</c:v>
              </c:pt>
              <c:pt idx="330">
                <c:v>258.52999999999997</c:v>
              </c:pt>
              <c:pt idx="331">
                <c:v>138.61000000000001</c:v>
              </c:pt>
              <c:pt idx="332">
                <c:v>1116.3</c:v>
              </c:pt>
              <c:pt idx="333">
                <c:v>134.96</c:v>
              </c:pt>
              <c:pt idx="334">
                <c:v>394.63</c:v>
              </c:pt>
              <c:pt idx="335">
                <c:v>539.29999999999995</c:v>
              </c:pt>
              <c:pt idx="336">
                <c:v>375.08</c:v>
              </c:pt>
              <c:pt idx="337">
                <c:v>576.25</c:v>
              </c:pt>
              <c:pt idx="338">
                <c:v>350</c:v>
              </c:pt>
              <c:pt idx="339">
                <c:v>360.29</c:v>
              </c:pt>
              <c:pt idx="340">
                <c:v>462.56</c:v>
              </c:pt>
              <c:pt idx="341">
                <c:v>328.68</c:v>
              </c:pt>
              <c:pt idx="342">
                <c:v>208.46</c:v>
              </c:pt>
              <c:pt idx="343">
                <c:v>233.14</c:v>
              </c:pt>
              <c:pt idx="344">
                <c:v>280.93</c:v>
              </c:pt>
              <c:pt idx="345">
                <c:v>136.05000000000001</c:v>
              </c:pt>
              <c:pt idx="346">
                <c:v>503.1</c:v>
              </c:pt>
              <c:pt idx="347">
                <c:v>506.22</c:v>
              </c:pt>
              <c:pt idx="348">
                <c:v>339</c:v>
              </c:pt>
              <c:pt idx="349">
                <c:v>322.55</c:v>
              </c:pt>
              <c:pt idx="350">
                <c:v>177.26</c:v>
              </c:pt>
              <c:pt idx="351">
                <c:v>863.04</c:v>
              </c:pt>
              <c:pt idx="352">
                <c:v>221.76</c:v>
              </c:pt>
              <c:pt idx="353">
                <c:v>827.97</c:v>
              </c:pt>
              <c:pt idx="354">
                <c:v>216.56</c:v>
              </c:pt>
              <c:pt idx="355">
                <c:v>314.05</c:v>
              </c:pt>
              <c:pt idx="356">
                <c:v>556.59</c:v>
              </c:pt>
              <c:pt idx="357">
                <c:v>430.8</c:v>
              </c:pt>
              <c:pt idx="358">
                <c:v>221.65</c:v>
              </c:pt>
              <c:pt idx="359">
                <c:v>192.89</c:v>
              </c:pt>
              <c:pt idx="360">
                <c:v>866.65</c:v>
              </c:pt>
              <c:pt idx="361">
                <c:v>266.39</c:v>
              </c:pt>
              <c:pt idx="362">
                <c:v>375.26</c:v>
              </c:pt>
              <c:pt idx="363">
                <c:v>203.02</c:v>
              </c:pt>
              <c:pt idx="364">
                <c:v>523.42999999999995</c:v>
              </c:pt>
              <c:pt idx="365">
                <c:v>618.57000000000005</c:v>
              </c:pt>
              <c:pt idx="366">
                <c:v>773.45</c:v>
              </c:pt>
              <c:pt idx="367">
                <c:v>202.1</c:v>
              </c:pt>
              <c:pt idx="368">
                <c:v>312.25</c:v>
              </c:pt>
              <c:pt idx="369">
                <c:v>283.83999999999997</c:v>
              </c:pt>
              <c:pt idx="370">
                <c:v>306.7</c:v>
              </c:pt>
              <c:pt idx="371">
                <c:v>250.44</c:v>
              </c:pt>
              <c:pt idx="372">
                <c:v>341.73</c:v>
              </c:pt>
              <c:pt idx="373">
                <c:v>739.55</c:v>
              </c:pt>
              <c:pt idx="374">
                <c:v>288.49</c:v>
              </c:pt>
              <c:pt idx="375">
                <c:v>357.73</c:v>
              </c:pt>
              <c:pt idx="376">
                <c:v>357.37</c:v>
              </c:pt>
              <c:pt idx="377">
                <c:v>253.93</c:v>
              </c:pt>
              <c:pt idx="378">
                <c:v>84.67</c:v>
              </c:pt>
              <c:pt idx="379">
                <c:v>558.55999999999995</c:v>
              </c:pt>
              <c:pt idx="380">
                <c:v>460.98</c:v>
              </c:pt>
              <c:pt idx="381">
                <c:v>360.47</c:v>
              </c:pt>
              <c:pt idx="382">
                <c:v>248.17</c:v>
              </c:pt>
              <c:pt idx="383">
                <c:v>265.74</c:v>
              </c:pt>
              <c:pt idx="384">
                <c:v>225.96</c:v>
              </c:pt>
              <c:pt idx="385">
                <c:v>329.23</c:v>
              </c:pt>
              <c:pt idx="386">
                <c:v>316.27999999999997</c:v>
              </c:pt>
              <c:pt idx="387">
                <c:v>310.36</c:v>
              </c:pt>
              <c:pt idx="388">
                <c:v>282.37</c:v>
              </c:pt>
              <c:pt idx="389">
                <c:v>301.64</c:v>
              </c:pt>
              <c:pt idx="390">
                <c:v>749.03</c:v>
              </c:pt>
              <c:pt idx="391">
                <c:v>313.47000000000003</c:v>
              </c:pt>
              <c:pt idx="392">
                <c:v>535.54</c:v>
              </c:pt>
              <c:pt idx="393">
                <c:v>227.87</c:v>
              </c:pt>
              <c:pt idx="394">
                <c:v>477.59</c:v>
              </c:pt>
              <c:pt idx="395">
                <c:v>597.29999999999995</c:v>
              </c:pt>
              <c:pt idx="396">
                <c:v>335.72</c:v>
              </c:pt>
              <c:pt idx="397">
                <c:v>117.73</c:v>
              </c:pt>
              <c:pt idx="398">
                <c:v>458.21</c:v>
              </c:pt>
              <c:pt idx="399">
                <c:v>824.95</c:v>
              </c:pt>
              <c:pt idx="400">
                <c:v>353.35</c:v>
              </c:pt>
              <c:pt idx="401">
                <c:v>312.75</c:v>
              </c:pt>
              <c:pt idx="402">
                <c:v>180.62</c:v>
              </c:pt>
              <c:pt idx="403">
                <c:v>284.51</c:v>
              </c:pt>
              <c:pt idx="404">
                <c:v>366.63</c:v>
              </c:pt>
              <c:pt idx="405">
                <c:v>133.69999999999999</c:v>
              </c:pt>
              <c:pt idx="406">
                <c:v>343.68</c:v>
              </c:pt>
              <c:pt idx="407">
                <c:v>566.41</c:v>
              </c:pt>
              <c:pt idx="408">
                <c:v>403.69</c:v>
              </c:pt>
              <c:pt idx="409">
                <c:v>363.95</c:v>
              </c:pt>
              <c:pt idx="410">
                <c:v>539.51</c:v>
              </c:pt>
              <c:pt idx="411">
                <c:v>430.27</c:v>
              </c:pt>
              <c:pt idx="412">
                <c:v>418.93</c:v>
              </c:pt>
              <c:pt idx="413">
                <c:v>421.16</c:v>
              </c:pt>
              <c:pt idx="414">
                <c:v>161.97999999999999</c:v>
              </c:pt>
              <c:pt idx="415">
                <c:v>438.18</c:v>
              </c:pt>
              <c:pt idx="416">
                <c:v>428.41</c:v>
              </c:pt>
              <c:pt idx="417">
                <c:v>269.22000000000003</c:v>
              </c:pt>
              <c:pt idx="418">
                <c:v>704.34</c:v>
              </c:pt>
              <c:pt idx="419">
                <c:v>835.19</c:v>
              </c:pt>
              <c:pt idx="420">
                <c:v>479.91</c:v>
              </c:pt>
              <c:pt idx="421">
                <c:v>739.18</c:v>
              </c:pt>
              <c:pt idx="422">
                <c:v>478.8</c:v>
              </c:pt>
              <c:pt idx="423">
                <c:v>562.16000000000008</c:v>
              </c:pt>
              <c:pt idx="424">
                <c:v>409.39</c:v>
              </c:pt>
              <c:pt idx="425">
                <c:v>361.07</c:v>
              </c:pt>
              <c:pt idx="426">
                <c:v>477.63</c:v>
              </c:pt>
              <c:pt idx="427">
                <c:v>638.95000000000005</c:v>
              </c:pt>
              <c:pt idx="428">
                <c:v>396.36</c:v>
              </c:pt>
              <c:pt idx="429">
                <c:v>530.98</c:v>
              </c:pt>
              <c:pt idx="430">
                <c:v>359.89</c:v>
              </c:pt>
              <c:pt idx="431">
                <c:v>300.14999999999998</c:v>
              </c:pt>
              <c:pt idx="432">
                <c:v>389.73</c:v>
              </c:pt>
              <c:pt idx="433">
                <c:v>416.97</c:v>
              </c:pt>
              <c:pt idx="434">
                <c:v>541.54999999999995</c:v>
              </c:pt>
              <c:pt idx="435">
                <c:v>450.41</c:v>
              </c:pt>
              <c:pt idx="436">
                <c:v>268.35000000000002</c:v>
              </c:pt>
              <c:pt idx="437">
                <c:v>474.88</c:v>
              </c:pt>
              <c:pt idx="438">
                <c:v>467.99</c:v>
              </c:pt>
              <c:pt idx="439">
                <c:v>477.05</c:v>
              </c:pt>
              <c:pt idx="440">
                <c:v>918.98</c:v>
              </c:pt>
              <c:pt idx="441">
                <c:v>482.45</c:v>
              </c:pt>
              <c:pt idx="442">
                <c:v>463.44</c:v>
              </c:pt>
              <c:pt idx="443">
                <c:v>237.73</c:v>
              </c:pt>
              <c:pt idx="444">
                <c:v>361.78</c:v>
              </c:pt>
              <c:pt idx="445">
                <c:v>413.63</c:v>
              </c:pt>
              <c:pt idx="446">
                <c:v>865.57</c:v>
              </c:pt>
              <c:pt idx="447">
                <c:v>174.13</c:v>
              </c:pt>
              <c:pt idx="448">
                <c:v>469.22</c:v>
              </c:pt>
              <c:pt idx="449">
                <c:v>423.36</c:v>
              </c:pt>
              <c:pt idx="450">
                <c:v>736.55</c:v>
              </c:pt>
              <c:pt idx="451">
                <c:v>219.61</c:v>
              </c:pt>
              <c:pt idx="452">
                <c:v>676.34</c:v>
              </c:pt>
              <c:pt idx="453">
                <c:v>719.27</c:v>
              </c:pt>
              <c:pt idx="454">
                <c:v>355.73</c:v>
              </c:pt>
              <c:pt idx="455">
                <c:v>456.33</c:v>
              </c:pt>
              <c:pt idx="456">
                <c:v>960.39</c:v>
              </c:pt>
              <c:pt idx="457">
                <c:v>553</c:v>
              </c:pt>
              <c:pt idx="458">
                <c:v>453.81</c:v>
              </c:pt>
              <c:pt idx="459">
                <c:v>739.34</c:v>
              </c:pt>
              <c:pt idx="460">
                <c:v>251.85</c:v>
              </c:pt>
              <c:pt idx="461">
                <c:v>453.67</c:v>
              </c:pt>
              <c:pt idx="462">
                <c:v>332.47</c:v>
              </c:pt>
              <c:pt idx="463">
                <c:v>206.98</c:v>
              </c:pt>
              <c:pt idx="464">
                <c:v>460</c:v>
              </c:pt>
              <c:pt idx="465">
                <c:v>196.54</c:v>
              </c:pt>
              <c:pt idx="466">
                <c:v>825.85</c:v>
              </c:pt>
              <c:pt idx="467">
                <c:v>272.95</c:v>
              </c:pt>
              <c:pt idx="468">
                <c:v>948.48</c:v>
              </c:pt>
              <c:pt idx="469">
                <c:v>779.44</c:v>
              </c:pt>
              <c:pt idx="470">
                <c:v>802.16</c:v>
              </c:pt>
              <c:pt idx="471">
                <c:v>501.92</c:v>
              </c:pt>
              <c:pt idx="472">
                <c:v>372.79</c:v>
              </c:pt>
              <c:pt idx="473">
                <c:v>790.56</c:v>
              </c:pt>
              <c:pt idx="474">
                <c:v>669.11</c:v>
              </c:pt>
              <c:pt idx="475">
                <c:v>665.19</c:v>
              </c:pt>
              <c:pt idx="476">
                <c:v>375.26</c:v>
              </c:pt>
              <c:pt idx="477">
                <c:v>871.57</c:v>
              </c:pt>
              <c:pt idx="478">
                <c:v>772.43</c:v>
              </c:pt>
              <c:pt idx="479">
                <c:v>1219.8900000000001</c:v>
              </c:pt>
              <c:pt idx="480">
                <c:v>685.89</c:v>
              </c:pt>
              <c:pt idx="481">
                <c:v>933.59</c:v>
              </c:pt>
              <c:pt idx="482">
                <c:v>1240.69</c:v>
              </c:pt>
              <c:pt idx="483">
                <c:v>469.03</c:v>
              </c:pt>
              <c:pt idx="484">
                <c:v>734.96</c:v>
              </c:pt>
              <c:pt idx="485">
                <c:v>487.61</c:v>
              </c:pt>
            </c:numLit>
          </c:val>
          <c:smooth val="0"/>
          <c:extLst>
            <c:ext xmlns:c16="http://schemas.microsoft.com/office/drawing/2014/chart" uri="{C3380CC4-5D6E-409C-BE32-E72D297353CC}">
              <c16:uniqueId val="{00000000-3FA8-4FD1-802D-69240CEFF4D2}"/>
            </c:ext>
          </c:extLst>
        </c:ser>
        <c:dLbls>
          <c:showLegendKey val="0"/>
          <c:showVal val="0"/>
          <c:showCatName val="0"/>
          <c:showSerName val="0"/>
          <c:showPercent val="0"/>
          <c:showBubbleSize val="0"/>
        </c:dLbls>
        <c:axId val="1235787056"/>
        <c:axId val="1235787536"/>
        <c:axId val="1169411488"/>
      </c:line3DChart>
      <c:catAx>
        <c:axId val="1235787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787536"/>
        <c:crosses val="autoZero"/>
        <c:auto val="1"/>
        <c:lblAlgn val="ctr"/>
        <c:lblOffset val="100"/>
        <c:noMultiLvlLbl val="0"/>
      </c:catAx>
      <c:valAx>
        <c:axId val="123578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787056"/>
        <c:crosses val="autoZero"/>
        <c:crossBetween val="between"/>
      </c:valAx>
      <c:serAx>
        <c:axId val="1169411488"/>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78753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[3]Chart_Data!$W$2</c:f>
              <c:strCache>
                <c:ptCount val="1"/>
                <c:pt idx="0">
                  <c:v>Order Count</c:v>
                </c:pt>
              </c:strCache>
            </c:strRef>
          </c:tx>
          <c:spPr>
            <a:solidFill>
              <a:srgbClr val="4F81BD"/>
            </a:solidFill>
            <a:ln w="0">
              <a:noFill/>
            </a:ln>
          </c:spPr>
          <c:dPt>
            <c:idx val="0"/>
            <c:bubble3D val="0"/>
            <c:extLst>
              <c:ext xmlns:c16="http://schemas.microsoft.com/office/drawing/2014/chart" uri="{C3380CC4-5D6E-409C-BE32-E72D297353CC}">
                <c16:uniqueId val="{00000000-B136-435D-8D82-E1461B2D8B23}"/>
              </c:ext>
            </c:extLst>
          </c:dPt>
          <c:dPt>
            <c:idx val="1"/>
            <c:bubble3D val="0"/>
            <c:spPr>
              <a:solidFill>
                <a:srgbClr val="C0504D"/>
              </a:solidFill>
              <a:ln w="0">
                <a:noFill/>
              </a:ln>
            </c:spPr>
            <c:extLst>
              <c:ext xmlns:c16="http://schemas.microsoft.com/office/drawing/2014/chart" uri="{C3380CC4-5D6E-409C-BE32-E72D297353CC}">
                <c16:uniqueId val="{00000002-B136-435D-8D82-E1461B2D8B23}"/>
              </c:ext>
            </c:extLst>
          </c:dPt>
          <c:dPt>
            <c:idx val="2"/>
            <c:bubble3D val="0"/>
            <c:spPr>
              <a:solidFill>
                <a:srgbClr val="9BBB59"/>
              </a:solidFill>
              <a:ln w="0">
                <a:noFill/>
              </a:ln>
            </c:spPr>
            <c:extLst>
              <c:ext xmlns:c16="http://schemas.microsoft.com/office/drawing/2014/chart" uri="{C3380CC4-5D6E-409C-BE32-E72D297353CC}">
                <c16:uniqueId val="{00000004-B136-435D-8D82-E1461B2D8B23}"/>
              </c:ext>
            </c:extLst>
          </c:dPt>
          <c:dLbls>
            <c:dLbl>
              <c:idx val="0"/>
              <c:spPr/>
              <c:txPr>
                <a:bodyPr wrap="square"/>
                <a:lstStyle/>
                <a:p>
                  <a:pPr>
                    <a:defRPr sz="1000" b="0" strike="noStrike" spc="-1">
                      <a:solidFill>
                        <a:srgbClr val="000000"/>
                      </a:solidFill>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0-B136-435D-8D82-E1461B2D8B23}"/>
                </c:ext>
              </c:extLst>
            </c:dLbl>
            <c:dLbl>
              <c:idx val="1"/>
              <c:spPr/>
              <c:txPr>
                <a:bodyPr wrap="square"/>
                <a:lstStyle/>
                <a:p>
                  <a:pPr>
                    <a:defRPr sz="1000" b="0" strike="noStrike" spc="-1">
                      <a:solidFill>
                        <a:srgbClr val="000000"/>
                      </a:solidFill>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B136-435D-8D82-E1461B2D8B23}"/>
                </c:ext>
              </c:extLst>
            </c:dLbl>
            <c:dLbl>
              <c:idx val="2"/>
              <c:spPr/>
              <c:txPr>
                <a:bodyPr wrap="square"/>
                <a:lstStyle/>
                <a:p>
                  <a:pPr>
                    <a:defRPr sz="1000" b="0" strike="noStrike" spc="-1">
                      <a:solidFill>
                        <a:srgbClr val="000000"/>
                      </a:solidFill>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B136-435D-8D82-E1461B2D8B23}"/>
                </c:ext>
              </c:extLst>
            </c:dLbl>
            <c:spPr>
              <a:noFill/>
              <a:ln>
                <a:noFill/>
              </a:ln>
              <a:effectLst/>
            </c:spPr>
            <c:txPr>
              <a:bodyPr wrap="square"/>
              <a:lstStyle/>
              <a:p>
                <a:pPr>
                  <a:defRPr sz="1000" b="0" strike="noStrike" spc="-1">
                    <a:solidFill>
                      <a:srgbClr val="000000"/>
                    </a:solidFill>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[3]Chart_Data!$V$3:$V$5</c:f>
              <c:strCache>
                <c:ptCount val="3"/>
                <c:pt idx="0">
                  <c:v>Low</c:v>
                </c:pt>
                <c:pt idx="1">
                  <c:v>Medium</c:v>
                </c:pt>
                <c:pt idx="2">
                  <c:v>High</c:v>
                </c:pt>
              </c:strCache>
            </c:strRef>
          </c:cat>
          <c:val>
            <c:numRef>
              <c:f>[3]Chart_Data!$W$3:$W$5</c:f>
              <c:numCache>
                <c:formatCode>General</c:formatCode>
                <c:ptCount val="3"/>
                <c:pt idx="0">
                  <c:v>168</c:v>
                </c:pt>
                <c:pt idx="1">
                  <c:v>171</c:v>
                </c:pt>
                <c:pt idx="2">
                  <c:v>161</c:v>
                </c:pt>
              </c:numCache>
            </c:numRef>
          </c:val>
          <c:extLst>
            <c:ext xmlns:c16="http://schemas.microsoft.com/office/drawing/2014/chart" uri="{C3380CC4-5D6E-409C-BE32-E72D297353CC}">
              <c16:uniqueId val="{00000005-B136-435D-8D82-E1461B2D8B23}"/>
            </c:ext>
          </c:extLst>
        </c:ser>
        <c:dLbls>
          <c:showLegendKey val="0"/>
          <c:showVal val="0"/>
          <c:showCatName val="0"/>
          <c:showSerName val="0"/>
          <c:showPercent val="0"/>
          <c:showBubbleSize val="0"/>
          <c:showLeaderLines val="1"/>
        </c:dLbls>
        <c:firstSliceAng val="0"/>
        <c:holeSize val="50"/>
      </c:doughnut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515827</xdr:colOff>
      <xdr:row>31</xdr:row>
      <xdr:rowOff>75577</xdr:rowOff>
    </xdr:from>
    <xdr:to>
      <xdr:col>1</xdr:col>
      <xdr:colOff>991688</xdr:colOff>
      <xdr:row>44</xdr:row>
      <xdr:rowOff>116593</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09683721-2767-FDBB-028B-7D672D828FE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15827" y="732235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93927</xdr:colOff>
      <xdr:row>31</xdr:row>
      <xdr:rowOff>73556</xdr:rowOff>
    </xdr:from>
    <xdr:to>
      <xdr:col>5</xdr:col>
      <xdr:colOff>445380</xdr:colOff>
      <xdr:row>44</xdr:row>
      <xdr:rowOff>114572</xdr:rowOff>
    </xdr:to>
    <mc:AlternateContent xmlns:mc="http://schemas.openxmlformats.org/markup-compatibility/2006" xmlns:a14="http://schemas.microsoft.com/office/drawing/2010/main">
      <mc:Choice Requires="a14">
        <xdr:graphicFrame macro="">
          <xdr:nvGraphicFramePr>
            <xdr:cNvPr id="4" name="Order_Priority">
              <a:extLst>
                <a:ext uri="{FF2B5EF4-FFF2-40B4-BE49-F238E27FC236}">
                  <a16:creationId xmlns:a16="http://schemas.microsoft.com/office/drawing/2014/main" id="{86C2A36C-4807-58D2-2C97-40DC138D6100}"/>
                </a:ext>
              </a:extLst>
            </xdr:cNvPr>
            <xdr:cNvGraphicFramePr/>
          </xdr:nvGraphicFramePr>
          <xdr:xfrm>
            <a:off x="0" y="0"/>
            <a:ext cx="0" cy="0"/>
          </xdr:xfrm>
          <a:graphic>
            <a:graphicData uri="http://schemas.microsoft.com/office/drawing/2010/slicer">
              <sle:slicer xmlns:sle="http://schemas.microsoft.com/office/drawing/2010/slicer" name="Order_Priority"/>
            </a:graphicData>
          </a:graphic>
        </xdr:graphicFrame>
      </mc:Choice>
      <mc:Fallback xmlns="">
        <xdr:sp macro="" textlink="">
          <xdr:nvSpPr>
            <xdr:cNvPr id="0" name=""/>
            <xdr:cNvSpPr>
              <a:spLocks noTextEdit="1"/>
            </xdr:cNvSpPr>
          </xdr:nvSpPr>
          <xdr:spPr>
            <a:xfrm>
              <a:off x="3763968" y="732033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579120</xdr:colOff>
      <xdr:row>2</xdr:row>
      <xdr:rowOff>2159000</xdr:rowOff>
    </xdr:from>
    <xdr:to>
      <xdr:col>11</xdr:col>
      <xdr:colOff>274320</xdr:colOff>
      <xdr:row>17</xdr:row>
      <xdr:rowOff>147320</xdr:rowOff>
    </xdr:to>
    <xdr:graphicFrame macro="">
      <xdr:nvGraphicFramePr>
        <xdr:cNvPr id="3" name="Chart 2">
          <a:extLst>
            <a:ext uri="{FF2B5EF4-FFF2-40B4-BE49-F238E27FC236}">
              <a16:creationId xmlns:a16="http://schemas.microsoft.com/office/drawing/2014/main" id="{223A9933-0BC6-FB43-FECA-25DB4EF67B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522941</xdr:colOff>
      <xdr:row>28</xdr:row>
      <xdr:rowOff>137460</xdr:rowOff>
    </xdr:from>
    <xdr:to>
      <xdr:col>4</xdr:col>
      <xdr:colOff>14941</xdr:colOff>
      <xdr:row>44</xdr:row>
      <xdr:rowOff>11954</xdr:rowOff>
    </xdr:to>
    <xdr:graphicFrame macro="">
      <xdr:nvGraphicFramePr>
        <xdr:cNvPr id="4" name="Chart 3">
          <a:extLst>
            <a:ext uri="{FF2B5EF4-FFF2-40B4-BE49-F238E27FC236}">
              <a16:creationId xmlns:a16="http://schemas.microsoft.com/office/drawing/2014/main" id="{FEC931BB-75D4-FEED-0466-9DCC8AB560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16</xdr:col>
          <xdr:colOff>281940</xdr:colOff>
          <xdr:row>4</xdr:row>
          <xdr:rowOff>106680</xdr:rowOff>
        </xdr:from>
        <xdr:to>
          <xdr:col>19</xdr:col>
          <xdr:colOff>0</xdr:colOff>
          <xdr:row>7</xdr:row>
          <xdr:rowOff>99060</xdr:rowOff>
        </xdr:to>
        <xdr:sp macro="" textlink="">
          <xdr:nvSpPr>
            <xdr:cNvPr id="10241" name="Button 1" hidden="1">
              <a:extLst>
                <a:ext uri="{63B3BB69-23CF-44E3-9099-C40C66FF867C}">
                  <a14:compatExt spid="_x0000_s10241"/>
                </a:ext>
                <a:ext uri="{FF2B5EF4-FFF2-40B4-BE49-F238E27FC236}">
                  <a16:creationId xmlns:a16="http://schemas.microsoft.com/office/drawing/2014/main" id="{00000000-0008-0000-0900-0000012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IN" sz="1100" b="0" i="0" u="none" strike="noStrike" baseline="0">
                  <a:solidFill>
                    <a:srgbClr val="000000"/>
                  </a:solidFill>
                  <a:latin typeface="Calibri"/>
                  <a:ea typeface="Calibri"/>
                  <a:cs typeface="Calibri"/>
                </a:rPr>
                <a:t>HIGHLIGHT ROW</a:t>
              </a:r>
            </a:p>
            <a:p>
              <a:pPr algn="ctr" rtl="0">
                <a:defRPr sz="1000"/>
              </a:pPr>
              <a:endParaRPr lang="en-IN" sz="1100" b="0" i="0" u="none" strike="noStrike" baseline="0">
                <a:solidFill>
                  <a:srgbClr val="000000"/>
                </a:solidFill>
                <a:latin typeface="Calibri"/>
                <a:ea typeface="Calibri"/>
                <a:cs typeface="Calibri"/>
              </a:endParaRP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1</xdr:col>
      <xdr:colOff>12093</xdr:colOff>
      <xdr:row>8</xdr:row>
      <xdr:rowOff>71230</xdr:rowOff>
    </xdr:from>
    <xdr:to>
      <xdr:col>10</xdr:col>
      <xdr:colOff>220144</xdr:colOff>
      <xdr:row>22</xdr:row>
      <xdr:rowOff>102263</xdr:rowOff>
    </xdr:to>
    <xdr:graphicFrame macro="">
      <xdr:nvGraphicFramePr>
        <xdr:cNvPr id="2" name="Chart 1">
          <a:extLst>
            <a:ext uri="{FF2B5EF4-FFF2-40B4-BE49-F238E27FC236}">
              <a16:creationId xmlns:a16="http://schemas.microsoft.com/office/drawing/2014/main" id="{6A83FD99-E8E1-4FE4-9989-CAF8B8E66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143289</xdr:colOff>
      <xdr:row>8</xdr:row>
      <xdr:rowOff>19050</xdr:rowOff>
    </xdr:from>
    <xdr:to>
      <xdr:col>21</xdr:col>
      <xdr:colOff>83419</xdr:colOff>
      <xdr:row>22</xdr:row>
      <xdr:rowOff>80011</xdr:rowOff>
    </xdr:to>
    <xdr:graphicFrame macro="">
      <xdr:nvGraphicFramePr>
        <xdr:cNvPr id="3" name="Chart 2">
          <a:extLst>
            <a:ext uri="{FF2B5EF4-FFF2-40B4-BE49-F238E27FC236}">
              <a16:creationId xmlns:a16="http://schemas.microsoft.com/office/drawing/2014/main" id="{5D97F550-7B10-48C8-8687-5AB5768A9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43898</xdr:colOff>
      <xdr:row>25</xdr:row>
      <xdr:rowOff>116785</xdr:rowOff>
    </xdr:from>
    <xdr:to>
      <xdr:col>9</xdr:col>
      <xdr:colOff>580611</xdr:colOff>
      <xdr:row>40</xdr:row>
      <xdr:rowOff>138556</xdr:rowOff>
    </xdr:to>
    <xdr:graphicFrame macro="">
      <xdr:nvGraphicFramePr>
        <xdr:cNvPr id="4" name="Chart 3">
          <a:extLst>
            <a:ext uri="{FF2B5EF4-FFF2-40B4-BE49-F238E27FC236}">
              <a16:creationId xmlns:a16="http://schemas.microsoft.com/office/drawing/2014/main" id="{77C2186C-A447-4907-ACC3-C611AEC29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200558</xdr:colOff>
      <xdr:row>25</xdr:row>
      <xdr:rowOff>114537</xdr:rowOff>
    </xdr:from>
    <xdr:to>
      <xdr:col>21</xdr:col>
      <xdr:colOff>216886</xdr:colOff>
      <xdr:row>41</xdr:row>
      <xdr:rowOff>7159</xdr:rowOff>
    </xdr:to>
    <xdr:graphicFrame macro="">
      <xdr:nvGraphicFramePr>
        <xdr:cNvPr id="5" name="Chart 4">
          <a:extLst>
            <a:ext uri="{FF2B5EF4-FFF2-40B4-BE49-F238E27FC236}">
              <a16:creationId xmlns:a16="http://schemas.microsoft.com/office/drawing/2014/main" id="{2FCB333F-E83A-433C-B5EE-CC9A2A4255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112524</xdr:colOff>
      <xdr:row>43</xdr:row>
      <xdr:rowOff>164943</xdr:rowOff>
    </xdr:from>
    <xdr:to>
      <xdr:col>10</xdr:col>
      <xdr:colOff>210496</xdr:colOff>
      <xdr:row>58</xdr:row>
      <xdr:rowOff>160861</xdr:rowOff>
    </xdr:to>
    <xdr:graphicFrame macro="">
      <xdr:nvGraphicFramePr>
        <xdr:cNvPr id="6" name="Chart 5">
          <a:extLst>
            <a:ext uri="{FF2B5EF4-FFF2-40B4-BE49-F238E27FC236}">
              <a16:creationId xmlns:a16="http://schemas.microsoft.com/office/drawing/2014/main" id="{40975146-A295-42F1-B5D1-23CEE1FD4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285041</xdr:colOff>
      <xdr:row>44</xdr:row>
      <xdr:rowOff>38929</xdr:rowOff>
    </xdr:from>
    <xdr:to>
      <xdr:col>22</xdr:col>
      <xdr:colOff>197954</xdr:colOff>
      <xdr:row>58</xdr:row>
      <xdr:rowOff>144947</xdr:rowOff>
    </xdr:to>
    <xdr:graphicFrame macro="">
      <xdr:nvGraphicFramePr>
        <xdr:cNvPr id="7" name="Chart 6">
          <a:extLst>
            <a:ext uri="{FF2B5EF4-FFF2-40B4-BE49-F238E27FC236}">
              <a16:creationId xmlns:a16="http://schemas.microsoft.com/office/drawing/2014/main" id="{9BA714FD-D4E2-4757-BCB7-A9C133F9C9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132522</xdr:colOff>
      <xdr:row>8</xdr:row>
      <xdr:rowOff>12424</xdr:rowOff>
    </xdr:from>
    <xdr:to>
      <xdr:col>32</xdr:col>
      <xdr:colOff>224598</xdr:colOff>
      <xdr:row>23</xdr:row>
      <xdr:rowOff>155835</xdr:rowOff>
    </xdr:to>
    <xdr:graphicFrame macro="">
      <xdr:nvGraphicFramePr>
        <xdr:cNvPr id="8" name="Chart 7">
          <a:extLst>
            <a:ext uri="{FF2B5EF4-FFF2-40B4-BE49-F238E27FC236}">
              <a16:creationId xmlns:a16="http://schemas.microsoft.com/office/drawing/2014/main" id="{80143B94-560D-4B3F-B4DD-DAE038BA8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Radhika%20Jawale\AppData\Local\Temp\29653465-627d-434b-af8a-ab4e168a346f_Dataset-20251219T080746Z-1-001.zip.46f\Dataset\Product_Master.xlsx" TargetMode="External"/><Relationship Id="rId1" Type="http://schemas.openxmlformats.org/officeDocument/2006/relationships/externalLinkPath" Target="file:///C:\Users\Radhika%20Jawale\AppData\Local\Temp\29653465-627d-434b-af8a-ab4e168a346f_Dataset-20251219T080746Z-1-001.zip.46f\Dataset\Product_Master.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Radhika%20Jawale\AppData\Local\Temp\faaf4ba5-5787-453d-8799-0d4ec98e7911_Dataset-20251219T080746Z-1-001.zip.911\Dataset\Region_Lookup.xlsx" TargetMode="External"/><Relationship Id="rId1" Type="http://schemas.openxmlformats.org/officeDocument/2006/relationships/externalLinkPath" Target="file:///C:\Users\Radhika%20Jawale\AppData\Local\Temp\faaf4ba5-5787-453d-8799-0d4ec98e7911_Dataset-20251219T080746Z-1-001.zip.911\Dataset\Region_Lookup.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Radhika%20Jawale\Downloads\Q10_Trade_Performance_Dashboard.xlsx" TargetMode="External"/><Relationship Id="rId1" Type="http://schemas.openxmlformats.org/officeDocument/2006/relationships/externalLinkPath" Target="file:///C:\Users\Radhika%20Jawale\Downloads\Q10_Trade_Performance_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ducts"/>
    </sheetNames>
    <sheetDataSet>
      <sheetData sheetId="0">
        <row r="1">
          <cell r="B1" t="str">
            <v>Product</v>
          </cell>
          <cell r="D1" t="str">
            <v>Supplier</v>
          </cell>
          <cell r="E1" t="str">
            <v>Origin_Country</v>
          </cell>
        </row>
        <row r="2">
          <cell r="B2" t="str">
            <v>Bluetooth Speaker</v>
          </cell>
          <cell r="D2" t="str">
            <v>AudioTech Ltd.</v>
          </cell>
          <cell r="E2" t="str">
            <v>China</v>
          </cell>
        </row>
        <row r="3">
          <cell r="B3" t="str">
            <v>Ceramic Vase</v>
          </cell>
          <cell r="D3" t="str">
            <v>Artisans Co.</v>
          </cell>
          <cell r="E3" t="str">
            <v>India</v>
          </cell>
        </row>
        <row r="4">
          <cell r="B4" t="str">
            <v>Leather Wallet</v>
          </cell>
          <cell r="D4" t="str">
            <v>CraftLine</v>
          </cell>
          <cell r="E4" t="str">
            <v>Italy</v>
          </cell>
        </row>
        <row r="5">
          <cell r="B5" t="str">
            <v>LED Lamp</v>
          </cell>
          <cell r="D5" t="str">
            <v>BrightHome</v>
          </cell>
          <cell r="E5" t="str">
            <v>Vietnam</v>
          </cell>
        </row>
        <row r="6">
          <cell r="B6" t="str">
            <v>Cotton Bedsheet</v>
          </cell>
          <cell r="D6" t="str">
            <v>SoftWeave</v>
          </cell>
          <cell r="E6" t="str">
            <v>Turkey</v>
          </cell>
        </row>
        <row r="7">
          <cell r="B7" t="str">
            <v>Wireless Mouse</v>
          </cell>
          <cell r="D7" t="str">
            <v>ClickTech</v>
          </cell>
          <cell r="E7" t="str">
            <v>China</v>
          </cell>
        </row>
        <row r="8">
          <cell r="B8" t="str">
            <v>Glass Bowl Set</v>
          </cell>
          <cell r="D8" t="str">
            <v>ClearCraft</v>
          </cell>
          <cell r="E8" t="str">
            <v>India</v>
          </cell>
        </row>
        <row r="9">
          <cell r="B9" t="str">
            <v>Travel Backpack</v>
          </cell>
          <cell r="D9" t="str">
            <v>CarryPro</v>
          </cell>
          <cell r="E9" t="str">
            <v>Vietnam</v>
          </cell>
        </row>
        <row r="10">
          <cell r="B10" t="str">
            <v>Table Lamp</v>
          </cell>
          <cell r="D10" t="str">
            <v>BrightHome</v>
          </cell>
          <cell r="E10" t="str">
            <v>India</v>
          </cell>
        </row>
        <row r="11">
          <cell r="B11" t="str">
            <v>Denim Jacket</v>
          </cell>
          <cell r="D11" t="str">
            <v>BlueWear</v>
          </cell>
          <cell r="E11" t="str">
            <v>Bangladesh</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gions"/>
    </sheetNames>
    <sheetDataSet>
      <sheetData sheetId="0">
        <row r="1">
          <cell r="A1" t="str">
            <v>Region_Code</v>
          </cell>
          <cell r="B1" t="str">
            <v>Region_Name</v>
          </cell>
          <cell r="C1" t="str">
            <v>Continent</v>
          </cell>
          <cell r="D1" t="str">
            <v>Manager</v>
          </cell>
        </row>
        <row r="2">
          <cell r="A2" t="str">
            <v>NA</v>
          </cell>
          <cell r="B2" t="str">
            <v>North America</v>
          </cell>
          <cell r="C2" t="str">
            <v>America</v>
          </cell>
          <cell r="D2" t="str">
            <v>James Carter</v>
          </cell>
        </row>
        <row r="3">
          <cell r="A3" t="str">
            <v>EU</v>
          </cell>
          <cell r="B3" t="str">
            <v>Europe</v>
          </cell>
          <cell r="C3" t="str">
            <v>Europe</v>
          </cell>
          <cell r="D3" t="str">
            <v>Maria Gomez</v>
          </cell>
        </row>
        <row r="4">
          <cell r="A4" t="str">
            <v>AS</v>
          </cell>
          <cell r="B4" t="str">
            <v>Asia</v>
          </cell>
          <cell r="C4" t="str">
            <v>Asia</v>
          </cell>
          <cell r="D4" t="str">
            <v>Li Wei</v>
          </cell>
        </row>
        <row r="5">
          <cell r="A5" t="str">
            <v>AF</v>
          </cell>
          <cell r="B5" t="str">
            <v>Africa</v>
          </cell>
          <cell r="C5" t="str">
            <v>Africa</v>
          </cell>
          <cell r="D5" t="str">
            <v>Samuel Okoro</v>
          </cell>
        </row>
        <row r="6">
          <cell r="A6" t="str">
            <v>SA</v>
          </cell>
          <cell r="B6" t="str">
            <v>South America</v>
          </cell>
          <cell r="C6" t="str">
            <v>America</v>
          </cell>
          <cell r="D6" t="str">
            <v>Ana Silva</v>
          </cell>
        </row>
        <row r="7">
          <cell r="A7" t="str">
            <v>OC</v>
          </cell>
          <cell r="B7" t="str">
            <v>Oceania</v>
          </cell>
          <cell r="C7" t="str">
            <v>Australia</v>
          </cell>
          <cell r="D7" t="str">
            <v>Steve Taylor</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10_Dashboard"/>
      <sheetName val="ProductMaster"/>
      <sheetName val="Data"/>
      <sheetName val="Chart_Data"/>
    </sheetNames>
    <sheetDataSet>
      <sheetData sheetId="0"/>
      <sheetData sheetId="1"/>
      <sheetData sheetId="2">
        <row r="1">
          <cell r="H1" t="str">
            <v>Unit Price</v>
          </cell>
          <cell r="J1" t="str">
            <v>Shipping Cost</v>
          </cell>
          <cell r="K1" t="str">
            <v>Profit</v>
          </cell>
          <cell r="L1" t="str">
            <v>Ship Mode</v>
          </cell>
          <cell r="R1" t="str">
            <v>Unit Cost</v>
          </cell>
        </row>
        <row r="2">
          <cell r="H2">
            <v>55.22</v>
          </cell>
          <cell r="J2">
            <v>49.36</v>
          </cell>
          <cell r="K2">
            <v>355.04</v>
          </cell>
          <cell r="L2" t="str">
            <v>Land</v>
          </cell>
          <cell r="R2">
            <v>35</v>
          </cell>
        </row>
        <row r="3">
          <cell r="H3">
            <v>32.03</v>
          </cell>
          <cell r="J3">
            <v>59.59</v>
          </cell>
          <cell r="K3">
            <v>403.4</v>
          </cell>
          <cell r="L3" t="str">
            <v>Sea</v>
          </cell>
          <cell r="R3">
            <v>18</v>
          </cell>
        </row>
        <row r="4">
          <cell r="H4">
            <v>28.48</v>
          </cell>
          <cell r="J4">
            <v>73.95</v>
          </cell>
          <cell r="K4">
            <v>282.37</v>
          </cell>
          <cell r="L4" t="str">
            <v>Land</v>
          </cell>
          <cell r="R4">
            <v>18</v>
          </cell>
        </row>
        <row r="5">
          <cell r="H5">
            <v>56.36</v>
          </cell>
          <cell r="J5">
            <v>11.39</v>
          </cell>
          <cell r="K5">
            <v>134.77000000000001</v>
          </cell>
          <cell r="L5" t="str">
            <v>Air</v>
          </cell>
          <cell r="R5">
            <v>32</v>
          </cell>
        </row>
        <row r="6">
          <cell r="H6">
            <v>69.22</v>
          </cell>
          <cell r="J6">
            <v>65.94</v>
          </cell>
          <cell r="K6">
            <v>430.8</v>
          </cell>
          <cell r="L6" t="str">
            <v>Sea</v>
          </cell>
          <cell r="R6">
            <v>40</v>
          </cell>
        </row>
        <row r="7">
          <cell r="H7">
            <v>27.94</v>
          </cell>
          <cell r="J7">
            <v>15.36</v>
          </cell>
          <cell r="K7">
            <v>87.86</v>
          </cell>
          <cell r="L7" t="str">
            <v>Sea</v>
          </cell>
          <cell r="R7">
            <v>20</v>
          </cell>
        </row>
        <row r="8">
          <cell r="H8">
            <v>31.52</v>
          </cell>
          <cell r="J8">
            <v>6.98</v>
          </cell>
          <cell r="K8">
            <v>20.079999999999998</v>
          </cell>
          <cell r="L8" t="str">
            <v>Land</v>
          </cell>
          <cell r="R8">
            <v>22.5</v>
          </cell>
        </row>
        <row r="9">
          <cell r="H9">
            <v>30.71</v>
          </cell>
          <cell r="J9">
            <v>13.03</v>
          </cell>
          <cell r="K9">
            <v>66.91</v>
          </cell>
          <cell r="L9" t="str">
            <v>Sea</v>
          </cell>
          <cell r="R9">
            <v>25</v>
          </cell>
        </row>
        <row r="10">
          <cell r="H10">
            <v>24.47</v>
          </cell>
          <cell r="J10">
            <v>61.3</v>
          </cell>
          <cell r="K10">
            <v>360.29</v>
          </cell>
          <cell r="L10" t="str">
            <v>Sea</v>
          </cell>
          <cell r="R10">
            <v>15.5</v>
          </cell>
        </row>
        <row r="11">
          <cell r="H11">
            <v>18.98</v>
          </cell>
          <cell r="J11">
            <v>28.89</v>
          </cell>
          <cell r="K11">
            <v>139.32</v>
          </cell>
          <cell r="L11" t="str">
            <v>Sea</v>
          </cell>
          <cell r="R11">
            <v>12.75</v>
          </cell>
        </row>
        <row r="12">
          <cell r="H12">
            <v>57.84</v>
          </cell>
          <cell r="J12">
            <v>55.15</v>
          </cell>
          <cell r="K12">
            <v>675.73</v>
          </cell>
          <cell r="L12" t="str">
            <v>Land</v>
          </cell>
          <cell r="R12">
            <v>35</v>
          </cell>
        </row>
        <row r="13">
          <cell r="H13">
            <v>58.77</v>
          </cell>
          <cell r="J13">
            <v>140.29</v>
          </cell>
          <cell r="K13">
            <v>779.44</v>
          </cell>
          <cell r="L13" t="str">
            <v>Air</v>
          </cell>
          <cell r="R13">
            <v>40</v>
          </cell>
        </row>
        <row r="14">
          <cell r="H14">
            <v>56.92</v>
          </cell>
          <cell r="J14">
            <v>140.4</v>
          </cell>
          <cell r="K14">
            <v>802.16</v>
          </cell>
          <cell r="L14" t="str">
            <v>Land</v>
          </cell>
          <cell r="R14">
            <v>35</v>
          </cell>
        </row>
        <row r="15">
          <cell r="H15">
            <v>43.45</v>
          </cell>
          <cell r="J15">
            <v>30.04</v>
          </cell>
          <cell r="K15">
            <v>560.36</v>
          </cell>
          <cell r="L15" t="str">
            <v>Land</v>
          </cell>
          <cell r="R15">
            <v>25</v>
          </cell>
        </row>
        <row r="16">
          <cell r="H16">
            <v>42.59</v>
          </cell>
          <cell r="J16">
            <v>29.87</v>
          </cell>
          <cell r="K16">
            <v>357.11</v>
          </cell>
          <cell r="L16" t="str">
            <v>Sea</v>
          </cell>
          <cell r="R16">
            <v>25</v>
          </cell>
        </row>
        <row r="17">
          <cell r="H17">
            <v>25.36</v>
          </cell>
          <cell r="J17">
            <v>49.68</v>
          </cell>
          <cell r="K17">
            <v>207.6</v>
          </cell>
          <cell r="L17" t="str">
            <v>Sea</v>
          </cell>
          <cell r="R17">
            <v>20</v>
          </cell>
        </row>
        <row r="18">
          <cell r="H18">
            <v>30.07</v>
          </cell>
          <cell r="J18">
            <v>102.31</v>
          </cell>
          <cell r="K18">
            <v>477.05</v>
          </cell>
          <cell r="L18" t="str">
            <v>Air</v>
          </cell>
          <cell r="R18">
            <v>18</v>
          </cell>
        </row>
        <row r="19">
          <cell r="H19">
            <v>32.17</v>
          </cell>
          <cell r="J19">
            <v>14.45</v>
          </cell>
          <cell r="K19">
            <v>58.57</v>
          </cell>
          <cell r="L19" t="str">
            <v>Air</v>
          </cell>
          <cell r="R19">
            <v>20</v>
          </cell>
        </row>
        <row r="20">
          <cell r="H20">
            <v>24.14</v>
          </cell>
          <cell r="J20">
            <v>31.39</v>
          </cell>
          <cell r="K20">
            <v>195.79</v>
          </cell>
          <cell r="L20" t="str">
            <v>Sea</v>
          </cell>
          <cell r="R20">
            <v>18</v>
          </cell>
        </row>
        <row r="21">
          <cell r="H21">
            <v>37.840000000000003</v>
          </cell>
          <cell r="J21">
            <v>73.400000000000006</v>
          </cell>
          <cell r="K21">
            <v>310.36</v>
          </cell>
          <cell r="L21" t="str">
            <v>Sea</v>
          </cell>
          <cell r="R21">
            <v>28</v>
          </cell>
        </row>
        <row r="22">
          <cell r="H22">
            <v>68.77</v>
          </cell>
          <cell r="J22">
            <v>17.18</v>
          </cell>
          <cell r="K22">
            <v>155.44</v>
          </cell>
          <cell r="L22" t="str">
            <v>Sea</v>
          </cell>
          <cell r="R22">
            <v>40</v>
          </cell>
        </row>
        <row r="23">
          <cell r="H23">
            <v>18.5</v>
          </cell>
          <cell r="J23">
            <v>5.26</v>
          </cell>
          <cell r="K23">
            <v>29.24</v>
          </cell>
          <cell r="L23" t="str">
            <v>Air</v>
          </cell>
          <cell r="R23">
            <v>12.75</v>
          </cell>
        </row>
        <row r="24">
          <cell r="H24">
            <v>28.96</v>
          </cell>
          <cell r="J24">
            <v>49.07</v>
          </cell>
          <cell r="K24">
            <v>164.11</v>
          </cell>
          <cell r="L24" t="str">
            <v>Sea</v>
          </cell>
          <cell r="R24">
            <v>22.5</v>
          </cell>
        </row>
        <row r="25">
          <cell r="H25">
            <v>35.020000000000003</v>
          </cell>
          <cell r="J25">
            <v>74.650000000000006</v>
          </cell>
          <cell r="K25">
            <v>313.47000000000003</v>
          </cell>
          <cell r="L25" t="str">
            <v>Air</v>
          </cell>
          <cell r="R25">
            <v>22.5</v>
          </cell>
        </row>
        <row r="26">
          <cell r="H26">
            <v>31.57</v>
          </cell>
          <cell r="J26">
            <v>56.47</v>
          </cell>
          <cell r="K26">
            <v>232.78</v>
          </cell>
          <cell r="L26" t="str">
            <v>Sea</v>
          </cell>
          <cell r="R26">
            <v>20</v>
          </cell>
        </row>
        <row r="27">
          <cell r="H27">
            <v>27.08</v>
          </cell>
          <cell r="J27">
            <v>11.12</v>
          </cell>
          <cell r="K27">
            <v>151</v>
          </cell>
          <cell r="L27" t="str">
            <v>Sea</v>
          </cell>
          <cell r="R27">
            <v>15.5</v>
          </cell>
        </row>
        <row r="28">
          <cell r="H28">
            <v>35.32</v>
          </cell>
          <cell r="J28">
            <v>63.72</v>
          </cell>
          <cell r="K28">
            <v>221.76</v>
          </cell>
          <cell r="L28" t="str">
            <v>Sea</v>
          </cell>
          <cell r="R28">
            <v>28</v>
          </cell>
        </row>
        <row r="29">
          <cell r="H29">
            <v>39.630000000000003</v>
          </cell>
          <cell r="J29">
            <v>8.08</v>
          </cell>
          <cell r="K29">
            <v>94.7</v>
          </cell>
          <cell r="L29" t="str">
            <v>Land</v>
          </cell>
          <cell r="R29">
            <v>22.5</v>
          </cell>
        </row>
        <row r="30">
          <cell r="H30">
            <v>68.400000000000006</v>
          </cell>
          <cell r="J30">
            <v>150.83000000000001</v>
          </cell>
          <cell r="K30">
            <v>871.57</v>
          </cell>
          <cell r="L30" t="str">
            <v>Sea</v>
          </cell>
          <cell r="R30">
            <v>40</v>
          </cell>
        </row>
        <row r="31">
          <cell r="H31">
            <v>44.98</v>
          </cell>
          <cell r="J31">
            <v>2.81</v>
          </cell>
          <cell r="K31">
            <v>17.170000000000002</v>
          </cell>
          <cell r="L31" t="str">
            <v>Sea</v>
          </cell>
          <cell r="R31">
            <v>25</v>
          </cell>
        </row>
        <row r="32">
          <cell r="H32">
            <v>37.74</v>
          </cell>
          <cell r="J32">
            <v>4.04</v>
          </cell>
          <cell r="K32">
            <v>25.18</v>
          </cell>
          <cell r="L32" t="str">
            <v>Sea</v>
          </cell>
          <cell r="R32">
            <v>28</v>
          </cell>
        </row>
        <row r="33">
          <cell r="H33">
            <v>39.799999999999997</v>
          </cell>
          <cell r="J33">
            <v>20.54</v>
          </cell>
          <cell r="K33">
            <v>157.06</v>
          </cell>
          <cell r="L33" t="str">
            <v>Air</v>
          </cell>
          <cell r="R33">
            <v>25</v>
          </cell>
        </row>
        <row r="34">
          <cell r="H34">
            <v>43.23</v>
          </cell>
          <cell r="J34">
            <v>57.2</v>
          </cell>
          <cell r="K34">
            <v>234.78</v>
          </cell>
          <cell r="L34" t="str">
            <v>Sea</v>
          </cell>
          <cell r="R34">
            <v>32</v>
          </cell>
        </row>
        <row r="35">
          <cell r="H35">
            <v>66.34</v>
          </cell>
          <cell r="J35">
            <v>81.150000000000006</v>
          </cell>
          <cell r="K35">
            <v>366.63</v>
          </cell>
          <cell r="L35" t="str">
            <v>Sea</v>
          </cell>
          <cell r="R35">
            <v>40</v>
          </cell>
        </row>
        <row r="36">
          <cell r="H36">
            <v>33.869999999999997</v>
          </cell>
          <cell r="J36">
            <v>6.59</v>
          </cell>
          <cell r="K36">
            <v>28.89</v>
          </cell>
          <cell r="L36" t="str">
            <v>Land</v>
          </cell>
          <cell r="R36">
            <v>25</v>
          </cell>
        </row>
        <row r="37">
          <cell r="H37">
            <v>64.650000000000006</v>
          </cell>
          <cell r="J37">
            <v>17.89</v>
          </cell>
          <cell r="K37">
            <v>228.61</v>
          </cell>
          <cell r="L37" t="str">
            <v>Air</v>
          </cell>
          <cell r="R37">
            <v>40</v>
          </cell>
        </row>
        <row r="38">
          <cell r="H38">
            <v>29.56</v>
          </cell>
          <cell r="J38">
            <v>21.4</v>
          </cell>
          <cell r="K38">
            <v>63.32</v>
          </cell>
          <cell r="L38" t="str">
            <v>Sea</v>
          </cell>
          <cell r="R38">
            <v>22.5</v>
          </cell>
        </row>
        <row r="39">
          <cell r="H39">
            <v>35.36</v>
          </cell>
          <cell r="J39">
            <v>8.66</v>
          </cell>
          <cell r="K39">
            <v>32.78</v>
          </cell>
          <cell r="L39" t="str">
            <v>Air</v>
          </cell>
          <cell r="R39">
            <v>25</v>
          </cell>
        </row>
        <row r="40">
          <cell r="H40">
            <v>31.42</v>
          </cell>
          <cell r="J40">
            <v>69.319999999999993</v>
          </cell>
          <cell r="K40">
            <v>250.44</v>
          </cell>
          <cell r="L40" t="str">
            <v>Land</v>
          </cell>
          <cell r="R40">
            <v>20</v>
          </cell>
        </row>
        <row r="41">
          <cell r="H41">
            <v>55.12</v>
          </cell>
          <cell r="J41">
            <v>58.22</v>
          </cell>
          <cell r="K41">
            <v>645.98</v>
          </cell>
          <cell r="L41" t="str">
            <v>Land</v>
          </cell>
          <cell r="R41">
            <v>35</v>
          </cell>
        </row>
        <row r="42">
          <cell r="H42">
            <v>33.94</v>
          </cell>
          <cell r="J42">
            <v>33.26</v>
          </cell>
          <cell r="K42">
            <v>435.78</v>
          </cell>
          <cell r="L42" t="str">
            <v>Land</v>
          </cell>
          <cell r="R42">
            <v>22.5</v>
          </cell>
        </row>
        <row r="43">
          <cell r="H43">
            <v>38.43</v>
          </cell>
          <cell r="J43">
            <v>60.07</v>
          </cell>
          <cell r="K43">
            <v>258.52999999999997</v>
          </cell>
          <cell r="L43" t="str">
            <v>Air</v>
          </cell>
          <cell r="R43">
            <v>22.5</v>
          </cell>
        </row>
        <row r="44">
          <cell r="H44">
            <v>35.07</v>
          </cell>
          <cell r="J44">
            <v>21.23</v>
          </cell>
          <cell r="K44">
            <v>210.38</v>
          </cell>
          <cell r="L44" t="str">
            <v>Land</v>
          </cell>
          <cell r="R44">
            <v>25</v>
          </cell>
        </row>
        <row r="45">
          <cell r="H45">
            <v>71.44</v>
          </cell>
          <cell r="J45">
            <v>166.81</v>
          </cell>
          <cell r="K45">
            <v>933.59</v>
          </cell>
          <cell r="L45" t="str">
            <v>Sea</v>
          </cell>
          <cell r="R45">
            <v>40</v>
          </cell>
        </row>
        <row r="46">
          <cell r="H46">
            <v>26.05</v>
          </cell>
          <cell r="J46">
            <v>13.39</v>
          </cell>
          <cell r="K46">
            <v>75.16</v>
          </cell>
          <cell r="L46" t="str">
            <v>Sea</v>
          </cell>
          <cell r="R46">
            <v>18</v>
          </cell>
        </row>
        <row r="47">
          <cell r="H47">
            <v>26.67</v>
          </cell>
          <cell r="J47">
            <v>83.55</v>
          </cell>
          <cell r="K47">
            <v>430.27</v>
          </cell>
          <cell r="L47" t="str">
            <v>Land</v>
          </cell>
          <cell r="R47">
            <v>15.5</v>
          </cell>
        </row>
        <row r="48">
          <cell r="H48">
            <v>42.84</v>
          </cell>
          <cell r="J48">
            <v>22.74</v>
          </cell>
          <cell r="K48">
            <v>155.34</v>
          </cell>
          <cell r="L48" t="str">
            <v>Air</v>
          </cell>
          <cell r="R48">
            <v>28</v>
          </cell>
        </row>
        <row r="49">
          <cell r="H49">
            <v>30.89</v>
          </cell>
          <cell r="J49">
            <v>12</v>
          </cell>
          <cell r="K49">
            <v>220.02</v>
          </cell>
          <cell r="L49" t="str">
            <v>Sea</v>
          </cell>
          <cell r="R49">
            <v>18</v>
          </cell>
        </row>
        <row r="50">
          <cell r="H50">
            <v>52.41</v>
          </cell>
          <cell r="J50">
            <v>81.099999999999994</v>
          </cell>
          <cell r="K50">
            <v>284.51</v>
          </cell>
          <cell r="L50" t="str">
            <v>Air</v>
          </cell>
          <cell r="R50">
            <v>35</v>
          </cell>
        </row>
        <row r="51">
          <cell r="H51">
            <v>38.64</v>
          </cell>
          <cell r="J51">
            <v>13.86</v>
          </cell>
          <cell r="K51">
            <v>167.02</v>
          </cell>
          <cell r="L51" t="str">
            <v>Sea</v>
          </cell>
          <cell r="R51">
            <v>28</v>
          </cell>
        </row>
        <row r="52">
          <cell r="H52">
            <v>25.79</v>
          </cell>
          <cell r="J52">
            <v>71.22</v>
          </cell>
          <cell r="K52">
            <v>248.17</v>
          </cell>
          <cell r="L52" t="str">
            <v>Sea</v>
          </cell>
          <cell r="R52">
            <v>18</v>
          </cell>
        </row>
        <row r="53">
          <cell r="H53">
            <v>41.13</v>
          </cell>
          <cell r="J53">
            <v>80.12</v>
          </cell>
          <cell r="K53">
            <v>458.21</v>
          </cell>
          <cell r="L53" t="str">
            <v>Sea</v>
          </cell>
          <cell r="R53">
            <v>28</v>
          </cell>
        </row>
        <row r="54">
          <cell r="H54">
            <v>55.67</v>
          </cell>
          <cell r="J54">
            <v>144.32</v>
          </cell>
          <cell r="K54">
            <v>372.79</v>
          </cell>
          <cell r="L54" t="str">
            <v>Land</v>
          </cell>
          <cell r="R54">
            <v>40</v>
          </cell>
        </row>
        <row r="55">
          <cell r="H55">
            <v>50.87</v>
          </cell>
          <cell r="J55">
            <v>49.93</v>
          </cell>
          <cell r="K55">
            <v>145.72999999999999</v>
          </cell>
          <cell r="L55" t="str">
            <v>Land</v>
          </cell>
          <cell r="R55">
            <v>40</v>
          </cell>
        </row>
        <row r="56">
          <cell r="H56">
            <v>26.7</v>
          </cell>
          <cell r="J56">
            <v>11.84</v>
          </cell>
          <cell r="K56">
            <v>144.96</v>
          </cell>
          <cell r="L56" t="str">
            <v>Air</v>
          </cell>
          <cell r="R56">
            <v>15.5</v>
          </cell>
        </row>
        <row r="57">
          <cell r="H57">
            <v>28.96</v>
          </cell>
          <cell r="J57">
            <v>35.65</v>
          </cell>
          <cell r="K57">
            <v>139.71</v>
          </cell>
          <cell r="L57" t="str">
            <v>Land</v>
          </cell>
          <cell r="R57">
            <v>18</v>
          </cell>
        </row>
        <row r="58">
          <cell r="H58">
            <v>23.03</v>
          </cell>
          <cell r="J58">
            <v>50.12</v>
          </cell>
          <cell r="K58">
            <v>186.29</v>
          </cell>
          <cell r="L58" t="str">
            <v>Air</v>
          </cell>
          <cell r="R58">
            <v>18</v>
          </cell>
        </row>
        <row r="59">
          <cell r="H59">
            <v>50.03</v>
          </cell>
          <cell r="J59">
            <v>68.44</v>
          </cell>
          <cell r="K59">
            <v>202.1</v>
          </cell>
          <cell r="L59" t="str">
            <v>Air</v>
          </cell>
          <cell r="R59">
            <v>35</v>
          </cell>
        </row>
        <row r="60">
          <cell r="H60">
            <v>32.07</v>
          </cell>
          <cell r="J60">
            <v>54.49</v>
          </cell>
          <cell r="K60">
            <v>214.17</v>
          </cell>
          <cell r="L60" t="str">
            <v>Air</v>
          </cell>
          <cell r="R60">
            <v>25</v>
          </cell>
        </row>
        <row r="61">
          <cell r="H61">
            <v>50.96</v>
          </cell>
          <cell r="J61">
            <v>61</v>
          </cell>
          <cell r="K61">
            <v>375.08</v>
          </cell>
          <cell r="L61" t="str">
            <v>Air</v>
          </cell>
          <cell r="R61">
            <v>32</v>
          </cell>
        </row>
        <row r="62">
          <cell r="H62">
            <v>70.599999999999994</v>
          </cell>
          <cell r="J62">
            <v>166.91</v>
          </cell>
          <cell r="K62">
            <v>1240.69</v>
          </cell>
          <cell r="L62" t="str">
            <v>Air</v>
          </cell>
          <cell r="R62">
            <v>40</v>
          </cell>
        </row>
        <row r="63">
          <cell r="H63">
            <v>53.36</v>
          </cell>
          <cell r="J63">
            <v>56.29</v>
          </cell>
          <cell r="K63">
            <v>144.11000000000001</v>
          </cell>
          <cell r="L63" t="str">
            <v>Land</v>
          </cell>
          <cell r="R63">
            <v>40</v>
          </cell>
        </row>
        <row r="64">
          <cell r="H64">
            <v>39.840000000000003</v>
          </cell>
          <cell r="J64">
            <v>132.74</v>
          </cell>
          <cell r="K64">
            <v>196.54</v>
          </cell>
          <cell r="L64" t="str">
            <v>Land</v>
          </cell>
          <cell r="R64">
            <v>32</v>
          </cell>
        </row>
        <row r="65">
          <cell r="H65">
            <v>38.26</v>
          </cell>
          <cell r="J65">
            <v>69.33</v>
          </cell>
          <cell r="K65">
            <v>341.73</v>
          </cell>
          <cell r="L65" t="str">
            <v>Sea</v>
          </cell>
          <cell r="R65">
            <v>25</v>
          </cell>
        </row>
        <row r="66">
          <cell r="H66">
            <v>23.09</v>
          </cell>
          <cell r="J66">
            <v>2.52</v>
          </cell>
          <cell r="K66">
            <v>12.66</v>
          </cell>
          <cell r="L66" t="str">
            <v>Sea</v>
          </cell>
          <cell r="R66">
            <v>15.5</v>
          </cell>
        </row>
        <row r="67">
          <cell r="H67">
            <v>46.81</v>
          </cell>
          <cell r="J67">
            <v>43.01</v>
          </cell>
          <cell r="K67">
            <v>549.39</v>
          </cell>
          <cell r="L67" t="str">
            <v>Land</v>
          </cell>
          <cell r="R67">
            <v>32</v>
          </cell>
        </row>
        <row r="68">
          <cell r="H68">
            <v>57.01</v>
          </cell>
          <cell r="J68">
            <v>115.04</v>
          </cell>
          <cell r="K68">
            <v>960.39</v>
          </cell>
          <cell r="L68" t="str">
            <v>Sea</v>
          </cell>
          <cell r="R68">
            <v>32</v>
          </cell>
        </row>
        <row r="69">
          <cell r="H69">
            <v>22.23</v>
          </cell>
          <cell r="J69">
            <v>16.89</v>
          </cell>
          <cell r="K69">
            <v>125.31</v>
          </cell>
          <cell r="L69" t="str">
            <v>Air</v>
          </cell>
          <cell r="R69">
            <v>12.75</v>
          </cell>
        </row>
        <row r="70">
          <cell r="H70">
            <v>19.23</v>
          </cell>
          <cell r="J70">
            <v>20.22</v>
          </cell>
          <cell r="K70">
            <v>35.729999999999997</v>
          </cell>
          <cell r="L70" t="str">
            <v>Land</v>
          </cell>
          <cell r="R70">
            <v>15.5</v>
          </cell>
        </row>
        <row r="71">
          <cell r="H71">
            <v>45.54</v>
          </cell>
          <cell r="J71">
            <v>36.76</v>
          </cell>
          <cell r="K71">
            <v>559.6</v>
          </cell>
          <cell r="L71" t="str">
            <v>Land</v>
          </cell>
          <cell r="R71">
            <v>28</v>
          </cell>
        </row>
        <row r="72">
          <cell r="H72">
            <v>63.88</v>
          </cell>
          <cell r="J72">
            <v>111.7</v>
          </cell>
          <cell r="K72">
            <v>676.34</v>
          </cell>
          <cell r="L72" t="str">
            <v>Land</v>
          </cell>
          <cell r="R72">
            <v>40</v>
          </cell>
        </row>
        <row r="73">
          <cell r="H73">
            <v>25.38</v>
          </cell>
          <cell r="J73">
            <v>50.82</v>
          </cell>
          <cell r="K73">
            <v>237</v>
          </cell>
          <cell r="L73" t="str">
            <v>Sea</v>
          </cell>
          <cell r="R73">
            <v>18</v>
          </cell>
        </row>
        <row r="74">
          <cell r="H74">
            <v>38.979999999999997</v>
          </cell>
          <cell r="J74">
            <v>25.56</v>
          </cell>
          <cell r="K74">
            <v>100.26</v>
          </cell>
          <cell r="L74" t="str">
            <v>Land</v>
          </cell>
          <cell r="R74">
            <v>25</v>
          </cell>
        </row>
        <row r="75">
          <cell r="H75">
            <v>35.86</v>
          </cell>
          <cell r="J75">
            <v>40.130000000000003</v>
          </cell>
          <cell r="K75">
            <v>181.91</v>
          </cell>
          <cell r="L75" t="str">
            <v>Air</v>
          </cell>
          <cell r="R75">
            <v>20</v>
          </cell>
        </row>
        <row r="76">
          <cell r="H76">
            <v>21.37</v>
          </cell>
          <cell r="J76">
            <v>65.98</v>
          </cell>
          <cell r="K76">
            <v>221.65</v>
          </cell>
          <cell r="L76" t="str">
            <v>Air</v>
          </cell>
          <cell r="R76">
            <v>15.5</v>
          </cell>
        </row>
        <row r="77">
          <cell r="H77">
            <v>24.57</v>
          </cell>
          <cell r="J77">
            <v>56.45</v>
          </cell>
          <cell r="K77">
            <v>219.49</v>
          </cell>
          <cell r="L77" t="str">
            <v>Sea</v>
          </cell>
          <cell r="R77">
            <v>18</v>
          </cell>
        </row>
        <row r="78">
          <cell r="H78">
            <v>26.39</v>
          </cell>
          <cell r="J78">
            <v>44.56</v>
          </cell>
          <cell r="K78">
            <v>307.82</v>
          </cell>
          <cell r="L78" t="str">
            <v>Sea</v>
          </cell>
          <cell r="R78">
            <v>18</v>
          </cell>
        </row>
        <row r="79">
          <cell r="H79">
            <v>29.73</v>
          </cell>
          <cell r="J79">
            <v>96.77</v>
          </cell>
          <cell r="K79">
            <v>389.73</v>
          </cell>
          <cell r="L79" t="str">
            <v>Air</v>
          </cell>
          <cell r="R79">
            <v>20</v>
          </cell>
        </row>
        <row r="80">
          <cell r="H80">
            <v>20.56</v>
          </cell>
          <cell r="J80">
            <v>43.55</v>
          </cell>
          <cell r="K80">
            <v>153.79</v>
          </cell>
          <cell r="L80" t="str">
            <v>Land</v>
          </cell>
          <cell r="R80">
            <v>15.5</v>
          </cell>
        </row>
        <row r="81">
          <cell r="H81">
            <v>24.36</v>
          </cell>
          <cell r="J81">
            <v>81.599999999999994</v>
          </cell>
          <cell r="K81">
            <v>343.68</v>
          </cell>
          <cell r="L81" t="str">
            <v>Air</v>
          </cell>
          <cell r="R81">
            <v>15.5</v>
          </cell>
        </row>
        <row r="82">
          <cell r="H82">
            <v>27.95</v>
          </cell>
          <cell r="J82">
            <v>37.590000000000003</v>
          </cell>
          <cell r="K82">
            <v>180.41</v>
          </cell>
          <cell r="L82" t="str">
            <v>Air</v>
          </cell>
          <cell r="R82">
            <v>22.5</v>
          </cell>
        </row>
        <row r="83">
          <cell r="H83">
            <v>40.19</v>
          </cell>
          <cell r="J83">
            <v>32.4</v>
          </cell>
          <cell r="K83">
            <v>223.59</v>
          </cell>
          <cell r="L83" t="str">
            <v>Sea</v>
          </cell>
          <cell r="R83">
            <v>28</v>
          </cell>
        </row>
        <row r="84">
          <cell r="H84">
            <v>16.670000000000002</v>
          </cell>
          <cell r="J84">
            <v>32.79</v>
          </cell>
          <cell r="K84">
            <v>69.13</v>
          </cell>
          <cell r="L84" t="str">
            <v>Air</v>
          </cell>
          <cell r="R84">
            <v>12.75</v>
          </cell>
        </row>
        <row r="85">
          <cell r="H85">
            <v>39.85</v>
          </cell>
          <cell r="J85">
            <v>43.87</v>
          </cell>
          <cell r="K85">
            <v>175.93</v>
          </cell>
          <cell r="L85" t="str">
            <v>Air</v>
          </cell>
          <cell r="R85">
            <v>32</v>
          </cell>
        </row>
        <row r="86">
          <cell r="H86">
            <v>15.97</v>
          </cell>
          <cell r="J86">
            <v>48.55</v>
          </cell>
          <cell r="K86">
            <v>102.79</v>
          </cell>
          <cell r="L86" t="str">
            <v>Air</v>
          </cell>
          <cell r="R86">
            <v>12.75</v>
          </cell>
        </row>
        <row r="87">
          <cell r="H87">
            <v>53.6</v>
          </cell>
          <cell r="J87">
            <v>68.55</v>
          </cell>
          <cell r="K87">
            <v>312.25</v>
          </cell>
          <cell r="L87" t="str">
            <v>Sea</v>
          </cell>
          <cell r="R87">
            <v>40</v>
          </cell>
        </row>
        <row r="88">
          <cell r="H88">
            <v>40.049999999999997</v>
          </cell>
          <cell r="J88">
            <v>45.6</v>
          </cell>
          <cell r="K88">
            <v>400.25</v>
          </cell>
          <cell r="L88" t="str">
            <v>Land</v>
          </cell>
          <cell r="R88">
            <v>28</v>
          </cell>
        </row>
        <row r="89">
          <cell r="H89">
            <v>43.74</v>
          </cell>
          <cell r="J89">
            <v>80.55</v>
          </cell>
          <cell r="K89">
            <v>312.75</v>
          </cell>
          <cell r="L89" t="str">
            <v>Sea</v>
          </cell>
          <cell r="R89">
            <v>35</v>
          </cell>
        </row>
        <row r="90">
          <cell r="H90">
            <v>24.63</v>
          </cell>
          <cell r="J90">
            <v>13.53</v>
          </cell>
          <cell r="K90">
            <v>68.64</v>
          </cell>
          <cell r="L90" t="str">
            <v>Sea</v>
          </cell>
          <cell r="R90">
            <v>15.5</v>
          </cell>
        </row>
        <row r="91">
          <cell r="H91">
            <v>21.79</v>
          </cell>
          <cell r="J91">
            <v>7.75</v>
          </cell>
          <cell r="K91">
            <v>29.99</v>
          </cell>
          <cell r="L91" t="str">
            <v>Sea</v>
          </cell>
          <cell r="R91">
            <v>15.5</v>
          </cell>
        </row>
        <row r="92">
          <cell r="H92">
            <v>58.43</v>
          </cell>
          <cell r="J92">
            <v>38.729999999999997</v>
          </cell>
          <cell r="K92">
            <v>500.16</v>
          </cell>
          <cell r="L92" t="str">
            <v>Sea</v>
          </cell>
          <cell r="R92">
            <v>35</v>
          </cell>
        </row>
        <row r="93">
          <cell r="H93">
            <v>67.06</v>
          </cell>
          <cell r="J93">
            <v>85.73</v>
          </cell>
          <cell r="K93">
            <v>428.41</v>
          </cell>
          <cell r="L93" t="str">
            <v>Land</v>
          </cell>
          <cell r="R93">
            <v>40</v>
          </cell>
        </row>
        <row r="94">
          <cell r="H94">
            <v>25.13</v>
          </cell>
          <cell r="J94">
            <v>5.6</v>
          </cell>
          <cell r="K94">
            <v>22.92</v>
          </cell>
          <cell r="L94" t="str">
            <v>Sea</v>
          </cell>
          <cell r="R94">
            <v>18</v>
          </cell>
        </row>
        <row r="95">
          <cell r="H95">
            <v>19.34</v>
          </cell>
          <cell r="J95">
            <v>26.51</v>
          </cell>
          <cell r="K95">
            <v>73.33</v>
          </cell>
          <cell r="L95" t="str">
            <v>Sea</v>
          </cell>
          <cell r="R95">
            <v>15.5</v>
          </cell>
        </row>
        <row r="96">
          <cell r="H96">
            <v>35.81</v>
          </cell>
          <cell r="J96">
            <v>61.06</v>
          </cell>
          <cell r="K96">
            <v>350</v>
          </cell>
          <cell r="L96" t="str">
            <v>Land</v>
          </cell>
          <cell r="R96">
            <v>20</v>
          </cell>
        </row>
        <row r="97">
          <cell r="H97">
            <v>39.950000000000003</v>
          </cell>
          <cell r="J97">
            <v>93.95</v>
          </cell>
          <cell r="K97">
            <v>638.95000000000005</v>
          </cell>
          <cell r="L97" t="str">
            <v>Sea</v>
          </cell>
          <cell r="R97">
            <v>22.5</v>
          </cell>
        </row>
        <row r="98">
          <cell r="H98">
            <v>49.98</v>
          </cell>
          <cell r="J98">
            <v>112.91</v>
          </cell>
          <cell r="K98">
            <v>456.33</v>
          </cell>
          <cell r="L98" t="str">
            <v>Air</v>
          </cell>
          <cell r="R98">
            <v>35</v>
          </cell>
        </row>
        <row r="99">
          <cell r="H99">
            <v>45.84</v>
          </cell>
          <cell r="J99">
            <v>1.26</v>
          </cell>
          <cell r="K99">
            <v>16.579999999999998</v>
          </cell>
          <cell r="L99" t="str">
            <v>Air</v>
          </cell>
          <cell r="R99">
            <v>28</v>
          </cell>
        </row>
        <row r="100">
          <cell r="H100">
            <v>26.34</v>
          </cell>
          <cell r="J100">
            <v>47.88</v>
          </cell>
          <cell r="K100">
            <v>269.04000000000002</v>
          </cell>
          <cell r="L100" t="str">
            <v>Land</v>
          </cell>
          <cell r="R100">
            <v>18</v>
          </cell>
        </row>
        <row r="101">
          <cell r="H101">
            <v>36.43</v>
          </cell>
          <cell r="J101">
            <v>61.97</v>
          </cell>
          <cell r="K101">
            <v>280.93</v>
          </cell>
          <cell r="L101" t="str">
            <v>Air</v>
          </cell>
          <cell r="R101">
            <v>25</v>
          </cell>
        </row>
        <row r="102">
          <cell r="H102">
            <v>22.27</v>
          </cell>
          <cell r="J102">
            <v>13.21</v>
          </cell>
          <cell r="K102">
            <v>72.47</v>
          </cell>
          <cell r="L102" t="str">
            <v>Sea</v>
          </cell>
          <cell r="R102">
            <v>12.75</v>
          </cell>
        </row>
        <row r="103">
          <cell r="H103">
            <v>27.65</v>
          </cell>
          <cell r="J103">
            <v>46.25</v>
          </cell>
          <cell r="K103">
            <v>269.64999999999998</v>
          </cell>
          <cell r="L103" t="str">
            <v>Sea</v>
          </cell>
          <cell r="R103">
            <v>15.5</v>
          </cell>
        </row>
        <row r="104">
          <cell r="H104">
            <v>22.45</v>
          </cell>
          <cell r="J104">
            <v>15.68</v>
          </cell>
          <cell r="K104">
            <v>144.16999999999999</v>
          </cell>
          <cell r="L104" t="str">
            <v>Air</v>
          </cell>
          <cell r="R104">
            <v>15.5</v>
          </cell>
        </row>
        <row r="105">
          <cell r="H105">
            <v>21.93</v>
          </cell>
          <cell r="J105">
            <v>24.66</v>
          </cell>
          <cell r="K105">
            <v>168.24</v>
          </cell>
          <cell r="L105" t="str">
            <v>Sea</v>
          </cell>
          <cell r="R105">
            <v>15.5</v>
          </cell>
        </row>
        <row r="106">
          <cell r="H106">
            <v>21.92</v>
          </cell>
          <cell r="J106">
            <v>51.15</v>
          </cell>
          <cell r="K106">
            <v>343.16</v>
          </cell>
          <cell r="L106" t="str">
            <v>Land</v>
          </cell>
          <cell r="R106">
            <v>12.75</v>
          </cell>
        </row>
        <row r="107">
          <cell r="H107">
            <v>56.21</v>
          </cell>
          <cell r="J107">
            <v>7.56</v>
          </cell>
          <cell r="K107">
            <v>41.07</v>
          </cell>
          <cell r="L107" t="str">
            <v>Air</v>
          </cell>
          <cell r="R107">
            <v>40</v>
          </cell>
        </row>
        <row r="108">
          <cell r="H108">
            <v>15.44</v>
          </cell>
          <cell r="J108">
            <v>19.7</v>
          </cell>
          <cell r="K108">
            <v>69.069999999999993</v>
          </cell>
          <cell r="L108" t="str">
            <v>Land</v>
          </cell>
          <cell r="R108">
            <v>12.75</v>
          </cell>
        </row>
        <row r="109">
          <cell r="H109">
            <v>23.02</v>
          </cell>
          <cell r="J109">
            <v>69.3</v>
          </cell>
          <cell r="K109">
            <v>306.7</v>
          </cell>
          <cell r="L109" t="str">
            <v>Sea</v>
          </cell>
          <cell r="R109">
            <v>15.5</v>
          </cell>
        </row>
        <row r="110">
          <cell r="H110">
            <v>17.010000000000002</v>
          </cell>
          <cell r="J110">
            <v>8.84</v>
          </cell>
          <cell r="K110">
            <v>25.24</v>
          </cell>
          <cell r="L110" t="str">
            <v>Land</v>
          </cell>
          <cell r="R110">
            <v>12.75</v>
          </cell>
        </row>
        <row r="111">
          <cell r="H111">
            <v>26.47</v>
          </cell>
          <cell r="J111">
            <v>15.87</v>
          </cell>
          <cell r="K111">
            <v>119.65</v>
          </cell>
          <cell r="L111" t="str">
            <v>Sea</v>
          </cell>
          <cell r="R111">
            <v>18</v>
          </cell>
        </row>
        <row r="112">
          <cell r="H112">
            <v>43.18</v>
          </cell>
          <cell r="J112">
            <v>88.54</v>
          </cell>
          <cell r="K112">
            <v>269.22000000000003</v>
          </cell>
          <cell r="L112" t="str">
            <v>Sea</v>
          </cell>
          <cell r="R112">
            <v>32</v>
          </cell>
        </row>
        <row r="113">
          <cell r="H113">
            <v>18.850000000000001</v>
          </cell>
          <cell r="J113">
            <v>13.22</v>
          </cell>
          <cell r="K113">
            <v>83.93</v>
          </cell>
          <cell r="L113" t="str">
            <v>Land</v>
          </cell>
          <cell r="R113">
            <v>15.5</v>
          </cell>
        </row>
        <row r="114">
          <cell r="H114">
            <v>64.400000000000006</v>
          </cell>
          <cell r="J114">
            <v>61.72</v>
          </cell>
          <cell r="K114">
            <v>328.68</v>
          </cell>
          <cell r="L114" t="str">
            <v>Sea</v>
          </cell>
          <cell r="R114">
            <v>40</v>
          </cell>
        </row>
        <row r="115">
          <cell r="H115">
            <v>19.53</v>
          </cell>
          <cell r="J115">
            <v>7.15</v>
          </cell>
          <cell r="K115">
            <v>53.3</v>
          </cell>
          <cell r="L115" t="str">
            <v>Air</v>
          </cell>
          <cell r="R115">
            <v>15.5</v>
          </cell>
        </row>
        <row r="116">
          <cell r="H116">
            <v>26.05</v>
          </cell>
          <cell r="J116">
            <v>32.799999999999997</v>
          </cell>
          <cell r="K116">
            <v>185</v>
          </cell>
          <cell r="L116" t="str">
            <v>Land</v>
          </cell>
          <cell r="R116">
            <v>20</v>
          </cell>
        </row>
        <row r="117">
          <cell r="H117">
            <v>47.52</v>
          </cell>
          <cell r="J117">
            <v>31.41</v>
          </cell>
          <cell r="K117">
            <v>372.11</v>
          </cell>
          <cell r="L117" t="str">
            <v>Sea</v>
          </cell>
          <cell r="R117">
            <v>32</v>
          </cell>
        </row>
        <row r="118">
          <cell r="H118">
            <v>26.38</v>
          </cell>
          <cell r="J118">
            <v>33.049999999999997</v>
          </cell>
          <cell r="K118">
            <v>285.39</v>
          </cell>
          <cell r="L118" t="str">
            <v>Sea</v>
          </cell>
          <cell r="R118">
            <v>18</v>
          </cell>
        </row>
        <row r="119">
          <cell r="H119">
            <v>17.66</v>
          </cell>
          <cell r="J119">
            <v>6.95</v>
          </cell>
          <cell r="K119">
            <v>27.42</v>
          </cell>
          <cell r="L119" t="str">
            <v>Land</v>
          </cell>
          <cell r="R119">
            <v>12.75</v>
          </cell>
        </row>
        <row r="120">
          <cell r="H120">
            <v>51.5</v>
          </cell>
          <cell r="J120">
            <v>92.09</v>
          </cell>
          <cell r="K120">
            <v>336.91</v>
          </cell>
          <cell r="L120" t="str">
            <v>Sea</v>
          </cell>
          <cell r="R120">
            <v>35</v>
          </cell>
        </row>
        <row r="121">
          <cell r="H121">
            <v>25</v>
          </cell>
          <cell r="J121">
            <v>15.49</v>
          </cell>
          <cell r="K121">
            <v>241.01</v>
          </cell>
          <cell r="L121" t="str">
            <v>Sea</v>
          </cell>
          <cell r="R121">
            <v>15.5</v>
          </cell>
        </row>
        <row r="122">
          <cell r="H122">
            <v>19</v>
          </cell>
          <cell r="J122">
            <v>3.78</v>
          </cell>
          <cell r="K122">
            <v>21.22</v>
          </cell>
          <cell r="L122" t="str">
            <v>Sea</v>
          </cell>
          <cell r="R122">
            <v>12.75</v>
          </cell>
        </row>
        <row r="123">
          <cell r="H123">
            <v>26.63</v>
          </cell>
          <cell r="J123">
            <v>31.92</v>
          </cell>
          <cell r="K123">
            <v>235.2</v>
          </cell>
          <cell r="L123" t="str">
            <v>Air</v>
          </cell>
          <cell r="R123">
            <v>15.5</v>
          </cell>
        </row>
        <row r="124">
          <cell r="H124">
            <v>43.14</v>
          </cell>
          <cell r="J124">
            <v>48.08</v>
          </cell>
          <cell r="K124">
            <v>423.56</v>
          </cell>
          <cell r="L124" t="str">
            <v>Land</v>
          </cell>
          <cell r="R124">
            <v>25</v>
          </cell>
        </row>
        <row r="125">
          <cell r="H125">
            <v>30.01</v>
          </cell>
          <cell r="J125">
            <v>60.43</v>
          </cell>
          <cell r="K125">
            <v>134.96</v>
          </cell>
          <cell r="L125" t="str">
            <v>Sea</v>
          </cell>
          <cell r="R125">
            <v>25</v>
          </cell>
        </row>
        <row r="126">
          <cell r="H126">
            <v>31.31</v>
          </cell>
          <cell r="J126">
            <v>4.04</v>
          </cell>
          <cell r="K126">
            <v>40.01</v>
          </cell>
          <cell r="L126" t="str">
            <v>Air</v>
          </cell>
          <cell r="R126">
            <v>22.5</v>
          </cell>
        </row>
        <row r="127">
          <cell r="H127">
            <v>36.950000000000003</v>
          </cell>
          <cell r="J127">
            <v>74.260000000000005</v>
          </cell>
          <cell r="K127">
            <v>301.64</v>
          </cell>
          <cell r="L127" t="str">
            <v>Sea</v>
          </cell>
          <cell r="R127">
            <v>28</v>
          </cell>
        </row>
        <row r="128">
          <cell r="H128">
            <v>57.37</v>
          </cell>
          <cell r="J128">
            <v>94.34</v>
          </cell>
          <cell r="K128">
            <v>530.98</v>
          </cell>
          <cell r="L128" t="str">
            <v>Air</v>
          </cell>
          <cell r="R128">
            <v>40</v>
          </cell>
        </row>
        <row r="129">
          <cell r="H129">
            <v>40.18</v>
          </cell>
          <cell r="J129">
            <v>37.369999999999997</v>
          </cell>
          <cell r="K129">
            <v>120.97</v>
          </cell>
          <cell r="L129" t="str">
            <v>Sea</v>
          </cell>
          <cell r="R129">
            <v>28</v>
          </cell>
        </row>
        <row r="130">
          <cell r="H130">
            <v>39.299999999999997</v>
          </cell>
          <cell r="J130">
            <v>67.08</v>
          </cell>
          <cell r="K130">
            <v>203.02</v>
          </cell>
          <cell r="L130" t="str">
            <v>Air</v>
          </cell>
          <cell r="R130">
            <v>32</v>
          </cell>
        </row>
        <row r="131">
          <cell r="H131">
            <v>43.28</v>
          </cell>
          <cell r="J131">
            <v>50.96</v>
          </cell>
          <cell r="K131">
            <v>140.80000000000001</v>
          </cell>
          <cell r="L131" t="str">
            <v>Sea</v>
          </cell>
          <cell r="R131">
            <v>32</v>
          </cell>
        </row>
        <row r="132">
          <cell r="H132">
            <v>62.79</v>
          </cell>
          <cell r="J132">
            <v>75.84</v>
          </cell>
          <cell r="K132">
            <v>535.54</v>
          </cell>
          <cell r="L132" t="str">
            <v>Air</v>
          </cell>
          <cell r="R132">
            <v>35</v>
          </cell>
        </row>
        <row r="133">
          <cell r="H133">
            <v>56.76</v>
          </cell>
          <cell r="J133">
            <v>62.93</v>
          </cell>
          <cell r="K133">
            <v>322.55</v>
          </cell>
          <cell r="L133" t="str">
            <v>Air</v>
          </cell>
          <cell r="R133">
            <v>40</v>
          </cell>
        </row>
        <row r="134">
          <cell r="H134">
            <v>60.13</v>
          </cell>
          <cell r="J134">
            <v>54.06</v>
          </cell>
          <cell r="K134">
            <v>388.8</v>
          </cell>
          <cell r="L134" t="str">
            <v>Air</v>
          </cell>
          <cell r="R134">
            <v>40</v>
          </cell>
        </row>
        <row r="135">
          <cell r="H135">
            <v>40.98</v>
          </cell>
          <cell r="J135">
            <v>37.01</v>
          </cell>
          <cell r="K135">
            <v>298.57</v>
          </cell>
          <cell r="L135" t="str">
            <v>Land</v>
          </cell>
          <cell r="R135">
            <v>25</v>
          </cell>
        </row>
        <row r="136">
          <cell r="H136">
            <v>54.6</v>
          </cell>
          <cell r="J136">
            <v>150.34</v>
          </cell>
          <cell r="K136">
            <v>375.26</v>
          </cell>
          <cell r="L136" t="str">
            <v>Sea</v>
          </cell>
          <cell r="R136">
            <v>40</v>
          </cell>
        </row>
        <row r="137">
          <cell r="H137">
            <v>27.49</v>
          </cell>
          <cell r="J137">
            <v>0.63</v>
          </cell>
          <cell r="K137">
            <v>11.36</v>
          </cell>
          <cell r="L137" t="str">
            <v>Sea</v>
          </cell>
          <cell r="R137">
            <v>15.5</v>
          </cell>
        </row>
        <row r="138">
          <cell r="H138">
            <v>41.11</v>
          </cell>
          <cell r="J138">
            <v>95.61</v>
          </cell>
          <cell r="K138">
            <v>359.89</v>
          </cell>
          <cell r="L138" t="str">
            <v>Air</v>
          </cell>
          <cell r="R138">
            <v>32</v>
          </cell>
        </row>
        <row r="139">
          <cell r="H139">
            <v>25.54</v>
          </cell>
          <cell r="J139">
            <v>27.02</v>
          </cell>
          <cell r="K139">
            <v>153.69999999999999</v>
          </cell>
          <cell r="L139" t="str">
            <v>Sea</v>
          </cell>
          <cell r="R139">
            <v>15.5</v>
          </cell>
        </row>
        <row r="140">
          <cell r="H140">
            <v>47.52</v>
          </cell>
          <cell r="J140">
            <v>10.23</v>
          </cell>
          <cell r="K140">
            <v>67.849999999999994</v>
          </cell>
          <cell r="L140" t="str">
            <v>Land</v>
          </cell>
          <cell r="R140">
            <v>28</v>
          </cell>
        </row>
        <row r="141">
          <cell r="H141">
            <v>30.48</v>
          </cell>
          <cell r="J141">
            <v>33.15</v>
          </cell>
          <cell r="K141">
            <v>125.77</v>
          </cell>
          <cell r="L141" t="str">
            <v>Air</v>
          </cell>
          <cell r="R141">
            <v>25</v>
          </cell>
        </row>
        <row r="142">
          <cell r="H142">
            <v>50.39</v>
          </cell>
          <cell r="J142">
            <v>106.4</v>
          </cell>
          <cell r="K142">
            <v>174.13</v>
          </cell>
          <cell r="L142" t="str">
            <v>Sea</v>
          </cell>
          <cell r="R142">
            <v>40</v>
          </cell>
        </row>
        <row r="143">
          <cell r="H143">
            <v>37.68</v>
          </cell>
          <cell r="J143">
            <v>54.86</v>
          </cell>
          <cell r="K143">
            <v>376.26</v>
          </cell>
          <cell r="L143" t="str">
            <v>Air</v>
          </cell>
          <cell r="R143">
            <v>25</v>
          </cell>
        </row>
        <row r="144">
          <cell r="H144">
            <v>39.32</v>
          </cell>
          <cell r="J144">
            <v>6.97</v>
          </cell>
          <cell r="K144">
            <v>35.99</v>
          </cell>
          <cell r="L144" t="str">
            <v>Sea</v>
          </cell>
          <cell r="R144">
            <v>25</v>
          </cell>
        </row>
        <row r="145">
          <cell r="H145">
            <v>18</v>
          </cell>
          <cell r="J145">
            <v>22.68</v>
          </cell>
          <cell r="K145">
            <v>103.32</v>
          </cell>
          <cell r="L145" t="str">
            <v>Land</v>
          </cell>
          <cell r="R145">
            <v>12.75</v>
          </cell>
        </row>
        <row r="146">
          <cell r="H146">
            <v>36.43</v>
          </cell>
          <cell r="J146">
            <v>7.82</v>
          </cell>
          <cell r="K146">
            <v>61.83</v>
          </cell>
          <cell r="L146" t="str">
            <v>Land</v>
          </cell>
          <cell r="R146">
            <v>22.5</v>
          </cell>
        </row>
        <row r="147">
          <cell r="H147">
            <v>38.39</v>
          </cell>
          <cell r="J147">
            <v>28.6</v>
          </cell>
          <cell r="K147">
            <v>400.43</v>
          </cell>
          <cell r="L147" t="str">
            <v>Sea</v>
          </cell>
          <cell r="R147">
            <v>22.5</v>
          </cell>
        </row>
        <row r="148">
          <cell r="H148">
            <v>47.5</v>
          </cell>
          <cell r="J148">
            <v>15.95</v>
          </cell>
          <cell r="K148">
            <v>179.05</v>
          </cell>
          <cell r="L148" t="str">
            <v>Land</v>
          </cell>
          <cell r="R148">
            <v>28</v>
          </cell>
        </row>
        <row r="149">
          <cell r="H149">
            <v>50.13</v>
          </cell>
          <cell r="J149">
            <v>166.22</v>
          </cell>
          <cell r="K149">
            <v>685.89</v>
          </cell>
          <cell r="L149" t="str">
            <v>Land</v>
          </cell>
          <cell r="R149">
            <v>32</v>
          </cell>
        </row>
        <row r="150">
          <cell r="H150">
            <v>42.25</v>
          </cell>
          <cell r="J150">
            <v>116.75</v>
          </cell>
          <cell r="K150">
            <v>553</v>
          </cell>
          <cell r="L150" t="str">
            <v>Sea</v>
          </cell>
          <cell r="R150">
            <v>28</v>
          </cell>
        </row>
        <row r="151">
          <cell r="H151">
            <v>38.26</v>
          </cell>
          <cell r="J151">
            <v>18.78</v>
          </cell>
          <cell r="K151">
            <v>219.9</v>
          </cell>
          <cell r="L151" t="str">
            <v>Sea</v>
          </cell>
          <cell r="R151">
            <v>25</v>
          </cell>
        </row>
        <row r="152">
          <cell r="H152">
            <v>46.66</v>
          </cell>
          <cell r="J152">
            <v>109.24</v>
          </cell>
          <cell r="K152">
            <v>469.22</v>
          </cell>
          <cell r="L152" t="str">
            <v>Land</v>
          </cell>
          <cell r="R152">
            <v>28</v>
          </cell>
        </row>
        <row r="153">
          <cell r="H153">
            <v>52.65</v>
          </cell>
          <cell r="J153">
            <v>110.1</v>
          </cell>
          <cell r="K153">
            <v>736.55</v>
          </cell>
          <cell r="L153" t="str">
            <v>Sea</v>
          </cell>
          <cell r="R153">
            <v>32</v>
          </cell>
        </row>
        <row r="154">
          <cell r="H154">
            <v>22.66</v>
          </cell>
          <cell r="J154">
            <v>15.55</v>
          </cell>
          <cell r="K154">
            <v>114.93</v>
          </cell>
          <cell r="L154" t="str">
            <v>Air</v>
          </cell>
          <cell r="R154">
            <v>18</v>
          </cell>
        </row>
        <row r="155">
          <cell r="H155">
            <v>25.07</v>
          </cell>
          <cell r="J155">
            <v>29.93</v>
          </cell>
          <cell r="K155">
            <v>429.43</v>
          </cell>
          <cell r="L155" t="str">
            <v>Sea</v>
          </cell>
          <cell r="R155">
            <v>15.5</v>
          </cell>
        </row>
        <row r="156">
          <cell r="H156">
            <v>30.53</v>
          </cell>
          <cell r="J156">
            <v>72.150000000000006</v>
          </cell>
          <cell r="K156">
            <v>316.27999999999997</v>
          </cell>
          <cell r="L156" t="str">
            <v>Air</v>
          </cell>
          <cell r="R156">
            <v>18</v>
          </cell>
        </row>
        <row r="157">
          <cell r="H157">
            <v>31</v>
          </cell>
          <cell r="J157">
            <v>63.94</v>
          </cell>
          <cell r="K157">
            <v>216.56</v>
          </cell>
          <cell r="L157" t="str">
            <v>Sea</v>
          </cell>
          <cell r="R157">
            <v>22.5</v>
          </cell>
        </row>
        <row r="158">
          <cell r="H158">
            <v>20.86</v>
          </cell>
          <cell r="J158">
            <v>21.62</v>
          </cell>
          <cell r="K158">
            <v>149.9</v>
          </cell>
          <cell r="L158" t="str">
            <v>Air</v>
          </cell>
          <cell r="R158">
            <v>15.5</v>
          </cell>
        </row>
        <row r="159">
          <cell r="H159">
            <v>24.61</v>
          </cell>
          <cell r="J159">
            <v>26.99</v>
          </cell>
          <cell r="K159">
            <v>55.99</v>
          </cell>
          <cell r="L159" t="str">
            <v>Air</v>
          </cell>
          <cell r="R159">
            <v>20</v>
          </cell>
        </row>
        <row r="160">
          <cell r="H160">
            <v>64.83</v>
          </cell>
          <cell r="J160">
            <v>34.28</v>
          </cell>
          <cell r="K160">
            <v>412.66</v>
          </cell>
          <cell r="L160" t="str">
            <v>Air</v>
          </cell>
          <cell r="R160">
            <v>40</v>
          </cell>
        </row>
        <row r="161">
          <cell r="H161">
            <v>29.52</v>
          </cell>
          <cell r="J161">
            <v>104.7</v>
          </cell>
          <cell r="K161">
            <v>361.78</v>
          </cell>
          <cell r="L161" t="str">
            <v>Air</v>
          </cell>
          <cell r="R161">
            <v>20</v>
          </cell>
        </row>
        <row r="162">
          <cell r="H162">
            <v>26.73</v>
          </cell>
          <cell r="J162">
            <v>10.210000000000001</v>
          </cell>
          <cell r="K162">
            <v>57.09</v>
          </cell>
          <cell r="L162" t="str">
            <v>Air</v>
          </cell>
          <cell r="R162">
            <v>20</v>
          </cell>
        </row>
        <row r="163">
          <cell r="H163">
            <v>54.45</v>
          </cell>
          <cell r="J163">
            <v>16.59</v>
          </cell>
          <cell r="K163">
            <v>207.91</v>
          </cell>
          <cell r="L163" t="str">
            <v>Land</v>
          </cell>
          <cell r="R163">
            <v>32</v>
          </cell>
        </row>
        <row r="164">
          <cell r="H164">
            <v>30.06</v>
          </cell>
          <cell r="J164">
            <v>77.17</v>
          </cell>
          <cell r="K164">
            <v>477.59</v>
          </cell>
          <cell r="L164" t="str">
            <v>Sea</v>
          </cell>
          <cell r="R164">
            <v>18</v>
          </cell>
        </row>
        <row r="165">
          <cell r="H165">
            <v>21.52</v>
          </cell>
          <cell r="J165">
            <v>26.73</v>
          </cell>
          <cell r="K165">
            <v>123.77</v>
          </cell>
          <cell r="L165" t="str">
            <v>Sea</v>
          </cell>
          <cell r="R165">
            <v>15.5</v>
          </cell>
        </row>
        <row r="166">
          <cell r="H166">
            <v>26.25</v>
          </cell>
          <cell r="J166">
            <v>3.35</v>
          </cell>
          <cell r="K166">
            <v>37.9</v>
          </cell>
          <cell r="L166" t="str">
            <v>Sea</v>
          </cell>
          <cell r="R166">
            <v>18</v>
          </cell>
        </row>
        <row r="167">
          <cell r="H167">
            <v>31.48</v>
          </cell>
          <cell r="J167">
            <v>10.23</v>
          </cell>
          <cell r="K167">
            <v>54.57</v>
          </cell>
          <cell r="L167" t="str">
            <v>Air</v>
          </cell>
          <cell r="R167">
            <v>25</v>
          </cell>
        </row>
        <row r="168">
          <cell r="H168">
            <v>30.91</v>
          </cell>
          <cell r="J168">
            <v>38.42</v>
          </cell>
          <cell r="K168">
            <v>190.69</v>
          </cell>
          <cell r="L168" t="str">
            <v>Sea</v>
          </cell>
          <cell r="R168">
            <v>20</v>
          </cell>
        </row>
        <row r="169">
          <cell r="H169">
            <v>18.47</v>
          </cell>
          <cell r="J169">
            <v>13.21</v>
          </cell>
          <cell r="K169">
            <v>152.66999999999999</v>
          </cell>
          <cell r="L169" t="str">
            <v>Land</v>
          </cell>
          <cell r="R169">
            <v>12.75</v>
          </cell>
        </row>
        <row r="170">
          <cell r="H170">
            <v>44.79</v>
          </cell>
          <cell r="J170">
            <v>68.599999999999994</v>
          </cell>
          <cell r="K170">
            <v>283.83999999999997</v>
          </cell>
          <cell r="L170" t="str">
            <v>Air</v>
          </cell>
          <cell r="R170">
            <v>35</v>
          </cell>
        </row>
        <row r="171">
          <cell r="H171">
            <v>18.86</v>
          </cell>
          <cell r="J171">
            <v>2.61</v>
          </cell>
          <cell r="K171">
            <v>7.47</v>
          </cell>
          <cell r="L171" t="str">
            <v>Sea</v>
          </cell>
          <cell r="R171">
            <v>15.5</v>
          </cell>
        </row>
        <row r="172">
          <cell r="H172">
            <v>45.86</v>
          </cell>
          <cell r="J172">
            <v>14.4</v>
          </cell>
          <cell r="K172">
            <v>164.2</v>
          </cell>
          <cell r="L172" t="str">
            <v>Air</v>
          </cell>
          <cell r="R172">
            <v>28</v>
          </cell>
        </row>
        <row r="173">
          <cell r="H173">
            <v>24.64</v>
          </cell>
          <cell r="J173">
            <v>0.65</v>
          </cell>
          <cell r="K173">
            <v>5.99</v>
          </cell>
          <cell r="L173" t="str">
            <v>Air</v>
          </cell>
          <cell r="R173">
            <v>18</v>
          </cell>
        </row>
        <row r="174">
          <cell r="H174">
            <v>22.8</v>
          </cell>
          <cell r="J174">
            <v>51.06</v>
          </cell>
          <cell r="K174">
            <v>306.64</v>
          </cell>
          <cell r="L174" t="str">
            <v>Land</v>
          </cell>
          <cell r="R174">
            <v>15.5</v>
          </cell>
        </row>
        <row r="175">
          <cell r="H175">
            <v>44.5</v>
          </cell>
          <cell r="J175">
            <v>43.92</v>
          </cell>
          <cell r="K175">
            <v>260.08</v>
          </cell>
          <cell r="L175" t="str">
            <v>Air</v>
          </cell>
          <cell r="R175">
            <v>35</v>
          </cell>
        </row>
        <row r="176">
          <cell r="H176">
            <v>55.74</v>
          </cell>
          <cell r="J176">
            <v>63.85</v>
          </cell>
          <cell r="K176">
            <v>827.97</v>
          </cell>
          <cell r="L176" t="str">
            <v>Sea</v>
          </cell>
          <cell r="R176">
            <v>35</v>
          </cell>
        </row>
        <row r="177">
          <cell r="H177">
            <v>25.78</v>
          </cell>
          <cell r="J177">
            <v>28.4</v>
          </cell>
          <cell r="K177">
            <v>166.92</v>
          </cell>
          <cell r="L177" t="str">
            <v>Air</v>
          </cell>
          <cell r="R177">
            <v>15.5</v>
          </cell>
        </row>
        <row r="178">
          <cell r="H178">
            <v>30.43</v>
          </cell>
          <cell r="J178">
            <v>35.340000000000003</v>
          </cell>
          <cell r="K178">
            <v>499.15</v>
          </cell>
          <cell r="L178" t="str">
            <v>Sea</v>
          </cell>
          <cell r="R178">
            <v>18</v>
          </cell>
        </row>
        <row r="179">
          <cell r="H179">
            <v>18.71</v>
          </cell>
          <cell r="J179">
            <v>22.03</v>
          </cell>
          <cell r="K179">
            <v>32.54</v>
          </cell>
          <cell r="L179" t="str">
            <v>Air</v>
          </cell>
          <cell r="R179">
            <v>15.5</v>
          </cell>
        </row>
        <row r="180">
          <cell r="H180">
            <v>23.87</v>
          </cell>
          <cell r="J180">
            <v>33.51</v>
          </cell>
          <cell r="K180">
            <v>334.77</v>
          </cell>
          <cell r="L180" t="str">
            <v>Land</v>
          </cell>
          <cell r="R180">
            <v>15.5</v>
          </cell>
        </row>
        <row r="181">
          <cell r="H181">
            <v>42.91</v>
          </cell>
          <cell r="J181">
            <v>15.18</v>
          </cell>
          <cell r="K181">
            <v>115.74</v>
          </cell>
          <cell r="L181" t="str">
            <v>Air</v>
          </cell>
          <cell r="R181">
            <v>32</v>
          </cell>
        </row>
        <row r="182">
          <cell r="H182">
            <v>50.49</v>
          </cell>
          <cell r="J182">
            <v>32.340000000000003</v>
          </cell>
          <cell r="K182">
            <v>187.95</v>
          </cell>
          <cell r="L182" t="str">
            <v>Air</v>
          </cell>
          <cell r="R182">
            <v>40</v>
          </cell>
        </row>
        <row r="183">
          <cell r="H183">
            <v>43.18</v>
          </cell>
          <cell r="J183">
            <v>128.4</v>
          </cell>
          <cell r="K183">
            <v>206.98</v>
          </cell>
          <cell r="L183" t="str">
            <v>Sea</v>
          </cell>
          <cell r="R183">
            <v>35</v>
          </cell>
        </row>
        <row r="184">
          <cell r="H184">
            <v>19.8</v>
          </cell>
          <cell r="J184">
            <v>54.68</v>
          </cell>
          <cell r="K184">
            <v>206.17</v>
          </cell>
          <cell r="L184" t="str">
            <v>Land</v>
          </cell>
          <cell r="R184">
            <v>12.75</v>
          </cell>
        </row>
        <row r="185">
          <cell r="H185">
            <v>18.059999999999999</v>
          </cell>
          <cell r="J185">
            <v>4.66</v>
          </cell>
          <cell r="K185">
            <v>16.579999999999998</v>
          </cell>
          <cell r="L185" t="str">
            <v>Land</v>
          </cell>
          <cell r="R185">
            <v>12.75</v>
          </cell>
        </row>
        <row r="186">
          <cell r="H186">
            <v>55.59</v>
          </cell>
          <cell r="J186">
            <v>74.569999999999993</v>
          </cell>
          <cell r="K186">
            <v>749.03</v>
          </cell>
          <cell r="L186" t="str">
            <v>Land</v>
          </cell>
          <cell r="R186">
            <v>35</v>
          </cell>
        </row>
        <row r="187">
          <cell r="H187">
            <v>31.58</v>
          </cell>
          <cell r="J187">
            <v>3.73</v>
          </cell>
          <cell r="K187">
            <v>29.17</v>
          </cell>
          <cell r="L187" t="str">
            <v>Land</v>
          </cell>
          <cell r="R187">
            <v>25</v>
          </cell>
        </row>
        <row r="188">
          <cell r="H188">
            <v>26.67</v>
          </cell>
          <cell r="J188">
            <v>80.150000000000006</v>
          </cell>
          <cell r="K188">
            <v>353.35</v>
          </cell>
          <cell r="L188" t="str">
            <v>Air</v>
          </cell>
          <cell r="R188">
            <v>18</v>
          </cell>
        </row>
        <row r="189">
          <cell r="H189">
            <v>20.68</v>
          </cell>
          <cell r="J189">
            <v>18.47</v>
          </cell>
          <cell r="K189">
            <v>69.59</v>
          </cell>
          <cell r="L189" t="str">
            <v>Air</v>
          </cell>
          <cell r="R189">
            <v>15.5</v>
          </cell>
        </row>
        <row r="190">
          <cell r="H190">
            <v>55.19</v>
          </cell>
          <cell r="J190">
            <v>103.06</v>
          </cell>
          <cell r="K190">
            <v>482.45</v>
          </cell>
          <cell r="L190" t="str">
            <v>Land</v>
          </cell>
          <cell r="R190">
            <v>35</v>
          </cell>
        </row>
        <row r="191">
          <cell r="H191">
            <v>61.62</v>
          </cell>
          <cell r="J191">
            <v>80.13</v>
          </cell>
          <cell r="K191">
            <v>824.95</v>
          </cell>
          <cell r="L191" t="str">
            <v>Sea</v>
          </cell>
          <cell r="R191">
            <v>35</v>
          </cell>
        </row>
        <row r="192">
          <cell r="H192">
            <v>40.03</v>
          </cell>
          <cell r="J192">
            <v>25.8</v>
          </cell>
          <cell r="K192">
            <v>149.5</v>
          </cell>
          <cell r="L192" t="str">
            <v>Air</v>
          </cell>
          <cell r="R192">
            <v>22.5</v>
          </cell>
        </row>
        <row r="193">
          <cell r="H193">
            <v>31.3</v>
          </cell>
          <cell r="J193">
            <v>47.88</v>
          </cell>
          <cell r="K193">
            <v>212.02</v>
          </cell>
          <cell r="L193" t="str">
            <v>Sea</v>
          </cell>
          <cell r="R193">
            <v>20</v>
          </cell>
        </row>
        <row r="194">
          <cell r="H194">
            <v>50.39</v>
          </cell>
          <cell r="J194">
            <v>60.06</v>
          </cell>
          <cell r="K194">
            <v>509.37</v>
          </cell>
          <cell r="L194" t="str">
            <v>Sea</v>
          </cell>
          <cell r="R194">
            <v>35</v>
          </cell>
        </row>
        <row r="195">
          <cell r="H195">
            <v>16.97</v>
          </cell>
          <cell r="J195">
            <v>40</v>
          </cell>
          <cell r="K195">
            <v>120.36</v>
          </cell>
          <cell r="L195" t="str">
            <v>Air</v>
          </cell>
          <cell r="R195">
            <v>12.75</v>
          </cell>
        </row>
        <row r="196">
          <cell r="H196">
            <v>35.92</v>
          </cell>
          <cell r="J196">
            <v>2.34</v>
          </cell>
          <cell r="K196">
            <v>29.5</v>
          </cell>
          <cell r="L196" t="str">
            <v>Air</v>
          </cell>
          <cell r="R196">
            <v>20</v>
          </cell>
        </row>
        <row r="197">
          <cell r="H197">
            <v>31.87</v>
          </cell>
          <cell r="J197">
            <v>89.85</v>
          </cell>
          <cell r="K197">
            <v>479.91</v>
          </cell>
          <cell r="L197" t="str">
            <v>Air</v>
          </cell>
          <cell r="R197">
            <v>20</v>
          </cell>
        </row>
        <row r="198">
          <cell r="H198">
            <v>70</v>
          </cell>
          <cell r="J198">
            <v>160.11000000000001</v>
          </cell>
          <cell r="K198">
            <v>1219.8900000000001</v>
          </cell>
          <cell r="L198" t="str">
            <v>Sea</v>
          </cell>
          <cell r="R198">
            <v>40</v>
          </cell>
        </row>
        <row r="199">
          <cell r="H199">
            <v>57.7</v>
          </cell>
          <cell r="J199">
            <v>102.52</v>
          </cell>
          <cell r="K199">
            <v>918.98</v>
          </cell>
          <cell r="L199" t="str">
            <v>Sea</v>
          </cell>
          <cell r="R199">
            <v>35</v>
          </cell>
        </row>
        <row r="200">
          <cell r="H200">
            <v>20.23</v>
          </cell>
          <cell r="J200">
            <v>17.29</v>
          </cell>
          <cell r="K200">
            <v>154.75</v>
          </cell>
          <cell r="L200" t="str">
            <v>Air</v>
          </cell>
          <cell r="R200">
            <v>12.75</v>
          </cell>
        </row>
        <row r="201">
          <cell r="H201">
            <v>22.96</v>
          </cell>
          <cell r="J201">
            <v>18.260000000000002</v>
          </cell>
          <cell r="K201">
            <v>31.34</v>
          </cell>
          <cell r="L201" t="str">
            <v>Land</v>
          </cell>
          <cell r="R201">
            <v>18</v>
          </cell>
        </row>
        <row r="202">
          <cell r="H202">
            <v>54.84</v>
          </cell>
          <cell r="J202">
            <v>89.26</v>
          </cell>
          <cell r="K202">
            <v>704.34</v>
          </cell>
          <cell r="L202" t="str">
            <v>Sea</v>
          </cell>
          <cell r="R202">
            <v>35</v>
          </cell>
        </row>
        <row r="203">
          <cell r="H203">
            <v>36.43</v>
          </cell>
          <cell r="J203">
            <v>6.3</v>
          </cell>
          <cell r="K203">
            <v>73.709999999999994</v>
          </cell>
          <cell r="L203" t="str">
            <v>Land</v>
          </cell>
          <cell r="R203">
            <v>25</v>
          </cell>
        </row>
        <row r="204">
          <cell r="H204">
            <v>19.48</v>
          </cell>
          <cell r="J204">
            <v>40.090000000000003</v>
          </cell>
          <cell r="K204">
            <v>222.38</v>
          </cell>
          <cell r="L204" t="str">
            <v>Air</v>
          </cell>
          <cell r="R204">
            <v>12.75</v>
          </cell>
        </row>
        <row r="205">
          <cell r="H205">
            <v>38.83</v>
          </cell>
          <cell r="J205">
            <v>93.92</v>
          </cell>
          <cell r="K205">
            <v>477.63</v>
          </cell>
          <cell r="L205" t="str">
            <v>Air</v>
          </cell>
          <cell r="R205">
            <v>22.5</v>
          </cell>
        </row>
        <row r="206">
          <cell r="H206">
            <v>32.76</v>
          </cell>
          <cell r="J206">
            <v>35.81</v>
          </cell>
          <cell r="K206">
            <v>461.83</v>
          </cell>
          <cell r="L206" t="str">
            <v>Sea</v>
          </cell>
          <cell r="R206">
            <v>20</v>
          </cell>
        </row>
        <row r="207">
          <cell r="H207">
            <v>39.869999999999997</v>
          </cell>
          <cell r="J207">
            <v>15.95</v>
          </cell>
          <cell r="K207">
            <v>47.01</v>
          </cell>
          <cell r="L207" t="str">
            <v>Air</v>
          </cell>
          <cell r="R207">
            <v>32</v>
          </cell>
        </row>
        <row r="208">
          <cell r="H208">
            <v>63.1</v>
          </cell>
          <cell r="J208">
            <v>26.93</v>
          </cell>
          <cell r="K208">
            <v>204.07</v>
          </cell>
          <cell r="L208" t="str">
            <v>Sea</v>
          </cell>
          <cell r="R208">
            <v>40</v>
          </cell>
        </row>
        <row r="209">
          <cell r="H209">
            <v>55.1</v>
          </cell>
          <cell r="J209">
            <v>9.17</v>
          </cell>
          <cell r="K209">
            <v>60.13</v>
          </cell>
          <cell r="L209" t="str">
            <v>Land</v>
          </cell>
          <cell r="R209">
            <v>32</v>
          </cell>
        </row>
        <row r="210">
          <cell r="H210">
            <v>19.809999999999999</v>
          </cell>
          <cell r="J210">
            <v>10.3</v>
          </cell>
          <cell r="K210">
            <v>101.76</v>
          </cell>
          <cell r="L210" t="str">
            <v>Air</v>
          </cell>
          <cell r="R210">
            <v>15.5</v>
          </cell>
        </row>
        <row r="211">
          <cell r="H211">
            <v>53.34</v>
          </cell>
          <cell r="J211">
            <v>30.6</v>
          </cell>
          <cell r="K211">
            <v>196.18</v>
          </cell>
          <cell r="L211" t="str">
            <v>Land</v>
          </cell>
          <cell r="R211">
            <v>40</v>
          </cell>
        </row>
        <row r="212">
          <cell r="H212">
            <v>28.23</v>
          </cell>
          <cell r="J212">
            <v>31.88</v>
          </cell>
          <cell r="K212">
            <v>108.03</v>
          </cell>
          <cell r="L212" t="str">
            <v>Sea</v>
          </cell>
          <cell r="R212">
            <v>20</v>
          </cell>
        </row>
        <row r="213">
          <cell r="H213">
            <v>25.26</v>
          </cell>
          <cell r="J213">
            <v>77.05</v>
          </cell>
          <cell r="K213">
            <v>227.87</v>
          </cell>
          <cell r="L213" t="str">
            <v>Land</v>
          </cell>
          <cell r="R213">
            <v>18</v>
          </cell>
        </row>
        <row r="214">
          <cell r="H214">
            <v>27.27</v>
          </cell>
          <cell r="J214">
            <v>1.45</v>
          </cell>
          <cell r="K214">
            <v>17.09</v>
          </cell>
          <cell r="L214" t="str">
            <v>Land</v>
          </cell>
          <cell r="R214">
            <v>18</v>
          </cell>
        </row>
        <row r="215">
          <cell r="H215">
            <v>44.95</v>
          </cell>
          <cell r="J215">
            <v>148.41</v>
          </cell>
          <cell r="K215">
            <v>665.19</v>
          </cell>
          <cell r="L215" t="str">
            <v>Land</v>
          </cell>
          <cell r="R215">
            <v>28</v>
          </cell>
        </row>
        <row r="216">
          <cell r="H216">
            <v>28.6</v>
          </cell>
          <cell r="J216">
            <v>13.36</v>
          </cell>
          <cell r="K216">
            <v>184.44</v>
          </cell>
          <cell r="L216" t="str">
            <v>Land</v>
          </cell>
          <cell r="R216">
            <v>20</v>
          </cell>
        </row>
        <row r="217">
          <cell r="H217">
            <v>26.1</v>
          </cell>
          <cell r="J217">
            <v>19.52</v>
          </cell>
          <cell r="K217">
            <v>171.28</v>
          </cell>
          <cell r="L217" t="str">
            <v>Air</v>
          </cell>
          <cell r="R217">
            <v>15.5</v>
          </cell>
        </row>
        <row r="218">
          <cell r="H218">
            <v>37.450000000000003</v>
          </cell>
          <cell r="J218">
            <v>62.4</v>
          </cell>
          <cell r="K218">
            <v>136.05000000000001</v>
          </cell>
          <cell r="L218" t="str">
            <v>Land</v>
          </cell>
          <cell r="R218">
            <v>28</v>
          </cell>
        </row>
        <row r="219">
          <cell r="H219">
            <v>28.54</v>
          </cell>
          <cell r="J219">
            <v>50.38</v>
          </cell>
          <cell r="K219">
            <v>163.12</v>
          </cell>
          <cell r="L219" t="str">
            <v>Land</v>
          </cell>
          <cell r="R219">
            <v>20</v>
          </cell>
        </row>
        <row r="220">
          <cell r="H220">
            <v>38.07</v>
          </cell>
          <cell r="J220">
            <v>29.02</v>
          </cell>
          <cell r="K220">
            <v>114.75</v>
          </cell>
          <cell r="L220" t="str">
            <v>Sea</v>
          </cell>
          <cell r="R220">
            <v>25</v>
          </cell>
        </row>
        <row r="221">
          <cell r="H221">
            <v>19.32</v>
          </cell>
          <cell r="J221">
            <v>21.34</v>
          </cell>
          <cell r="K221">
            <v>47.42</v>
          </cell>
          <cell r="L221" t="str">
            <v>Sea</v>
          </cell>
          <cell r="R221">
            <v>15.5</v>
          </cell>
        </row>
        <row r="222">
          <cell r="H222">
            <v>50.02</v>
          </cell>
          <cell r="J222">
            <v>89.65</v>
          </cell>
          <cell r="K222">
            <v>835.19</v>
          </cell>
          <cell r="L222" t="str">
            <v>Sea</v>
          </cell>
          <cell r="R222">
            <v>28</v>
          </cell>
        </row>
        <row r="223">
          <cell r="H223">
            <v>49.39</v>
          </cell>
          <cell r="J223">
            <v>38.32</v>
          </cell>
          <cell r="K223">
            <v>239.75</v>
          </cell>
          <cell r="L223" t="str">
            <v>Sea</v>
          </cell>
          <cell r="R223">
            <v>28</v>
          </cell>
        </row>
        <row r="224">
          <cell r="H224">
            <v>22.86</v>
          </cell>
          <cell r="J224">
            <v>27.16</v>
          </cell>
          <cell r="K224">
            <v>45.74</v>
          </cell>
          <cell r="L224" t="str">
            <v>Air</v>
          </cell>
          <cell r="R224">
            <v>18</v>
          </cell>
        </row>
        <row r="225">
          <cell r="H225">
            <v>37.270000000000003</v>
          </cell>
          <cell r="J225">
            <v>92.92</v>
          </cell>
          <cell r="K225">
            <v>361.07</v>
          </cell>
          <cell r="L225" t="str">
            <v>Land</v>
          </cell>
          <cell r="R225">
            <v>25</v>
          </cell>
        </row>
        <row r="226">
          <cell r="H226">
            <v>54.05</v>
          </cell>
          <cell r="J226">
            <v>66.8</v>
          </cell>
          <cell r="K226">
            <v>866.65</v>
          </cell>
          <cell r="L226" t="str">
            <v>Air</v>
          </cell>
          <cell r="R226">
            <v>35</v>
          </cell>
        </row>
        <row r="227">
          <cell r="H227">
            <v>20.059999999999999</v>
          </cell>
          <cell r="J227">
            <v>50.02</v>
          </cell>
          <cell r="K227">
            <v>191.21</v>
          </cell>
          <cell r="L227" t="str">
            <v>Air</v>
          </cell>
          <cell r="R227">
            <v>12.75</v>
          </cell>
        </row>
        <row r="228">
          <cell r="H228">
            <v>35.68</v>
          </cell>
          <cell r="J228">
            <v>124.47</v>
          </cell>
          <cell r="K228">
            <v>251.85</v>
          </cell>
          <cell r="L228" t="str">
            <v>Air</v>
          </cell>
          <cell r="R228">
            <v>28</v>
          </cell>
        </row>
        <row r="229">
          <cell r="H229">
            <v>30.89</v>
          </cell>
          <cell r="J229">
            <v>18.739999999999998</v>
          </cell>
          <cell r="K229">
            <v>116.73</v>
          </cell>
          <cell r="L229" t="str">
            <v>Sea</v>
          </cell>
          <cell r="R229">
            <v>25</v>
          </cell>
        </row>
        <row r="230">
          <cell r="H230">
            <v>59.6</v>
          </cell>
          <cell r="J230">
            <v>19.11</v>
          </cell>
          <cell r="K230">
            <v>325.29000000000002</v>
          </cell>
          <cell r="L230" t="str">
            <v>Sea</v>
          </cell>
          <cell r="R230">
            <v>35</v>
          </cell>
        </row>
        <row r="231">
          <cell r="H231">
            <v>28.36</v>
          </cell>
          <cell r="J231">
            <v>4.46</v>
          </cell>
          <cell r="K231">
            <v>13.12</v>
          </cell>
          <cell r="L231" t="str">
            <v>Land</v>
          </cell>
          <cell r="R231">
            <v>22.5</v>
          </cell>
        </row>
        <row r="232">
          <cell r="H232">
            <v>22.13</v>
          </cell>
          <cell r="J232">
            <v>17.2</v>
          </cell>
          <cell r="K232">
            <v>245.44</v>
          </cell>
          <cell r="L232" t="str">
            <v>Sea</v>
          </cell>
          <cell r="R232">
            <v>12.75</v>
          </cell>
        </row>
        <row r="233">
          <cell r="H233">
            <v>27.62</v>
          </cell>
          <cell r="J233">
            <v>29.88</v>
          </cell>
          <cell r="K233">
            <v>239.48</v>
          </cell>
          <cell r="L233" t="str">
            <v>Land</v>
          </cell>
          <cell r="R233">
            <v>18</v>
          </cell>
        </row>
        <row r="234">
          <cell r="H234">
            <v>34.229999999999997</v>
          </cell>
          <cell r="J234">
            <v>78.03</v>
          </cell>
          <cell r="K234">
            <v>291.17</v>
          </cell>
          <cell r="L234" t="str">
            <v>Land</v>
          </cell>
          <cell r="R234">
            <v>25</v>
          </cell>
        </row>
        <row r="235">
          <cell r="H235">
            <v>52.2</v>
          </cell>
          <cell r="J235">
            <v>31.5</v>
          </cell>
          <cell r="K235">
            <v>78.3</v>
          </cell>
          <cell r="L235" t="str">
            <v>Air</v>
          </cell>
          <cell r="R235">
            <v>40</v>
          </cell>
        </row>
        <row r="236">
          <cell r="H236">
            <v>43.54</v>
          </cell>
          <cell r="J236">
            <v>99.86</v>
          </cell>
          <cell r="K236">
            <v>474.88</v>
          </cell>
          <cell r="L236" t="str">
            <v>Land</v>
          </cell>
          <cell r="R236">
            <v>25</v>
          </cell>
        </row>
        <row r="237">
          <cell r="H237">
            <v>18.63</v>
          </cell>
          <cell r="J237">
            <v>36.65</v>
          </cell>
          <cell r="K237">
            <v>60.38</v>
          </cell>
          <cell r="L237" t="str">
            <v>Air</v>
          </cell>
          <cell r="R237">
            <v>15.5</v>
          </cell>
        </row>
        <row r="238">
          <cell r="H238">
            <v>27.28</v>
          </cell>
          <cell r="J238">
            <v>38.770000000000003</v>
          </cell>
          <cell r="K238">
            <v>237.87</v>
          </cell>
          <cell r="L238" t="str">
            <v>Land</v>
          </cell>
          <cell r="R238">
            <v>20</v>
          </cell>
        </row>
        <row r="239">
          <cell r="H239">
            <v>30.97</v>
          </cell>
          <cell r="J239">
            <v>82.09</v>
          </cell>
          <cell r="K239">
            <v>566.41</v>
          </cell>
          <cell r="L239" t="str">
            <v>Sea</v>
          </cell>
          <cell r="R239">
            <v>18</v>
          </cell>
        </row>
        <row r="240">
          <cell r="H240">
            <v>60.91</v>
          </cell>
          <cell r="J240">
            <v>54.09</v>
          </cell>
          <cell r="K240">
            <v>301.38</v>
          </cell>
          <cell r="L240" t="str">
            <v>Air</v>
          </cell>
          <cell r="R240">
            <v>40</v>
          </cell>
        </row>
        <row r="241">
          <cell r="H241">
            <v>31.15</v>
          </cell>
          <cell r="J241">
            <v>47.45</v>
          </cell>
          <cell r="K241">
            <v>231.3</v>
          </cell>
          <cell r="L241" t="str">
            <v>Land</v>
          </cell>
          <cell r="R241">
            <v>20</v>
          </cell>
        </row>
        <row r="242">
          <cell r="H242">
            <v>31.12</v>
          </cell>
          <cell r="J242">
            <v>50.88</v>
          </cell>
          <cell r="K242">
            <v>342.72</v>
          </cell>
          <cell r="L242" t="str">
            <v>Sea</v>
          </cell>
          <cell r="R242">
            <v>18</v>
          </cell>
        </row>
        <row r="243">
          <cell r="H243">
            <v>19.64</v>
          </cell>
          <cell r="J243">
            <v>22.23</v>
          </cell>
          <cell r="K243">
            <v>48.15</v>
          </cell>
          <cell r="L243" t="str">
            <v>Air</v>
          </cell>
          <cell r="R243">
            <v>15.5</v>
          </cell>
        </row>
        <row r="244">
          <cell r="H244">
            <v>57.35</v>
          </cell>
          <cell r="J244">
            <v>147.38999999999999</v>
          </cell>
          <cell r="K244">
            <v>790.56</v>
          </cell>
          <cell r="L244" t="str">
            <v>Land</v>
          </cell>
          <cell r="R244">
            <v>32</v>
          </cell>
        </row>
        <row r="245">
          <cell r="H245">
            <v>42.6</v>
          </cell>
          <cell r="J245">
            <v>104.27</v>
          </cell>
          <cell r="K245">
            <v>237.73</v>
          </cell>
          <cell r="L245" t="str">
            <v>Sea</v>
          </cell>
          <cell r="R245">
            <v>35</v>
          </cell>
        </row>
        <row r="246">
          <cell r="H246">
            <v>31.82</v>
          </cell>
          <cell r="J246">
            <v>37.33</v>
          </cell>
          <cell r="K246">
            <v>258.17</v>
          </cell>
          <cell r="L246" t="str">
            <v>Land</v>
          </cell>
          <cell r="R246">
            <v>20</v>
          </cell>
        </row>
        <row r="247">
          <cell r="H247">
            <v>36.270000000000003</v>
          </cell>
          <cell r="J247">
            <v>22.76</v>
          </cell>
          <cell r="K247">
            <v>168.83</v>
          </cell>
          <cell r="L247" t="str">
            <v>Air</v>
          </cell>
          <cell r="R247">
            <v>25</v>
          </cell>
        </row>
        <row r="248">
          <cell r="H248">
            <v>27.01</v>
          </cell>
          <cell r="J248">
            <v>4.7300000000000004</v>
          </cell>
          <cell r="K248">
            <v>31.31</v>
          </cell>
          <cell r="L248" t="str">
            <v>Air</v>
          </cell>
          <cell r="R248">
            <v>18</v>
          </cell>
        </row>
        <row r="249">
          <cell r="H249">
            <v>57.6</v>
          </cell>
          <cell r="J249">
            <v>35.32</v>
          </cell>
          <cell r="K249">
            <v>461.88</v>
          </cell>
          <cell r="L249" t="str">
            <v>Air</v>
          </cell>
          <cell r="R249">
            <v>35</v>
          </cell>
        </row>
        <row r="250">
          <cell r="H250">
            <v>43.34</v>
          </cell>
          <cell r="J250">
            <v>41.18</v>
          </cell>
          <cell r="K250">
            <v>398.98</v>
          </cell>
          <cell r="L250" t="str">
            <v>Land</v>
          </cell>
          <cell r="R250">
            <v>25</v>
          </cell>
        </row>
        <row r="251">
          <cell r="H251">
            <v>71.8</v>
          </cell>
          <cell r="J251">
            <v>60.3</v>
          </cell>
          <cell r="K251">
            <v>1116.3</v>
          </cell>
          <cell r="L251" t="str">
            <v>Sea</v>
          </cell>
          <cell r="R251">
            <v>40</v>
          </cell>
        </row>
        <row r="252">
          <cell r="H252">
            <v>29.11</v>
          </cell>
          <cell r="J252">
            <v>53.99</v>
          </cell>
          <cell r="K252">
            <v>164.65</v>
          </cell>
          <cell r="L252" t="str">
            <v>Air</v>
          </cell>
          <cell r="R252">
            <v>20</v>
          </cell>
        </row>
        <row r="253">
          <cell r="H253">
            <v>27.91</v>
          </cell>
          <cell r="J253">
            <v>10.01</v>
          </cell>
          <cell r="K253">
            <v>22.45</v>
          </cell>
          <cell r="L253" t="str">
            <v>Land</v>
          </cell>
          <cell r="R253">
            <v>22.5</v>
          </cell>
        </row>
        <row r="254">
          <cell r="H254">
            <v>27.29</v>
          </cell>
          <cell r="J254">
            <v>25.78</v>
          </cell>
          <cell r="K254">
            <v>108.34</v>
          </cell>
          <cell r="L254" t="str">
            <v>Air</v>
          </cell>
          <cell r="R254">
            <v>22.5</v>
          </cell>
        </row>
        <row r="255">
          <cell r="H255">
            <v>35.880000000000003</v>
          </cell>
          <cell r="J255">
            <v>70.3</v>
          </cell>
          <cell r="K255">
            <v>558.55999999999995</v>
          </cell>
          <cell r="L255" t="str">
            <v>Land</v>
          </cell>
          <cell r="R255">
            <v>22.5</v>
          </cell>
        </row>
        <row r="256">
          <cell r="H256">
            <v>27.47</v>
          </cell>
          <cell r="J256">
            <v>31.29</v>
          </cell>
          <cell r="K256">
            <v>196.14</v>
          </cell>
          <cell r="L256" t="str">
            <v>Sea</v>
          </cell>
          <cell r="R256">
            <v>15.5</v>
          </cell>
        </row>
        <row r="257">
          <cell r="H257">
            <v>29.26</v>
          </cell>
          <cell r="J257">
            <v>9.4700000000000006</v>
          </cell>
          <cell r="K257">
            <v>110.91</v>
          </cell>
          <cell r="L257" t="str">
            <v>Sea</v>
          </cell>
          <cell r="R257">
            <v>20</v>
          </cell>
        </row>
        <row r="258">
          <cell r="H258">
            <v>26.17</v>
          </cell>
          <cell r="J258">
            <v>6.33</v>
          </cell>
          <cell r="K258">
            <v>26.35</v>
          </cell>
          <cell r="L258" t="str">
            <v>Land</v>
          </cell>
          <cell r="R258">
            <v>18</v>
          </cell>
        </row>
        <row r="259">
          <cell r="H259">
            <v>37.32</v>
          </cell>
          <cell r="J259">
            <v>61.01</v>
          </cell>
          <cell r="K259">
            <v>576.25</v>
          </cell>
          <cell r="L259" t="str">
            <v>Land</v>
          </cell>
          <cell r="R259">
            <v>22.5</v>
          </cell>
        </row>
        <row r="260">
          <cell r="H260">
            <v>23.05</v>
          </cell>
          <cell r="J260">
            <v>20.440000000000001</v>
          </cell>
          <cell r="K260">
            <v>115.91</v>
          </cell>
          <cell r="L260" t="str">
            <v>Air</v>
          </cell>
          <cell r="R260">
            <v>18</v>
          </cell>
        </row>
        <row r="261">
          <cell r="H261">
            <v>19.02</v>
          </cell>
          <cell r="J261">
            <v>14.63</v>
          </cell>
          <cell r="K261">
            <v>223.63</v>
          </cell>
          <cell r="L261" t="str">
            <v>Sea</v>
          </cell>
          <cell r="R261">
            <v>12.75</v>
          </cell>
        </row>
        <row r="262">
          <cell r="H262">
            <v>70.94</v>
          </cell>
          <cell r="J262">
            <v>18.64</v>
          </cell>
          <cell r="K262">
            <v>290.76</v>
          </cell>
          <cell r="L262" t="str">
            <v>Sea</v>
          </cell>
          <cell r="R262">
            <v>40</v>
          </cell>
        </row>
        <row r="263">
          <cell r="H263">
            <v>38.28</v>
          </cell>
          <cell r="J263">
            <v>38.43</v>
          </cell>
          <cell r="K263">
            <v>187.33</v>
          </cell>
          <cell r="L263" t="str">
            <v>Sea</v>
          </cell>
          <cell r="R263">
            <v>25</v>
          </cell>
        </row>
        <row r="264">
          <cell r="H264">
            <v>38.799999999999997</v>
          </cell>
          <cell r="J264">
            <v>16.39</v>
          </cell>
          <cell r="K264">
            <v>51.61</v>
          </cell>
          <cell r="L264" t="str">
            <v>Air</v>
          </cell>
          <cell r="R264">
            <v>32</v>
          </cell>
        </row>
        <row r="265">
          <cell r="H265">
            <v>33.840000000000003</v>
          </cell>
          <cell r="J265">
            <v>2.3199999999999998</v>
          </cell>
          <cell r="K265">
            <v>24.2</v>
          </cell>
          <cell r="L265" t="str">
            <v>Air</v>
          </cell>
          <cell r="R265">
            <v>25</v>
          </cell>
        </row>
        <row r="266">
          <cell r="H266">
            <v>21.12</v>
          </cell>
          <cell r="J266">
            <v>22.08</v>
          </cell>
          <cell r="K266">
            <v>90.32</v>
          </cell>
          <cell r="L266" t="str">
            <v>Sea</v>
          </cell>
          <cell r="R266">
            <v>15.5</v>
          </cell>
        </row>
        <row r="267">
          <cell r="H267">
            <v>58.15</v>
          </cell>
          <cell r="J267">
            <v>4.2</v>
          </cell>
          <cell r="K267">
            <v>18.95</v>
          </cell>
          <cell r="L267" t="str">
            <v>Sea</v>
          </cell>
          <cell r="R267">
            <v>35</v>
          </cell>
        </row>
        <row r="268">
          <cell r="H268">
            <v>45.96</v>
          </cell>
          <cell r="J268">
            <v>82.77</v>
          </cell>
          <cell r="K268">
            <v>363.95</v>
          </cell>
          <cell r="L268" t="str">
            <v>Land</v>
          </cell>
          <cell r="R268">
            <v>32</v>
          </cell>
        </row>
        <row r="269">
          <cell r="H269">
            <v>16.82</v>
          </cell>
          <cell r="J269">
            <v>32.9</v>
          </cell>
          <cell r="K269">
            <v>117.69</v>
          </cell>
          <cell r="L269" t="str">
            <v>Air</v>
          </cell>
          <cell r="R269">
            <v>12.75</v>
          </cell>
        </row>
        <row r="270">
          <cell r="H270">
            <v>54.62</v>
          </cell>
          <cell r="J270">
            <v>22.61</v>
          </cell>
          <cell r="K270">
            <v>384.55</v>
          </cell>
          <cell r="L270" t="str">
            <v>Air</v>
          </cell>
          <cell r="R270">
            <v>32</v>
          </cell>
        </row>
        <row r="271">
          <cell r="H271">
            <v>22.83</v>
          </cell>
          <cell r="J271">
            <v>32.31</v>
          </cell>
          <cell r="K271">
            <v>270.08999999999997</v>
          </cell>
          <cell r="L271" t="str">
            <v>Land</v>
          </cell>
          <cell r="R271">
            <v>12.75</v>
          </cell>
        </row>
        <row r="272">
          <cell r="H272">
            <v>47.02</v>
          </cell>
          <cell r="J272">
            <v>50.01</v>
          </cell>
          <cell r="K272">
            <v>535.77</v>
          </cell>
          <cell r="L272" t="str">
            <v>Air</v>
          </cell>
          <cell r="R272">
            <v>32</v>
          </cell>
        </row>
        <row r="273">
          <cell r="H273">
            <v>43.32</v>
          </cell>
          <cell r="J273">
            <v>71.3</v>
          </cell>
          <cell r="K273">
            <v>265.74</v>
          </cell>
          <cell r="L273" t="str">
            <v>Sea</v>
          </cell>
          <cell r="R273">
            <v>28</v>
          </cell>
        </row>
        <row r="274">
          <cell r="H274">
            <v>31.69</v>
          </cell>
          <cell r="J274">
            <v>12.52</v>
          </cell>
          <cell r="K274">
            <v>42.62</v>
          </cell>
          <cell r="L274" t="str">
            <v>Air</v>
          </cell>
          <cell r="R274">
            <v>22.5</v>
          </cell>
        </row>
        <row r="275">
          <cell r="H275">
            <v>53.28</v>
          </cell>
          <cell r="J275">
            <v>27.24</v>
          </cell>
          <cell r="K275">
            <v>320.08</v>
          </cell>
          <cell r="L275" t="str">
            <v>Air</v>
          </cell>
          <cell r="R275">
            <v>35</v>
          </cell>
        </row>
        <row r="276">
          <cell r="H276">
            <v>47.53</v>
          </cell>
          <cell r="J276">
            <v>128.91</v>
          </cell>
          <cell r="K276">
            <v>460</v>
          </cell>
          <cell r="L276" t="str">
            <v>Sea</v>
          </cell>
          <cell r="R276">
            <v>35</v>
          </cell>
        </row>
        <row r="277">
          <cell r="H277">
            <v>24.02</v>
          </cell>
          <cell r="J277">
            <v>9.8000000000000007</v>
          </cell>
          <cell r="K277">
            <v>38.44</v>
          </cell>
          <cell r="L277" t="str">
            <v>Land</v>
          </cell>
          <cell r="R277">
            <v>20</v>
          </cell>
        </row>
        <row r="278">
          <cell r="H278">
            <v>15.64</v>
          </cell>
          <cell r="J278">
            <v>24.69</v>
          </cell>
          <cell r="K278">
            <v>67.790000000000006</v>
          </cell>
          <cell r="L278" t="str">
            <v>Air</v>
          </cell>
          <cell r="R278">
            <v>12.75</v>
          </cell>
        </row>
        <row r="279">
          <cell r="H279">
            <v>42.54</v>
          </cell>
          <cell r="J279">
            <v>45.37</v>
          </cell>
          <cell r="K279">
            <v>186.51</v>
          </cell>
          <cell r="L279" t="str">
            <v>Land</v>
          </cell>
          <cell r="R279">
            <v>32</v>
          </cell>
        </row>
        <row r="280">
          <cell r="H280">
            <v>43.55</v>
          </cell>
          <cell r="J280">
            <v>67.78</v>
          </cell>
          <cell r="K280">
            <v>618.57000000000005</v>
          </cell>
          <cell r="L280" t="str">
            <v>Sea</v>
          </cell>
          <cell r="R280">
            <v>25</v>
          </cell>
        </row>
        <row r="281">
          <cell r="H281">
            <v>20.260000000000002</v>
          </cell>
          <cell r="J281">
            <v>22.43</v>
          </cell>
          <cell r="K281">
            <v>177.49</v>
          </cell>
          <cell r="L281" t="str">
            <v>Air</v>
          </cell>
          <cell r="R281">
            <v>15.5</v>
          </cell>
        </row>
        <row r="282">
          <cell r="H282">
            <v>24.08</v>
          </cell>
          <cell r="J282">
            <v>35.07</v>
          </cell>
          <cell r="K282">
            <v>226.37</v>
          </cell>
          <cell r="L282" t="str">
            <v>Sea</v>
          </cell>
          <cell r="R282">
            <v>18</v>
          </cell>
        </row>
        <row r="283">
          <cell r="H283">
            <v>69.010000000000005</v>
          </cell>
          <cell r="J283">
            <v>32.67</v>
          </cell>
          <cell r="K283">
            <v>373.47</v>
          </cell>
          <cell r="L283" t="str">
            <v>Sea</v>
          </cell>
          <cell r="R283">
            <v>40</v>
          </cell>
        </row>
        <row r="284">
          <cell r="H284">
            <v>28.29</v>
          </cell>
          <cell r="J284">
            <v>63.15</v>
          </cell>
          <cell r="K284">
            <v>177.26</v>
          </cell>
          <cell r="L284" t="str">
            <v>Air</v>
          </cell>
          <cell r="R284">
            <v>20</v>
          </cell>
        </row>
        <row r="285">
          <cell r="H285">
            <v>26.51</v>
          </cell>
          <cell r="J285">
            <v>15.66</v>
          </cell>
          <cell r="K285">
            <v>303.63</v>
          </cell>
          <cell r="L285" t="str">
            <v>Sea</v>
          </cell>
          <cell r="R285">
            <v>15.5</v>
          </cell>
        </row>
        <row r="286">
          <cell r="H286">
            <v>58.07</v>
          </cell>
          <cell r="J286">
            <v>43.89</v>
          </cell>
          <cell r="K286">
            <v>209.88</v>
          </cell>
          <cell r="L286" t="str">
            <v>Land</v>
          </cell>
          <cell r="R286">
            <v>35</v>
          </cell>
        </row>
        <row r="287">
          <cell r="H287">
            <v>48.76</v>
          </cell>
          <cell r="J287">
            <v>10.45</v>
          </cell>
          <cell r="K287">
            <v>39.83</v>
          </cell>
          <cell r="L287" t="str">
            <v>Air</v>
          </cell>
          <cell r="R287">
            <v>32</v>
          </cell>
        </row>
        <row r="288">
          <cell r="H288">
            <v>30.46</v>
          </cell>
          <cell r="J288">
            <v>51.82</v>
          </cell>
          <cell r="K288">
            <v>460.72</v>
          </cell>
          <cell r="L288" t="str">
            <v>Sea</v>
          </cell>
          <cell r="R288">
            <v>20</v>
          </cell>
        </row>
        <row r="289">
          <cell r="H289">
            <v>35.21</v>
          </cell>
          <cell r="J289">
            <v>39.799999999999997</v>
          </cell>
          <cell r="K289">
            <v>140.44999999999999</v>
          </cell>
          <cell r="L289" t="str">
            <v>Air</v>
          </cell>
          <cell r="R289">
            <v>28</v>
          </cell>
        </row>
        <row r="290">
          <cell r="H290">
            <v>44.82</v>
          </cell>
          <cell r="J290">
            <v>65.75</v>
          </cell>
          <cell r="K290">
            <v>556.59</v>
          </cell>
          <cell r="L290" t="str">
            <v>Sea</v>
          </cell>
          <cell r="R290">
            <v>28</v>
          </cell>
        </row>
        <row r="291">
          <cell r="H291">
            <v>18.75</v>
          </cell>
          <cell r="J291">
            <v>11.67</v>
          </cell>
          <cell r="K291">
            <v>24.08</v>
          </cell>
          <cell r="L291" t="str">
            <v>Land</v>
          </cell>
          <cell r="R291">
            <v>15.5</v>
          </cell>
        </row>
        <row r="292">
          <cell r="H292">
            <v>31.66</v>
          </cell>
          <cell r="J292">
            <v>58.95</v>
          </cell>
          <cell r="K292">
            <v>372.47</v>
          </cell>
          <cell r="L292" t="str">
            <v>Air</v>
          </cell>
          <cell r="R292">
            <v>20</v>
          </cell>
        </row>
        <row r="293">
          <cell r="H293">
            <v>32.74</v>
          </cell>
          <cell r="J293">
            <v>14.68</v>
          </cell>
          <cell r="K293">
            <v>201.9</v>
          </cell>
          <cell r="L293" t="str">
            <v>Sea</v>
          </cell>
          <cell r="R293">
            <v>20</v>
          </cell>
        </row>
        <row r="294">
          <cell r="H294">
            <v>46.64</v>
          </cell>
          <cell r="J294">
            <v>25.19</v>
          </cell>
          <cell r="K294">
            <v>105.29</v>
          </cell>
          <cell r="L294" t="str">
            <v>Sea</v>
          </cell>
          <cell r="R294">
            <v>28</v>
          </cell>
        </row>
        <row r="295">
          <cell r="H295">
            <v>24.77</v>
          </cell>
          <cell r="J295">
            <v>15.6</v>
          </cell>
          <cell r="K295">
            <v>92.72</v>
          </cell>
          <cell r="L295" t="str">
            <v>Land</v>
          </cell>
          <cell r="R295">
            <v>18</v>
          </cell>
        </row>
        <row r="296">
          <cell r="H296">
            <v>56.5</v>
          </cell>
          <cell r="J296">
            <v>141.58000000000001</v>
          </cell>
          <cell r="K296">
            <v>501.92</v>
          </cell>
          <cell r="L296" t="str">
            <v>Air</v>
          </cell>
          <cell r="R296">
            <v>40</v>
          </cell>
        </row>
        <row r="297">
          <cell r="H297">
            <v>24.01</v>
          </cell>
          <cell r="J297">
            <v>1.58</v>
          </cell>
          <cell r="K297">
            <v>6.93</v>
          </cell>
          <cell r="L297" t="str">
            <v>Land</v>
          </cell>
          <cell r="R297">
            <v>15.5</v>
          </cell>
        </row>
        <row r="298">
          <cell r="H298">
            <v>35.99</v>
          </cell>
          <cell r="J298">
            <v>49.95</v>
          </cell>
          <cell r="K298">
            <v>444.6</v>
          </cell>
          <cell r="L298" t="str">
            <v>Land</v>
          </cell>
          <cell r="R298">
            <v>25</v>
          </cell>
        </row>
        <row r="299">
          <cell r="H299">
            <v>25.45</v>
          </cell>
          <cell r="J299">
            <v>7.22</v>
          </cell>
          <cell r="K299">
            <v>20.03</v>
          </cell>
          <cell r="L299" t="str">
            <v>Air</v>
          </cell>
          <cell r="R299">
            <v>20</v>
          </cell>
        </row>
        <row r="300">
          <cell r="H300">
            <v>19.53</v>
          </cell>
          <cell r="J300">
            <v>14.12</v>
          </cell>
          <cell r="K300">
            <v>82.6</v>
          </cell>
          <cell r="L300" t="str">
            <v>Land</v>
          </cell>
          <cell r="R300">
            <v>15.5</v>
          </cell>
        </row>
        <row r="301">
          <cell r="H301">
            <v>22.33</v>
          </cell>
          <cell r="J301">
            <v>44.24</v>
          </cell>
          <cell r="K301">
            <v>224</v>
          </cell>
          <cell r="L301" t="str">
            <v>Land</v>
          </cell>
          <cell r="R301">
            <v>12.75</v>
          </cell>
        </row>
        <row r="302">
          <cell r="H302">
            <v>39.31</v>
          </cell>
          <cell r="J302">
            <v>69.7</v>
          </cell>
          <cell r="K302">
            <v>288.49</v>
          </cell>
          <cell r="L302" t="str">
            <v>Sea</v>
          </cell>
          <cell r="R302">
            <v>32</v>
          </cell>
        </row>
        <row r="303">
          <cell r="H303">
            <v>22.95</v>
          </cell>
          <cell r="J303">
            <v>5.63</v>
          </cell>
          <cell r="K303">
            <v>39.07</v>
          </cell>
          <cell r="L303" t="str">
            <v>Sea</v>
          </cell>
          <cell r="R303">
            <v>15.5</v>
          </cell>
        </row>
        <row r="304">
          <cell r="H304">
            <v>27.72</v>
          </cell>
          <cell r="J304">
            <v>61.74</v>
          </cell>
          <cell r="K304">
            <v>208.46</v>
          </cell>
          <cell r="L304" t="str">
            <v>Land</v>
          </cell>
          <cell r="R304">
            <v>20</v>
          </cell>
        </row>
        <row r="305">
          <cell r="H305">
            <v>64.75</v>
          </cell>
          <cell r="J305">
            <v>68.05</v>
          </cell>
          <cell r="K305">
            <v>773.45</v>
          </cell>
          <cell r="L305" t="str">
            <v>Air</v>
          </cell>
          <cell r="R305">
            <v>40</v>
          </cell>
        </row>
        <row r="306">
          <cell r="H306">
            <v>26.02</v>
          </cell>
          <cell r="J306">
            <v>61.84</v>
          </cell>
          <cell r="K306">
            <v>233.14</v>
          </cell>
          <cell r="L306" t="str">
            <v>Air</v>
          </cell>
          <cell r="R306">
            <v>20</v>
          </cell>
        </row>
        <row r="307">
          <cell r="H307">
            <v>32.979999999999997</v>
          </cell>
          <cell r="J307">
            <v>1.89</v>
          </cell>
          <cell r="K307">
            <v>6.09</v>
          </cell>
          <cell r="L307" t="str">
            <v>Air</v>
          </cell>
          <cell r="R307">
            <v>25</v>
          </cell>
        </row>
        <row r="308">
          <cell r="H308">
            <v>20.09</v>
          </cell>
          <cell r="J308">
            <v>8.3800000000000008</v>
          </cell>
          <cell r="K308">
            <v>123.74</v>
          </cell>
          <cell r="L308" t="str">
            <v>Land</v>
          </cell>
          <cell r="R308">
            <v>12.75</v>
          </cell>
        </row>
        <row r="309">
          <cell r="H309">
            <v>49.59</v>
          </cell>
          <cell r="J309">
            <v>62.79</v>
          </cell>
          <cell r="K309">
            <v>506.22</v>
          </cell>
          <cell r="L309" t="str">
            <v>Sea</v>
          </cell>
          <cell r="R309">
            <v>35</v>
          </cell>
        </row>
        <row r="310">
          <cell r="H310">
            <v>41.99</v>
          </cell>
          <cell r="J310">
            <v>10.76</v>
          </cell>
          <cell r="K310">
            <v>49.18</v>
          </cell>
          <cell r="L310" t="str">
            <v>Land</v>
          </cell>
          <cell r="R310">
            <v>32</v>
          </cell>
        </row>
        <row r="311">
          <cell r="H311">
            <v>47.4</v>
          </cell>
          <cell r="J311">
            <v>23.31</v>
          </cell>
          <cell r="K311">
            <v>125.49</v>
          </cell>
          <cell r="L311" t="str">
            <v>Air</v>
          </cell>
          <cell r="R311">
            <v>35</v>
          </cell>
        </row>
        <row r="312">
          <cell r="H312">
            <v>34.28</v>
          </cell>
          <cell r="J312">
            <v>59.84</v>
          </cell>
          <cell r="K312">
            <v>654.16</v>
          </cell>
          <cell r="L312" t="str">
            <v>Land</v>
          </cell>
          <cell r="R312">
            <v>20</v>
          </cell>
        </row>
        <row r="313">
          <cell r="H313">
            <v>29.39</v>
          </cell>
          <cell r="J313">
            <v>101.51</v>
          </cell>
          <cell r="K313">
            <v>467.99</v>
          </cell>
          <cell r="L313" t="str">
            <v>Air</v>
          </cell>
          <cell r="R313">
            <v>18</v>
          </cell>
        </row>
        <row r="314">
          <cell r="H314">
            <v>30.34</v>
          </cell>
          <cell r="J314">
            <v>104.2</v>
          </cell>
          <cell r="K314">
            <v>463.44</v>
          </cell>
          <cell r="L314" t="str">
            <v>Land</v>
          </cell>
          <cell r="R314">
            <v>18</v>
          </cell>
        </row>
        <row r="315">
          <cell r="H315">
            <v>18.809999999999999</v>
          </cell>
          <cell r="J315">
            <v>40.25</v>
          </cell>
          <cell r="K315">
            <v>262.75</v>
          </cell>
          <cell r="L315" t="str">
            <v>Sea</v>
          </cell>
          <cell r="R315">
            <v>12.75</v>
          </cell>
        </row>
        <row r="316">
          <cell r="H316">
            <v>29.64</v>
          </cell>
          <cell r="J316">
            <v>4.59</v>
          </cell>
          <cell r="K316">
            <v>9.69</v>
          </cell>
          <cell r="L316" t="str">
            <v>Sea</v>
          </cell>
          <cell r="R316">
            <v>22.5</v>
          </cell>
        </row>
        <row r="317">
          <cell r="H317">
            <v>27.9</v>
          </cell>
          <cell r="J317">
            <v>66.31</v>
          </cell>
          <cell r="K317">
            <v>192.89</v>
          </cell>
          <cell r="L317" t="str">
            <v>Sea</v>
          </cell>
          <cell r="R317">
            <v>22.5</v>
          </cell>
        </row>
        <row r="318">
          <cell r="H318">
            <v>38.520000000000003</v>
          </cell>
          <cell r="J318">
            <v>64.510000000000005</v>
          </cell>
          <cell r="K318">
            <v>314.05</v>
          </cell>
          <cell r="L318" t="str">
            <v>Land</v>
          </cell>
          <cell r="R318">
            <v>25</v>
          </cell>
        </row>
        <row r="319">
          <cell r="H319">
            <v>31.08</v>
          </cell>
          <cell r="J319">
            <v>17.18</v>
          </cell>
          <cell r="K319">
            <v>77.2</v>
          </cell>
          <cell r="L319" t="str">
            <v>Air</v>
          </cell>
          <cell r="R319">
            <v>22.5</v>
          </cell>
        </row>
        <row r="320">
          <cell r="H320">
            <v>25.95</v>
          </cell>
          <cell r="J320">
            <v>27.5</v>
          </cell>
          <cell r="K320">
            <v>222.4</v>
          </cell>
          <cell r="L320" t="str">
            <v>Air</v>
          </cell>
          <cell r="R320">
            <v>20</v>
          </cell>
        </row>
        <row r="321">
          <cell r="H321">
            <v>30.16</v>
          </cell>
          <cell r="J321">
            <v>70.13</v>
          </cell>
          <cell r="K321">
            <v>84.67</v>
          </cell>
          <cell r="L321" t="str">
            <v>Sea</v>
          </cell>
          <cell r="R321">
            <v>25</v>
          </cell>
        </row>
        <row r="322">
          <cell r="H322">
            <v>30.03</v>
          </cell>
          <cell r="J322">
            <v>71.97</v>
          </cell>
          <cell r="K322">
            <v>329.23</v>
          </cell>
          <cell r="L322" t="str">
            <v>Sea</v>
          </cell>
          <cell r="R322">
            <v>20</v>
          </cell>
        </row>
        <row r="323">
          <cell r="H323">
            <v>27.12</v>
          </cell>
          <cell r="J323">
            <v>24.28</v>
          </cell>
          <cell r="K323">
            <v>82.52</v>
          </cell>
          <cell r="L323" t="str">
            <v>Sea</v>
          </cell>
          <cell r="R323">
            <v>20</v>
          </cell>
        </row>
        <row r="324">
          <cell r="H324">
            <v>18.350000000000001</v>
          </cell>
          <cell r="J324">
            <v>29.35</v>
          </cell>
          <cell r="K324">
            <v>166.65</v>
          </cell>
          <cell r="L324" t="str">
            <v>Land</v>
          </cell>
          <cell r="R324">
            <v>12.75</v>
          </cell>
        </row>
        <row r="325">
          <cell r="H325">
            <v>52.59</v>
          </cell>
          <cell r="J325">
            <v>57.06</v>
          </cell>
          <cell r="K325">
            <v>312.33</v>
          </cell>
          <cell r="L325" t="str">
            <v>Sea</v>
          </cell>
          <cell r="R325">
            <v>35</v>
          </cell>
        </row>
        <row r="326">
          <cell r="H326">
            <v>44.2</v>
          </cell>
          <cell r="J326">
            <v>18.45</v>
          </cell>
          <cell r="K326">
            <v>143.55000000000001</v>
          </cell>
          <cell r="L326" t="str">
            <v>Land</v>
          </cell>
          <cell r="R326">
            <v>28</v>
          </cell>
        </row>
        <row r="327">
          <cell r="H327">
            <v>60.9</v>
          </cell>
          <cell r="J327">
            <v>26.28</v>
          </cell>
          <cell r="K327">
            <v>258.62</v>
          </cell>
          <cell r="L327" t="str">
            <v>Sea</v>
          </cell>
          <cell r="R327">
            <v>35</v>
          </cell>
        </row>
        <row r="328">
          <cell r="H328">
            <v>22.32</v>
          </cell>
          <cell r="J328">
            <v>45.08</v>
          </cell>
          <cell r="K328">
            <v>203.74</v>
          </cell>
          <cell r="L328" t="str">
            <v>Sea</v>
          </cell>
          <cell r="R328">
            <v>12.75</v>
          </cell>
        </row>
        <row r="329">
          <cell r="H329">
            <v>41.89</v>
          </cell>
          <cell r="J329">
            <v>97.39</v>
          </cell>
          <cell r="K329">
            <v>541.54999999999995</v>
          </cell>
          <cell r="L329" t="str">
            <v>Land</v>
          </cell>
          <cell r="R329">
            <v>28</v>
          </cell>
        </row>
        <row r="330">
          <cell r="H330">
            <v>21.24</v>
          </cell>
          <cell r="J330">
            <v>50.32</v>
          </cell>
          <cell r="K330">
            <v>314.75</v>
          </cell>
          <cell r="L330" t="str">
            <v>Sea</v>
          </cell>
          <cell r="R330">
            <v>12.75</v>
          </cell>
        </row>
        <row r="331">
          <cell r="H331">
            <v>33.700000000000003</v>
          </cell>
          <cell r="J331">
            <v>20.170000000000002</v>
          </cell>
          <cell r="K331">
            <v>293.43</v>
          </cell>
          <cell r="L331" t="str">
            <v>Land</v>
          </cell>
          <cell r="R331">
            <v>22.5</v>
          </cell>
        </row>
        <row r="332">
          <cell r="H332">
            <v>42.74</v>
          </cell>
          <cell r="J332">
            <v>92.09</v>
          </cell>
          <cell r="K332">
            <v>225.25</v>
          </cell>
          <cell r="L332" t="str">
            <v>Air</v>
          </cell>
          <cell r="R332">
            <v>35</v>
          </cell>
        </row>
        <row r="333">
          <cell r="H333">
            <v>30.18</v>
          </cell>
          <cell r="J333">
            <v>44.97</v>
          </cell>
          <cell r="K333">
            <v>199.35</v>
          </cell>
          <cell r="L333" t="str">
            <v>Land</v>
          </cell>
          <cell r="R333">
            <v>20</v>
          </cell>
        </row>
        <row r="334">
          <cell r="H334">
            <v>20.02</v>
          </cell>
          <cell r="J334">
            <v>60.27</v>
          </cell>
          <cell r="K334">
            <v>138.61000000000001</v>
          </cell>
          <cell r="L334" t="str">
            <v>Sea</v>
          </cell>
          <cell r="R334">
            <v>15.5</v>
          </cell>
        </row>
        <row r="335">
          <cell r="H335">
            <v>27.45</v>
          </cell>
          <cell r="J335">
            <v>13.22</v>
          </cell>
          <cell r="K335">
            <v>76.180000000000007</v>
          </cell>
          <cell r="L335" t="str">
            <v>Air</v>
          </cell>
          <cell r="R335">
            <v>20</v>
          </cell>
        </row>
        <row r="336">
          <cell r="H336">
            <v>30.57</v>
          </cell>
          <cell r="J336">
            <v>19.45</v>
          </cell>
          <cell r="K336">
            <v>255.37</v>
          </cell>
          <cell r="L336" t="str">
            <v>Air</v>
          </cell>
          <cell r="R336">
            <v>20</v>
          </cell>
        </row>
        <row r="337">
          <cell r="H337">
            <v>32.19</v>
          </cell>
          <cell r="J337">
            <v>111.13</v>
          </cell>
          <cell r="K337">
            <v>219.61</v>
          </cell>
          <cell r="L337" t="str">
            <v>Air</v>
          </cell>
          <cell r="R337">
            <v>25</v>
          </cell>
        </row>
        <row r="338">
          <cell r="H338">
            <v>31.79</v>
          </cell>
          <cell r="J338">
            <v>38.43</v>
          </cell>
          <cell r="K338">
            <v>237.37</v>
          </cell>
          <cell r="L338" t="str">
            <v>Land</v>
          </cell>
          <cell r="R338">
            <v>18</v>
          </cell>
        </row>
        <row r="339">
          <cell r="H339">
            <v>28.94</v>
          </cell>
          <cell r="J339">
            <v>7</v>
          </cell>
          <cell r="K339">
            <v>80.52</v>
          </cell>
          <cell r="L339" t="str">
            <v>Air</v>
          </cell>
          <cell r="R339">
            <v>18</v>
          </cell>
        </row>
        <row r="340">
          <cell r="H340">
            <v>30.66</v>
          </cell>
          <cell r="J340">
            <v>85.24</v>
          </cell>
          <cell r="K340">
            <v>421.16</v>
          </cell>
          <cell r="L340" t="str">
            <v>Land</v>
          </cell>
          <cell r="R340">
            <v>18</v>
          </cell>
        </row>
        <row r="341">
          <cell r="H341">
            <v>54.09</v>
          </cell>
          <cell r="J341">
            <v>106.39</v>
          </cell>
          <cell r="K341">
            <v>865.57</v>
          </cell>
          <cell r="L341" t="str">
            <v>Land</v>
          </cell>
          <cell r="R341">
            <v>32</v>
          </cell>
        </row>
        <row r="342">
          <cell r="H342">
            <v>68.89</v>
          </cell>
          <cell r="J342">
            <v>152.05000000000001</v>
          </cell>
          <cell r="K342">
            <v>772.43</v>
          </cell>
          <cell r="L342" t="str">
            <v>Land</v>
          </cell>
          <cell r="R342">
            <v>40</v>
          </cell>
        </row>
        <row r="343">
          <cell r="H343">
            <v>43.35</v>
          </cell>
          <cell r="J343">
            <v>99.05</v>
          </cell>
          <cell r="K343">
            <v>268.35000000000002</v>
          </cell>
          <cell r="L343" t="str">
            <v>Air</v>
          </cell>
          <cell r="R343">
            <v>35</v>
          </cell>
        </row>
        <row r="344">
          <cell r="H344">
            <v>34</v>
          </cell>
          <cell r="J344">
            <v>42.15</v>
          </cell>
          <cell r="K344">
            <v>101.85</v>
          </cell>
          <cell r="L344" t="str">
            <v>Air</v>
          </cell>
          <cell r="R344">
            <v>28</v>
          </cell>
        </row>
        <row r="345">
          <cell r="H345">
            <v>30.25</v>
          </cell>
          <cell r="J345">
            <v>92.86</v>
          </cell>
          <cell r="K345">
            <v>409.39</v>
          </cell>
          <cell r="L345" t="str">
            <v>Land</v>
          </cell>
          <cell r="R345">
            <v>18</v>
          </cell>
        </row>
        <row r="346">
          <cell r="H346">
            <v>23.71</v>
          </cell>
          <cell r="J346">
            <v>7.22</v>
          </cell>
          <cell r="K346">
            <v>115.93</v>
          </cell>
          <cell r="L346" t="str">
            <v>Sea</v>
          </cell>
          <cell r="R346">
            <v>15.5</v>
          </cell>
        </row>
        <row r="347">
          <cell r="H347">
            <v>48.64</v>
          </cell>
          <cell r="J347">
            <v>98.71</v>
          </cell>
          <cell r="K347">
            <v>450.41</v>
          </cell>
          <cell r="L347" t="str">
            <v>Land</v>
          </cell>
          <cell r="R347">
            <v>32</v>
          </cell>
        </row>
        <row r="348">
          <cell r="H348">
            <v>50.94</v>
          </cell>
          <cell r="J348">
            <v>11.19</v>
          </cell>
          <cell r="K348">
            <v>100.39</v>
          </cell>
          <cell r="L348" t="str">
            <v>Sea</v>
          </cell>
          <cell r="R348">
            <v>35</v>
          </cell>
        </row>
        <row r="349">
          <cell r="H349">
            <v>31.4</v>
          </cell>
          <cell r="J349">
            <v>1.1399999999999999</v>
          </cell>
          <cell r="K349">
            <v>10.26</v>
          </cell>
          <cell r="L349" t="str">
            <v>Air</v>
          </cell>
          <cell r="R349">
            <v>20</v>
          </cell>
        </row>
        <row r="350">
          <cell r="H350">
            <v>18.59</v>
          </cell>
          <cell r="J350">
            <v>14.08</v>
          </cell>
          <cell r="K350">
            <v>149.44</v>
          </cell>
          <cell r="L350" t="str">
            <v>Land</v>
          </cell>
          <cell r="R350">
            <v>12.75</v>
          </cell>
        </row>
        <row r="351">
          <cell r="H351">
            <v>20.66</v>
          </cell>
          <cell r="J351">
            <v>34.130000000000003</v>
          </cell>
          <cell r="K351">
            <v>223.87</v>
          </cell>
          <cell r="L351" t="str">
            <v>Air</v>
          </cell>
          <cell r="R351">
            <v>15.5</v>
          </cell>
        </row>
        <row r="352">
          <cell r="H352">
            <v>46.62</v>
          </cell>
          <cell r="J352">
            <v>13.29</v>
          </cell>
          <cell r="K352">
            <v>33.19</v>
          </cell>
          <cell r="L352" t="str">
            <v>Sea</v>
          </cell>
          <cell r="R352">
            <v>35</v>
          </cell>
        </row>
        <row r="353">
          <cell r="H353">
            <v>21.81</v>
          </cell>
          <cell r="J353">
            <v>19.63</v>
          </cell>
          <cell r="K353">
            <v>213.84</v>
          </cell>
          <cell r="L353" t="str">
            <v>Air</v>
          </cell>
          <cell r="R353">
            <v>15.5</v>
          </cell>
        </row>
        <row r="354">
          <cell r="H354">
            <v>26.68</v>
          </cell>
          <cell r="J354">
            <v>55.36</v>
          </cell>
          <cell r="K354">
            <v>481.28</v>
          </cell>
          <cell r="L354" t="str">
            <v>Land</v>
          </cell>
          <cell r="R354">
            <v>15.5</v>
          </cell>
        </row>
        <row r="355">
          <cell r="H355">
            <v>42.82</v>
          </cell>
          <cell r="J355">
            <v>69.95</v>
          </cell>
          <cell r="K355">
            <v>357.73</v>
          </cell>
          <cell r="L355" t="str">
            <v>Land</v>
          </cell>
          <cell r="R355">
            <v>25</v>
          </cell>
        </row>
        <row r="356">
          <cell r="H356">
            <v>34.4</v>
          </cell>
          <cell r="J356">
            <v>40.42</v>
          </cell>
          <cell r="K356">
            <v>268.98</v>
          </cell>
          <cell r="L356" t="str">
            <v>Land</v>
          </cell>
          <cell r="R356">
            <v>22.5</v>
          </cell>
        </row>
        <row r="357">
          <cell r="H357">
            <v>44.89</v>
          </cell>
          <cell r="J357">
            <v>45.91</v>
          </cell>
          <cell r="K357">
            <v>418.92</v>
          </cell>
          <cell r="L357" t="str">
            <v>Land</v>
          </cell>
          <cell r="R357">
            <v>35</v>
          </cell>
        </row>
        <row r="358">
          <cell r="H358">
            <v>18.739999999999998</v>
          </cell>
          <cell r="J358">
            <v>0.5</v>
          </cell>
          <cell r="K358">
            <v>2.74</v>
          </cell>
          <cell r="L358" t="str">
            <v>Air</v>
          </cell>
          <cell r="R358">
            <v>15.5</v>
          </cell>
        </row>
        <row r="359">
          <cell r="H359">
            <v>36.270000000000003</v>
          </cell>
          <cell r="J359">
            <v>54.58</v>
          </cell>
          <cell r="K359">
            <v>317.20999999999998</v>
          </cell>
          <cell r="L359" t="str">
            <v>Sea</v>
          </cell>
          <cell r="R359">
            <v>22.5</v>
          </cell>
        </row>
        <row r="360">
          <cell r="H360">
            <v>18.82</v>
          </cell>
          <cell r="J360">
            <v>6.49</v>
          </cell>
          <cell r="K360">
            <v>72.42</v>
          </cell>
          <cell r="L360" t="str">
            <v>Air</v>
          </cell>
          <cell r="R360">
            <v>12.75</v>
          </cell>
        </row>
        <row r="361">
          <cell r="H361">
            <v>43.19</v>
          </cell>
          <cell r="J361">
            <v>83.28</v>
          </cell>
          <cell r="K361">
            <v>539.51</v>
          </cell>
          <cell r="L361" t="str">
            <v>Sea</v>
          </cell>
          <cell r="R361">
            <v>28</v>
          </cell>
        </row>
        <row r="362">
          <cell r="H362">
            <v>42.31</v>
          </cell>
          <cell r="J362">
            <v>118.59</v>
          </cell>
          <cell r="K362">
            <v>453.81</v>
          </cell>
          <cell r="L362" t="str">
            <v>Sea</v>
          </cell>
          <cell r="R362">
            <v>28</v>
          </cell>
        </row>
        <row r="363">
          <cell r="H363">
            <v>57.15</v>
          </cell>
          <cell r="J363">
            <v>4.1100000000000003</v>
          </cell>
          <cell r="K363">
            <v>21.04</v>
          </cell>
          <cell r="L363" t="str">
            <v>Sea</v>
          </cell>
          <cell r="R363">
            <v>32</v>
          </cell>
        </row>
        <row r="364">
          <cell r="H364">
            <v>30.03</v>
          </cell>
          <cell r="J364">
            <v>29.99</v>
          </cell>
          <cell r="K364">
            <v>120.46</v>
          </cell>
          <cell r="L364" t="str">
            <v>Air</v>
          </cell>
          <cell r="R364">
            <v>20</v>
          </cell>
        </row>
        <row r="365">
          <cell r="H365">
            <v>30.91</v>
          </cell>
          <cell r="J365">
            <v>85.5</v>
          </cell>
          <cell r="K365">
            <v>438.18</v>
          </cell>
          <cell r="L365" t="str">
            <v>Land</v>
          </cell>
          <cell r="R365">
            <v>20</v>
          </cell>
        </row>
        <row r="366">
          <cell r="H366">
            <v>32.19</v>
          </cell>
          <cell r="J366">
            <v>11.85</v>
          </cell>
          <cell r="K366">
            <v>65.67</v>
          </cell>
          <cell r="L366" t="str">
            <v>Land</v>
          </cell>
          <cell r="R366">
            <v>22.5</v>
          </cell>
        </row>
        <row r="367">
          <cell r="H367">
            <v>60.75</v>
          </cell>
          <cell r="J367">
            <v>38.340000000000003</v>
          </cell>
          <cell r="K367">
            <v>418.16</v>
          </cell>
          <cell r="L367" t="str">
            <v>Land</v>
          </cell>
          <cell r="R367">
            <v>40</v>
          </cell>
        </row>
        <row r="368">
          <cell r="H368">
            <v>66.06</v>
          </cell>
          <cell r="J368">
            <v>50.37</v>
          </cell>
          <cell r="K368">
            <v>939.91</v>
          </cell>
          <cell r="L368" t="str">
            <v>Land</v>
          </cell>
          <cell r="R368">
            <v>40</v>
          </cell>
        </row>
        <row r="369">
          <cell r="H369">
            <v>50.88</v>
          </cell>
          <cell r="J369">
            <v>61.48</v>
          </cell>
          <cell r="K369">
            <v>462.56</v>
          </cell>
          <cell r="L369" t="str">
            <v>Land</v>
          </cell>
          <cell r="R369">
            <v>35</v>
          </cell>
        </row>
        <row r="370">
          <cell r="H370">
            <v>34.479999999999997</v>
          </cell>
          <cell r="J370">
            <v>53.06</v>
          </cell>
          <cell r="K370">
            <v>264.45999999999998</v>
          </cell>
          <cell r="L370" t="str">
            <v>Air</v>
          </cell>
          <cell r="R370">
            <v>28</v>
          </cell>
        </row>
        <row r="371">
          <cell r="H371">
            <v>25.43</v>
          </cell>
          <cell r="J371">
            <v>57.81</v>
          </cell>
          <cell r="K371">
            <v>110.52</v>
          </cell>
          <cell r="L371" t="str">
            <v>Land</v>
          </cell>
          <cell r="R371">
            <v>20</v>
          </cell>
        </row>
        <row r="372">
          <cell r="H372">
            <v>31.68</v>
          </cell>
          <cell r="J372">
            <v>22.22</v>
          </cell>
          <cell r="K372">
            <v>316.5</v>
          </cell>
          <cell r="L372" t="str">
            <v>Air</v>
          </cell>
          <cell r="R372">
            <v>20</v>
          </cell>
        </row>
        <row r="373">
          <cell r="H373">
            <v>33.89</v>
          </cell>
          <cell r="J373">
            <v>85.4</v>
          </cell>
          <cell r="K373">
            <v>161.97999999999999</v>
          </cell>
          <cell r="L373" t="str">
            <v>Air</v>
          </cell>
          <cell r="R373">
            <v>28</v>
          </cell>
        </row>
        <row r="374">
          <cell r="H374">
            <v>21.75</v>
          </cell>
          <cell r="J374">
            <v>12.5</v>
          </cell>
          <cell r="K374">
            <v>36.25</v>
          </cell>
          <cell r="L374" t="str">
            <v>Air</v>
          </cell>
          <cell r="R374">
            <v>18</v>
          </cell>
        </row>
        <row r="375">
          <cell r="H375">
            <v>37.58</v>
          </cell>
          <cell r="J375">
            <v>48.44</v>
          </cell>
          <cell r="K375">
            <v>328.56</v>
          </cell>
          <cell r="L375" t="str">
            <v>Air</v>
          </cell>
          <cell r="R375">
            <v>22.5</v>
          </cell>
        </row>
        <row r="376">
          <cell r="H376">
            <v>25.25</v>
          </cell>
          <cell r="J376">
            <v>18.75</v>
          </cell>
          <cell r="K376">
            <v>65.25</v>
          </cell>
          <cell r="L376" t="str">
            <v>Sea</v>
          </cell>
          <cell r="R376">
            <v>20</v>
          </cell>
        </row>
        <row r="377">
          <cell r="H377">
            <v>25.85</v>
          </cell>
          <cell r="J377">
            <v>31.7</v>
          </cell>
          <cell r="K377">
            <v>351.25</v>
          </cell>
          <cell r="L377" t="str">
            <v>Air</v>
          </cell>
          <cell r="R377">
            <v>15.5</v>
          </cell>
        </row>
        <row r="378">
          <cell r="H378">
            <v>25.72</v>
          </cell>
          <cell r="J378">
            <v>2.04</v>
          </cell>
          <cell r="K378">
            <v>3.68</v>
          </cell>
          <cell r="L378" t="str">
            <v>Air</v>
          </cell>
          <cell r="R378">
            <v>20</v>
          </cell>
        </row>
        <row r="379">
          <cell r="H379">
            <v>47.05</v>
          </cell>
          <cell r="J379">
            <v>179.44</v>
          </cell>
          <cell r="K379">
            <v>734.96</v>
          </cell>
          <cell r="L379" t="str">
            <v>Sea</v>
          </cell>
          <cell r="R379">
            <v>28</v>
          </cell>
        </row>
        <row r="380">
          <cell r="H380">
            <v>29.94</v>
          </cell>
          <cell r="J380">
            <v>30.14</v>
          </cell>
          <cell r="K380">
            <v>446.98</v>
          </cell>
          <cell r="L380" t="str">
            <v>Sea</v>
          </cell>
          <cell r="R380">
            <v>20</v>
          </cell>
        </row>
        <row r="381">
          <cell r="H381">
            <v>35.68</v>
          </cell>
          <cell r="J381">
            <v>13.07</v>
          </cell>
          <cell r="K381">
            <v>145.09</v>
          </cell>
          <cell r="L381" t="str">
            <v>Sea</v>
          </cell>
          <cell r="R381">
            <v>22.5</v>
          </cell>
        </row>
        <row r="382">
          <cell r="H382">
            <v>49.32</v>
          </cell>
          <cell r="J382">
            <v>105.97</v>
          </cell>
          <cell r="K382">
            <v>413.63</v>
          </cell>
          <cell r="L382" t="str">
            <v>Sea</v>
          </cell>
          <cell r="R382">
            <v>32</v>
          </cell>
        </row>
        <row r="383">
          <cell r="H383">
            <v>37.68</v>
          </cell>
          <cell r="J383">
            <v>80.739999999999995</v>
          </cell>
          <cell r="K383">
            <v>180.62</v>
          </cell>
          <cell r="L383" t="str">
            <v>Air</v>
          </cell>
          <cell r="R383">
            <v>28</v>
          </cell>
        </row>
        <row r="384">
          <cell r="H384">
            <v>36.340000000000003</v>
          </cell>
          <cell r="J384">
            <v>67</v>
          </cell>
          <cell r="K384">
            <v>375.26</v>
          </cell>
          <cell r="L384" t="str">
            <v>Air</v>
          </cell>
          <cell r="R384">
            <v>25</v>
          </cell>
        </row>
        <row r="385">
          <cell r="H385">
            <v>24.33</v>
          </cell>
          <cell r="J385">
            <v>22.33</v>
          </cell>
          <cell r="K385">
            <v>118.95</v>
          </cell>
          <cell r="L385" t="str">
            <v>Land</v>
          </cell>
          <cell r="R385">
            <v>15.5</v>
          </cell>
        </row>
        <row r="386">
          <cell r="H386">
            <v>22.28</v>
          </cell>
          <cell r="J386">
            <v>32.729999999999997</v>
          </cell>
          <cell r="K386">
            <v>238.47</v>
          </cell>
          <cell r="L386" t="str">
            <v>Land</v>
          </cell>
          <cell r="R386">
            <v>15.5</v>
          </cell>
        </row>
        <row r="387">
          <cell r="H387">
            <v>21.71</v>
          </cell>
          <cell r="J387">
            <v>51.6</v>
          </cell>
          <cell r="K387">
            <v>351.6</v>
          </cell>
          <cell r="L387" t="str">
            <v>Land</v>
          </cell>
          <cell r="R387">
            <v>12.75</v>
          </cell>
        </row>
        <row r="388">
          <cell r="H388">
            <v>31.07</v>
          </cell>
          <cell r="J388">
            <v>10.97</v>
          </cell>
          <cell r="K388">
            <v>37.590000000000003</v>
          </cell>
          <cell r="L388" t="str">
            <v>Land</v>
          </cell>
          <cell r="R388">
            <v>25</v>
          </cell>
        </row>
        <row r="389">
          <cell r="H389">
            <v>21.93</v>
          </cell>
          <cell r="J389">
            <v>70.989999999999995</v>
          </cell>
          <cell r="K389">
            <v>360.47</v>
          </cell>
          <cell r="L389" t="str">
            <v>Air</v>
          </cell>
          <cell r="R389">
            <v>12.75</v>
          </cell>
        </row>
        <row r="390">
          <cell r="H390">
            <v>21.46</v>
          </cell>
          <cell r="J390">
            <v>21.64</v>
          </cell>
          <cell r="K390">
            <v>379.02</v>
          </cell>
          <cell r="L390" t="str">
            <v>Sea</v>
          </cell>
          <cell r="R390">
            <v>12.75</v>
          </cell>
        </row>
        <row r="391">
          <cell r="H391">
            <v>47.1</v>
          </cell>
          <cell r="J391">
            <v>120.16</v>
          </cell>
          <cell r="K391">
            <v>739.34</v>
          </cell>
          <cell r="L391" t="str">
            <v>Sea</v>
          </cell>
          <cell r="R391">
            <v>28</v>
          </cell>
        </row>
        <row r="392">
          <cell r="H392">
            <v>58.32</v>
          </cell>
          <cell r="J392">
            <v>8.99</v>
          </cell>
          <cell r="K392">
            <v>37.65</v>
          </cell>
          <cell r="L392" t="str">
            <v>Land</v>
          </cell>
          <cell r="R392">
            <v>35</v>
          </cell>
        </row>
        <row r="393">
          <cell r="H393">
            <v>61.34</v>
          </cell>
          <cell r="J393">
            <v>147.43</v>
          </cell>
          <cell r="K393">
            <v>669.11</v>
          </cell>
          <cell r="L393" t="str">
            <v>Sea</v>
          </cell>
          <cell r="R393">
            <v>35</v>
          </cell>
        </row>
        <row r="394">
          <cell r="H394">
            <v>43.9</v>
          </cell>
          <cell r="J394">
            <v>36.479999999999997</v>
          </cell>
          <cell r="K394">
            <v>247.02</v>
          </cell>
          <cell r="L394" t="str">
            <v>Air</v>
          </cell>
          <cell r="R394">
            <v>25</v>
          </cell>
        </row>
        <row r="395">
          <cell r="H395">
            <v>20.53</v>
          </cell>
          <cell r="J395">
            <v>4.05</v>
          </cell>
          <cell r="K395">
            <v>27.07</v>
          </cell>
          <cell r="L395" t="str">
            <v>Land</v>
          </cell>
          <cell r="R395">
            <v>12.75</v>
          </cell>
        </row>
        <row r="396">
          <cell r="H396">
            <v>24.7</v>
          </cell>
          <cell r="J396">
            <v>3.76</v>
          </cell>
          <cell r="K396">
            <v>24.44</v>
          </cell>
          <cell r="L396" t="str">
            <v>Air</v>
          </cell>
          <cell r="R396">
            <v>20</v>
          </cell>
        </row>
        <row r="397">
          <cell r="H397">
            <v>19.170000000000002</v>
          </cell>
          <cell r="J397">
            <v>15.16</v>
          </cell>
          <cell r="K397">
            <v>106.82</v>
          </cell>
          <cell r="L397" t="str">
            <v>Sea</v>
          </cell>
          <cell r="R397">
            <v>12.75</v>
          </cell>
        </row>
        <row r="398">
          <cell r="H398">
            <v>55.28</v>
          </cell>
          <cell r="J398">
            <v>5.37</v>
          </cell>
          <cell r="K398">
            <v>25.19</v>
          </cell>
          <cell r="L398" t="str">
            <v>Air</v>
          </cell>
          <cell r="R398">
            <v>40</v>
          </cell>
        </row>
        <row r="399">
          <cell r="H399">
            <v>43.91</v>
          </cell>
          <cell r="J399">
            <v>63.55</v>
          </cell>
          <cell r="K399">
            <v>863.04</v>
          </cell>
          <cell r="L399" t="str">
            <v>Land</v>
          </cell>
          <cell r="R399">
            <v>25</v>
          </cell>
        </row>
        <row r="400">
          <cell r="H400">
            <v>41.84</v>
          </cell>
          <cell r="J400">
            <v>56.83</v>
          </cell>
          <cell r="K400">
            <v>431.53</v>
          </cell>
          <cell r="L400" t="str">
            <v>Air</v>
          </cell>
          <cell r="R400">
            <v>25</v>
          </cell>
        </row>
        <row r="401">
          <cell r="H401">
            <v>27.41</v>
          </cell>
          <cell r="J401">
            <v>55.82</v>
          </cell>
          <cell r="K401">
            <v>456.31</v>
          </cell>
          <cell r="L401" t="str">
            <v>Air</v>
          </cell>
          <cell r="R401">
            <v>15.5</v>
          </cell>
        </row>
        <row r="402">
          <cell r="H402">
            <v>31.84</v>
          </cell>
          <cell r="J402">
            <v>54.24</v>
          </cell>
          <cell r="K402">
            <v>277.27999999999997</v>
          </cell>
          <cell r="L402" t="str">
            <v>Land</v>
          </cell>
          <cell r="R402">
            <v>20</v>
          </cell>
        </row>
        <row r="403">
          <cell r="H403">
            <v>35.840000000000003</v>
          </cell>
          <cell r="J403">
            <v>60.65</v>
          </cell>
          <cell r="K403">
            <v>394.63</v>
          </cell>
          <cell r="L403" t="str">
            <v>Air</v>
          </cell>
          <cell r="R403">
            <v>25</v>
          </cell>
        </row>
        <row r="404">
          <cell r="H404">
            <v>30.55</v>
          </cell>
          <cell r="J404">
            <v>46.8</v>
          </cell>
          <cell r="K404">
            <v>130.30000000000001</v>
          </cell>
          <cell r="L404" t="str">
            <v>Sea</v>
          </cell>
          <cell r="R404">
            <v>22.5</v>
          </cell>
        </row>
        <row r="405">
          <cell r="H405">
            <v>45.16</v>
          </cell>
          <cell r="J405">
            <v>29.68</v>
          </cell>
          <cell r="K405">
            <v>193.4</v>
          </cell>
          <cell r="L405" t="str">
            <v>Sea</v>
          </cell>
          <cell r="R405">
            <v>28</v>
          </cell>
        </row>
        <row r="406">
          <cell r="H406">
            <v>45.23</v>
          </cell>
          <cell r="J406">
            <v>136.25</v>
          </cell>
          <cell r="K406">
            <v>272.95</v>
          </cell>
          <cell r="L406" t="str">
            <v>Air</v>
          </cell>
          <cell r="R406">
            <v>35</v>
          </cell>
        </row>
        <row r="407">
          <cell r="H407">
            <v>22.78</v>
          </cell>
          <cell r="J407">
            <v>38.369999999999997</v>
          </cell>
          <cell r="K407">
            <v>157.61000000000001</v>
          </cell>
          <cell r="L407" t="str">
            <v>Sea</v>
          </cell>
          <cell r="R407">
            <v>18</v>
          </cell>
        </row>
        <row r="408">
          <cell r="H408">
            <v>24.21</v>
          </cell>
          <cell r="J408">
            <v>58.25</v>
          </cell>
          <cell r="K408">
            <v>237.89</v>
          </cell>
          <cell r="L408" t="str">
            <v>Land</v>
          </cell>
          <cell r="R408">
            <v>15.5</v>
          </cell>
        </row>
        <row r="409">
          <cell r="H409">
            <v>34.64</v>
          </cell>
          <cell r="J409">
            <v>45.93</v>
          </cell>
          <cell r="K409">
            <v>627.51</v>
          </cell>
          <cell r="L409" t="str">
            <v>Air</v>
          </cell>
          <cell r="R409">
            <v>20</v>
          </cell>
        </row>
        <row r="410">
          <cell r="H410">
            <v>27.06</v>
          </cell>
          <cell r="J410">
            <v>15.35</v>
          </cell>
          <cell r="K410">
            <v>55.25</v>
          </cell>
          <cell r="L410" t="str">
            <v>Land</v>
          </cell>
          <cell r="R410">
            <v>20</v>
          </cell>
        </row>
        <row r="411">
          <cell r="H411">
            <v>27.74</v>
          </cell>
          <cell r="J411">
            <v>10.81</v>
          </cell>
          <cell r="K411">
            <v>96.33</v>
          </cell>
          <cell r="L411" t="str">
            <v>Sea</v>
          </cell>
          <cell r="R411">
            <v>18</v>
          </cell>
        </row>
        <row r="412">
          <cell r="H412">
            <v>38.08</v>
          </cell>
          <cell r="J412">
            <v>25.63</v>
          </cell>
          <cell r="K412">
            <v>266.69</v>
          </cell>
          <cell r="L412" t="str">
            <v>Sea</v>
          </cell>
          <cell r="R412">
            <v>28</v>
          </cell>
        </row>
        <row r="413">
          <cell r="H413">
            <v>43.65</v>
          </cell>
          <cell r="J413">
            <v>54.52</v>
          </cell>
          <cell r="K413">
            <v>227.18</v>
          </cell>
          <cell r="L413" t="str">
            <v>Sea</v>
          </cell>
          <cell r="R413">
            <v>28</v>
          </cell>
        </row>
        <row r="414">
          <cell r="H414">
            <v>51.97</v>
          </cell>
          <cell r="J414">
            <v>112.26</v>
          </cell>
          <cell r="K414">
            <v>719.27</v>
          </cell>
          <cell r="L414" t="str">
            <v>Sea</v>
          </cell>
          <cell r="R414">
            <v>35</v>
          </cell>
        </row>
        <row r="415">
          <cell r="H415">
            <v>36.85</v>
          </cell>
          <cell r="J415">
            <v>10.15</v>
          </cell>
          <cell r="K415">
            <v>143.9</v>
          </cell>
          <cell r="L415" t="str">
            <v>Land</v>
          </cell>
          <cell r="R415">
            <v>25</v>
          </cell>
        </row>
        <row r="416">
          <cell r="H416">
            <v>38.520000000000003</v>
          </cell>
          <cell r="J416">
            <v>81.459999999999994</v>
          </cell>
          <cell r="K416">
            <v>133.69999999999999</v>
          </cell>
          <cell r="L416" t="str">
            <v>Land</v>
          </cell>
          <cell r="R416">
            <v>32</v>
          </cell>
        </row>
        <row r="417">
          <cell r="H417">
            <v>26.98</v>
          </cell>
          <cell r="J417">
            <v>51.77</v>
          </cell>
          <cell r="K417">
            <v>418.91</v>
          </cell>
          <cell r="L417" t="str">
            <v>Air</v>
          </cell>
          <cell r="R417">
            <v>15.5</v>
          </cell>
        </row>
        <row r="418">
          <cell r="H418">
            <v>23.56</v>
          </cell>
          <cell r="J418">
            <v>7.03</v>
          </cell>
          <cell r="K418">
            <v>25.21</v>
          </cell>
          <cell r="L418" t="str">
            <v>Air</v>
          </cell>
          <cell r="R418">
            <v>15.5</v>
          </cell>
        </row>
        <row r="419">
          <cell r="H419">
            <v>57.14</v>
          </cell>
          <cell r="J419">
            <v>70.010000000000005</v>
          </cell>
          <cell r="K419">
            <v>357.37</v>
          </cell>
          <cell r="L419" t="str">
            <v>Air</v>
          </cell>
          <cell r="R419">
            <v>32</v>
          </cell>
        </row>
        <row r="420">
          <cell r="H420">
            <v>38.14</v>
          </cell>
          <cell r="J420">
            <v>124.49</v>
          </cell>
          <cell r="K420">
            <v>453.67</v>
          </cell>
          <cell r="L420" t="str">
            <v>Air</v>
          </cell>
          <cell r="R420">
            <v>25</v>
          </cell>
        </row>
        <row r="421">
          <cell r="H421">
            <v>24</v>
          </cell>
          <cell r="J421">
            <v>22.88</v>
          </cell>
          <cell r="K421">
            <v>61.12</v>
          </cell>
          <cell r="L421" t="str">
            <v>Sea</v>
          </cell>
          <cell r="R421">
            <v>18</v>
          </cell>
        </row>
        <row r="422">
          <cell r="H422">
            <v>26.91</v>
          </cell>
          <cell r="J422">
            <v>91.7</v>
          </cell>
          <cell r="K422">
            <v>478.8</v>
          </cell>
          <cell r="L422" t="str">
            <v>Air</v>
          </cell>
          <cell r="R422">
            <v>15.5</v>
          </cell>
        </row>
        <row r="423">
          <cell r="H423">
            <v>59.41</v>
          </cell>
          <cell r="J423">
            <v>25.51</v>
          </cell>
          <cell r="K423">
            <v>110.36</v>
          </cell>
          <cell r="L423" t="str">
            <v>Land</v>
          </cell>
          <cell r="R423">
            <v>40</v>
          </cell>
        </row>
        <row r="424">
          <cell r="H424">
            <v>37.31</v>
          </cell>
          <cell r="J424">
            <v>67.45</v>
          </cell>
          <cell r="K424">
            <v>523.42999999999995</v>
          </cell>
          <cell r="L424" t="str">
            <v>Land</v>
          </cell>
          <cell r="R424">
            <v>25</v>
          </cell>
        </row>
        <row r="425">
          <cell r="H425">
            <v>52.91</v>
          </cell>
          <cell r="J425">
            <v>94.22</v>
          </cell>
          <cell r="K425">
            <v>396.36</v>
          </cell>
          <cell r="L425" t="str">
            <v>Land</v>
          </cell>
          <cell r="R425">
            <v>40</v>
          </cell>
        </row>
        <row r="426">
          <cell r="H426">
            <v>27.09</v>
          </cell>
          <cell r="J426">
            <v>14.42</v>
          </cell>
          <cell r="K426">
            <v>112.84</v>
          </cell>
          <cell r="L426" t="str">
            <v>Air</v>
          </cell>
          <cell r="R426">
            <v>18</v>
          </cell>
        </row>
        <row r="427">
          <cell r="H427">
            <v>30.52</v>
          </cell>
          <cell r="J427">
            <v>56.88</v>
          </cell>
          <cell r="K427">
            <v>271.94</v>
          </cell>
          <cell r="L427" t="str">
            <v>Land</v>
          </cell>
          <cell r="R427">
            <v>22.5</v>
          </cell>
        </row>
        <row r="428">
          <cell r="H428">
            <v>40.94</v>
          </cell>
          <cell r="J428">
            <v>71.66</v>
          </cell>
          <cell r="K428">
            <v>225.96</v>
          </cell>
          <cell r="L428" t="str">
            <v>Sea</v>
          </cell>
          <cell r="R428">
            <v>28</v>
          </cell>
        </row>
        <row r="429">
          <cell r="H429">
            <v>41.77</v>
          </cell>
          <cell r="J429">
            <v>112.45</v>
          </cell>
          <cell r="K429">
            <v>355.73</v>
          </cell>
          <cell r="L429" t="str">
            <v>Sea</v>
          </cell>
          <cell r="R429">
            <v>28</v>
          </cell>
        </row>
        <row r="430">
          <cell r="H430">
            <v>69.98</v>
          </cell>
          <cell r="J430">
            <v>133.51</v>
          </cell>
          <cell r="K430">
            <v>825.85</v>
          </cell>
          <cell r="L430" t="str">
            <v>Air</v>
          </cell>
          <cell r="R430">
            <v>40</v>
          </cell>
        </row>
        <row r="431">
          <cell r="H431">
            <v>42.91</v>
          </cell>
          <cell r="J431">
            <v>80.02</v>
          </cell>
          <cell r="K431">
            <v>117.73</v>
          </cell>
          <cell r="L431" t="str">
            <v>Sea</v>
          </cell>
          <cell r="R431">
            <v>35</v>
          </cell>
        </row>
        <row r="432">
          <cell r="H432">
            <v>22.6</v>
          </cell>
          <cell r="J432">
            <v>7.04</v>
          </cell>
          <cell r="K432">
            <v>61.91</v>
          </cell>
          <cell r="L432" t="str">
            <v>Air</v>
          </cell>
          <cell r="R432">
            <v>12.75</v>
          </cell>
        </row>
        <row r="433">
          <cell r="H433">
            <v>19.5</v>
          </cell>
          <cell r="J433">
            <v>70.069999999999993</v>
          </cell>
          <cell r="K433">
            <v>253.93</v>
          </cell>
          <cell r="L433" t="str">
            <v>Land</v>
          </cell>
          <cell r="R433">
            <v>12.75</v>
          </cell>
        </row>
        <row r="434">
          <cell r="H434">
            <v>49.97</v>
          </cell>
          <cell r="J434">
            <v>43.1</v>
          </cell>
          <cell r="K434">
            <v>275.94</v>
          </cell>
          <cell r="L434" t="str">
            <v>Sea</v>
          </cell>
          <cell r="R434">
            <v>40</v>
          </cell>
        </row>
        <row r="435">
          <cell r="H435">
            <v>25.62</v>
          </cell>
          <cell r="J435">
            <v>79.2</v>
          </cell>
          <cell r="K435">
            <v>335.72</v>
          </cell>
          <cell r="L435" t="str">
            <v>Land</v>
          </cell>
          <cell r="R435">
            <v>15.5</v>
          </cell>
        </row>
        <row r="436">
          <cell r="H436">
            <v>16.78</v>
          </cell>
          <cell r="J436">
            <v>18.04</v>
          </cell>
          <cell r="K436">
            <v>167.34</v>
          </cell>
          <cell r="L436" t="str">
            <v>Air</v>
          </cell>
          <cell r="R436">
            <v>12.75</v>
          </cell>
        </row>
        <row r="437">
          <cell r="H437">
            <v>42.18</v>
          </cell>
          <cell r="J437">
            <v>19.100000000000001</v>
          </cell>
          <cell r="K437">
            <v>143.78</v>
          </cell>
          <cell r="L437" t="str">
            <v>Land</v>
          </cell>
          <cell r="R437">
            <v>32</v>
          </cell>
        </row>
        <row r="438">
          <cell r="H438">
            <v>34.97</v>
          </cell>
          <cell r="J438">
            <v>28.48</v>
          </cell>
          <cell r="K438">
            <v>91.16</v>
          </cell>
          <cell r="L438" t="str">
            <v>Land</v>
          </cell>
          <cell r="R438">
            <v>25</v>
          </cell>
        </row>
        <row r="439">
          <cell r="H439">
            <v>33.619999999999997</v>
          </cell>
          <cell r="J439">
            <v>26.33</v>
          </cell>
          <cell r="K439">
            <v>395.89</v>
          </cell>
          <cell r="L439" t="str">
            <v>Air</v>
          </cell>
          <cell r="R439">
            <v>20</v>
          </cell>
        </row>
        <row r="440">
          <cell r="H440">
            <v>30.56</v>
          </cell>
          <cell r="J440">
            <v>26.42</v>
          </cell>
          <cell r="K440">
            <v>295.98</v>
          </cell>
          <cell r="L440" t="str">
            <v>Land</v>
          </cell>
          <cell r="R440">
            <v>22.5</v>
          </cell>
        </row>
        <row r="441">
          <cell r="H441">
            <v>61.93</v>
          </cell>
          <cell r="J441">
            <v>25.68</v>
          </cell>
          <cell r="K441">
            <v>378.27</v>
          </cell>
          <cell r="L441" t="str">
            <v>Sea</v>
          </cell>
          <cell r="R441">
            <v>35</v>
          </cell>
        </row>
        <row r="442">
          <cell r="H442">
            <v>35.770000000000003</v>
          </cell>
          <cell r="J442">
            <v>39.229999999999997</v>
          </cell>
          <cell r="K442">
            <v>276.17</v>
          </cell>
          <cell r="L442" t="str">
            <v>Land</v>
          </cell>
          <cell r="R442">
            <v>20</v>
          </cell>
        </row>
        <row r="443">
          <cell r="H443">
            <v>22.48</v>
          </cell>
          <cell r="J443">
            <v>12.96</v>
          </cell>
          <cell r="K443">
            <v>191.37</v>
          </cell>
          <cell r="L443" t="str">
            <v>Sea</v>
          </cell>
          <cell r="R443">
            <v>12.75</v>
          </cell>
        </row>
        <row r="444">
          <cell r="H444">
            <v>27.53</v>
          </cell>
          <cell r="J444">
            <v>12.66</v>
          </cell>
          <cell r="K444">
            <v>63.58</v>
          </cell>
          <cell r="L444" t="str">
            <v>Sea</v>
          </cell>
          <cell r="R444">
            <v>18</v>
          </cell>
        </row>
        <row r="445">
          <cell r="H445">
            <v>39.65</v>
          </cell>
          <cell r="J445">
            <v>60.95</v>
          </cell>
          <cell r="K445">
            <v>539.29999999999995</v>
          </cell>
          <cell r="L445" t="str">
            <v>Air</v>
          </cell>
          <cell r="R445">
            <v>22.5</v>
          </cell>
        </row>
        <row r="446">
          <cell r="H446">
            <v>23.68</v>
          </cell>
          <cell r="J446">
            <v>46.62</v>
          </cell>
          <cell r="K446">
            <v>362.38</v>
          </cell>
          <cell r="L446" t="str">
            <v>Sea</v>
          </cell>
          <cell r="R446">
            <v>15.5</v>
          </cell>
        </row>
        <row r="447">
          <cell r="H447">
            <v>19.809999999999999</v>
          </cell>
          <cell r="J447">
            <v>5.91</v>
          </cell>
          <cell r="K447">
            <v>29.39</v>
          </cell>
          <cell r="L447" t="str">
            <v>Sea</v>
          </cell>
          <cell r="R447">
            <v>12.75</v>
          </cell>
        </row>
        <row r="448">
          <cell r="H448">
            <v>18.03</v>
          </cell>
          <cell r="J448">
            <v>36.630000000000003</v>
          </cell>
          <cell r="K448">
            <v>105.93</v>
          </cell>
          <cell r="L448" t="str">
            <v>Land</v>
          </cell>
          <cell r="R448">
            <v>12.75</v>
          </cell>
        </row>
        <row r="449">
          <cell r="H449">
            <v>26.93</v>
          </cell>
          <cell r="J449">
            <v>62.85</v>
          </cell>
          <cell r="K449">
            <v>339</v>
          </cell>
          <cell r="L449" t="str">
            <v>Sea</v>
          </cell>
          <cell r="R449">
            <v>18</v>
          </cell>
        </row>
        <row r="450">
          <cell r="H450">
            <v>32.54</v>
          </cell>
          <cell r="J450">
            <v>47.06</v>
          </cell>
          <cell r="K450">
            <v>454.54</v>
          </cell>
          <cell r="L450" t="str">
            <v>Land</v>
          </cell>
          <cell r="R450">
            <v>20</v>
          </cell>
        </row>
        <row r="451">
          <cell r="H451">
            <v>35.32</v>
          </cell>
          <cell r="J451">
            <v>60.02</v>
          </cell>
          <cell r="K451">
            <v>273.3</v>
          </cell>
          <cell r="L451" t="str">
            <v>Air</v>
          </cell>
          <cell r="R451">
            <v>22.5</v>
          </cell>
        </row>
        <row r="452">
          <cell r="H452">
            <v>16.440000000000001</v>
          </cell>
          <cell r="J452">
            <v>17.64</v>
          </cell>
          <cell r="K452">
            <v>41.4</v>
          </cell>
          <cell r="L452" t="str">
            <v>Land</v>
          </cell>
          <cell r="R452">
            <v>12.75</v>
          </cell>
        </row>
        <row r="453">
          <cell r="H453">
            <v>46.27</v>
          </cell>
          <cell r="J453">
            <v>38.57</v>
          </cell>
          <cell r="K453">
            <v>673.96</v>
          </cell>
          <cell r="L453" t="str">
            <v>Air</v>
          </cell>
          <cell r="R453">
            <v>28</v>
          </cell>
        </row>
        <row r="454">
          <cell r="H454">
            <v>33.22</v>
          </cell>
          <cell r="J454">
            <v>36.85</v>
          </cell>
          <cell r="K454">
            <v>86.45</v>
          </cell>
          <cell r="L454" t="str">
            <v>Air</v>
          </cell>
          <cell r="R454">
            <v>25</v>
          </cell>
        </row>
        <row r="455">
          <cell r="H455">
            <v>71.02</v>
          </cell>
          <cell r="J455">
            <v>137.22</v>
          </cell>
          <cell r="K455">
            <v>948.48</v>
          </cell>
          <cell r="L455" t="str">
            <v>Sea</v>
          </cell>
          <cell r="R455">
            <v>40</v>
          </cell>
        </row>
        <row r="456">
          <cell r="H456">
            <v>42.31</v>
          </cell>
          <cell r="J456">
            <v>4.28</v>
          </cell>
          <cell r="K456">
            <v>24.34</v>
          </cell>
          <cell r="L456" t="str">
            <v>Sea</v>
          </cell>
          <cell r="R456">
            <v>28</v>
          </cell>
        </row>
        <row r="457">
          <cell r="H457">
            <v>41.36</v>
          </cell>
          <cell r="J457">
            <v>11.78</v>
          </cell>
          <cell r="K457">
            <v>119.1</v>
          </cell>
          <cell r="L457" t="str">
            <v>Land</v>
          </cell>
          <cell r="R457">
            <v>25</v>
          </cell>
        </row>
        <row r="458">
          <cell r="H458">
            <v>31.39</v>
          </cell>
          <cell r="J458">
            <v>2.52</v>
          </cell>
          <cell r="K458">
            <v>37.65</v>
          </cell>
          <cell r="L458" t="str">
            <v>Air</v>
          </cell>
          <cell r="R458">
            <v>18</v>
          </cell>
        </row>
        <row r="459">
          <cell r="H459">
            <v>33.61</v>
          </cell>
          <cell r="J459">
            <v>109.92</v>
          </cell>
          <cell r="K459">
            <v>423.36</v>
          </cell>
          <cell r="L459" t="str">
            <v>Land</v>
          </cell>
          <cell r="R459">
            <v>22.5</v>
          </cell>
        </row>
        <row r="460">
          <cell r="H460">
            <v>50.29</v>
          </cell>
          <cell r="J460">
            <v>32.93</v>
          </cell>
          <cell r="K460">
            <v>131.68</v>
          </cell>
          <cell r="L460" t="str">
            <v>Sea</v>
          </cell>
          <cell r="R460">
            <v>32</v>
          </cell>
        </row>
        <row r="461">
          <cell r="H461">
            <v>34.96</v>
          </cell>
          <cell r="J461">
            <v>15.43</v>
          </cell>
          <cell r="K461">
            <v>134.09</v>
          </cell>
          <cell r="L461" t="str">
            <v>Sea</v>
          </cell>
          <cell r="R461">
            <v>22.5</v>
          </cell>
        </row>
        <row r="462">
          <cell r="H462">
            <v>52.72</v>
          </cell>
          <cell r="J462">
            <v>96.91</v>
          </cell>
          <cell r="K462">
            <v>416.97</v>
          </cell>
          <cell r="L462" t="str">
            <v>Sea</v>
          </cell>
          <cell r="R462">
            <v>35</v>
          </cell>
        </row>
        <row r="463">
          <cell r="H463">
            <v>22.18</v>
          </cell>
          <cell r="J463">
            <v>26.23</v>
          </cell>
          <cell r="K463">
            <v>234.29</v>
          </cell>
          <cell r="L463" t="str">
            <v>Land</v>
          </cell>
          <cell r="R463">
            <v>15.5</v>
          </cell>
        </row>
        <row r="464">
          <cell r="H464">
            <v>21.4</v>
          </cell>
          <cell r="J464">
            <v>11.64</v>
          </cell>
          <cell r="K464">
            <v>53.26</v>
          </cell>
          <cell r="L464" t="str">
            <v>Land</v>
          </cell>
          <cell r="R464">
            <v>15.5</v>
          </cell>
        </row>
        <row r="465">
          <cell r="H465">
            <v>36.26</v>
          </cell>
          <cell r="J465">
            <v>56.99</v>
          </cell>
          <cell r="K465">
            <v>179.47</v>
          </cell>
          <cell r="L465" t="str">
            <v>Sea</v>
          </cell>
          <cell r="R465">
            <v>25</v>
          </cell>
        </row>
        <row r="466">
          <cell r="H466">
            <v>35.409999999999997</v>
          </cell>
          <cell r="J466">
            <v>84.56</v>
          </cell>
          <cell r="K466">
            <v>418.93</v>
          </cell>
          <cell r="L466" t="str">
            <v>Sea</v>
          </cell>
          <cell r="R466">
            <v>22.5</v>
          </cell>
        </row>
        <row r="467">
          <cell r="H467">
            <v>27.35</v>
          </cell>
          <cell r="J467">
            <v>26.23</v>
          </cell>
          <cell r="K467">
            <v>95.32</v>
          </cell>
          <cell r="L467" t="str">
            <v>Sea</v>
          </cell>
          <cell r="R467">
            <v>18</v>
          </cell>
        </row>
        <row r="468">
          <cell r="H468">
            <v>21.08</v>
          </cell>
          <cell r="J468">
            <v>66.81</v>
          </cell>
          <cell r="K468">
            <v>266.39</v>
          </cell>
          <cell r="L468" t="str">
            <v>Air</v>
          </cell>
          <cell r="R468">
            <v>12.75</v>
          </cell>
        </row>
        <row r="469">
          <cell r="H469">
            <v>27.54</v>
          </cell>
          <cell r="J469">
            <v>62.78</v>
          </cell>
          <cell r="K469">
            <v>503.1</v>
          </cell>
          <cell r="L469" t="str">
            <v>Land</v>
          </cell>
          <cell r="R469">
            <v>15.5</v>
          </cell>
        </row>
        <row r="470">
          <cell r="H470">
            <v>45.08</v>
          </cell>
          <cell r="J470">
            <v>21.61</v>
          </cell>
          <cell r="K470">
            <v>187.67</v>
          </cell>
          <cell r="L470" t="str">
            <v>Sea</v>
          </cell>
          <cell r="R470">
            <v>32</v>
          </cell>
        </row>
        <row r="471">
          <cell r="H471">
            <v>33.200000000000003</v>
          </cell>
          <cell r="J471">
            <v>41.34</v>
          </cell>
          <cell r="K471">
            <v>354.56</v>
          </cell>
          <cell r="L471" t="str">
            <v>Air</v>
          </cell>
          <cell r="R471">
            <v>22.5</v>
          </cell>
        </row>
        <row r="472">
          <cell r="H472">
            <v>27.31</v>
          </cell>
          <cell r="J472">
            <v>9.51</v>
          </cell>
          <cell r="K472">
            <v>64.97</v>
          </cell>
          <cell r="L472" t="str">
            <v>Air</v>
          </cell>
          <cell r="R472">
            <v>18</v>
          </cell>
        </row>
        <row r="473">
          <cell r="H473">
            <v>29.14</v>
          </cell>
          <cell r="J473">
            <v>19.7</v>
          </cell>
          <cell r="K473">
            <v>191.96</v>
          </cell>
          <cell r="L473" t="str">
            <v>Land</v>
          </cell>
          <cell r="R473">
            <v>18</v>
          </cell>
        </row>
        <row r="474">
          <cell r="H474">
            <v>55.41</v>
          </cell>
          <cell r="J474">
            <v>15.57</v>
          </cell>
          <cell r="K474">
            <v>106.89</v>
          </cell>
          <cell r="L474" t="str">
            <v>Land</v>
          </cell>
          <cell r="R474">
            <v>35</v>
          </cell>
        </row>
        <row r="475">
          <cell r="H475">
            <v>29.07</v>
          </cell>
          <cell r="J475">
            <v>70.38</v>
          </cell>
          <cell r="K475">
            <v>460.98</v>
          </cell>
          <cell r="L475" t="str">
            <v>Sea</v>
          </cell>
          <cell r="R475">
            <v>18</v>
          </cell>
        </row>
        <row r="476">
          <cell r="H476">
            <v>27.17</v>
          </cell>
          <cell r="J476">
            <v>33.94</v>
          </cell>
          <cell r="K476">
            <v>87.48</v>
          </cell>
          <cell r="L476" t="str">
            <v>Air</v>
          </cell>
          <cell r="R476">
            <v>22.5</v>
          </cell>
        </row>
        <row r="477">
          <cell r="H477">
            <v>48.76</v>
          </cell>
          <cell r="J477">
            <v>16.91</v>
          </cell>
          <cell r="K477">
            <v>106.93</v>
          </cell>
          <cell r="L477" t="str">
            <v>Air</v>
          </cell>
          <cell r="R477">
            <v>35</v>
          </cell>
        </row>
        <row r="478">
          <cell r="H478">
            <v>33.21</v>
          </cell>
          <cell r="J478">
            <v>96.12</v>
          </cell>
          <cell r="K478">
            <v>300.14999999999998</v>
          </cell>
          <cell r="L478" t="str">
            <v>Air</v>
          </cell>
          <cell r="R478">
            <v>22.5</v>
          </cell>
        </row>
        <row r="479">
          <cell r="H479">
            <v>16.54</v>
          </cell>
          <cell r="J479">
            <v>30.23</v>
          </cell>
          <cell r="K479">
            <v>79.680000000000007</v>
          </cell>
          <cell r="L479" t="str">
            <v>Sea</v>
          </cell>
          <cell r="R479">
            <v>12.75</v>
          </cell>
        </row>
        <row r="480">
          <cell r="H480">
            <v>44.56</v>
          </cell>
          <cell r="J480">
            <v>23.97</v>
          </cell>
          <cell r="K480">
            <v>191.19</v>
          </cell>
          <cell r="L480" t="str">
            <v>Sea</v>
          </cell>
          <cell r="R480">
            <v>25</v>
          </cell>
        </row>
        <row r="481">
          <cell r="H481">
            <v>44.78</v>
          </cell>
          <cell r="J481">
            <v>169.97</v>
          </cell>
          <cell r="K481">
            <v>469.03</v>
          </cell>
          <cell r="L481" t="str">
            <v>Land</v>
          </cell>
          <cell r="R481">
            <v>32</v>
          </cell>
        </row>
        <row r="482">
          <cell r="H482">
            <v>22.51</v>
          </cell>
          <cell r="J482">
            <v>26.26</v>
          </cell>
          <cell r="K482">
            <v>109.04</v>
          </cell>
          <cell r="L482" t="str">
            <v>Land</v>
          </cell>
          <cell r="R482">
            <v>18</v>
          </cell>
        </row>
        <row r="483">
          <cell r="H483">
            <v>27.18</v>
          </cell>
          <cell r="J483">
            <v>45.67</v>
          </cell>
          <cell r="K483">
            <v>538.33000000000004</v>
          </cell>
          <cell r="L483" t="str">
            <v>Land</v>
          </cell>
          <cell r="R483">
            <v>15.5</v>
          </cell>
        </row>
        <row r="484">
          <cell r="H484">
            <v>37.51</v>
          </cell>
          <cell r="J484">
            <v>45.83</v>
          </cell>
          <cell r="K484">
            <v>220.45</v>
          </cell>
          <cell r="L484" t="str">
            <v>Air</v>
          </cell>
          <cell r="R484">
            <v>28</v>
          </cell>
        </row>
        <row r="485">
          <cell r="H485">
            <v>53.71</v>
          </cell>
          <cell r="J485">
            <v>197.89</v>
          </cell>
          <cell r="K485">
            <v>487.61</v>
          </cell>
          <cell r="L485" t="str">
            <v>Sea</v>
          </cell>
          <cell r="R485">
            <v>40</v>
          </cell>
        </row>
        <row r="486">
          <cell r="H486">
            <v>18.62</v>
          </cell>
          <cell r="J486">
            <v>26.91</v>
          </cell>
          <cell r="K486">
            <v>47.97</v>
          </cell>
          <cell r="L486" t="str">
            <v>Sea</v>
          </cell>
          <cell r="R486">
            <v>15.5</v>
          </cell>
        </row>
        <row r="487">
          <cell r="H487">
            <v>49.15</v>
          </cell>
          <cell r="J487">
            <v>13.3</v>
          </cell>
          <cell r="K487">
            <v>78.2</v>
          </cell>
          <cell r="L487" t="str">
            <v>Air</v>
          </cell>
          <cell r="R487">
            <v>40</v>
          </cell>
        </row>
        <row r="488">
          <cell r="H488">
            <v>50.96</v>
          </cell>
          <cell r="J488">
            <v>127.85</v>
          </cell>
          <cell r="K488">
            <v>332.47</v>
          </cell>
          <cell r="L488" t="str">
            <v>Land</v>
          </cell>
          <cell r="R488">
            <v>40</v>
          </cell>
        </row>
        <row r="489">
          <cell r="H489">
            <v>37.46</v>
          </cell>
          <cell r="J489">
            <v>82.25</v>
          </cell>
          <cell r="K489">
            <v>403.69</v>
          </cell>
          <cell r="L489" t="str">
            <v>Air</v>
          </cell>
          <cell r="R489">
            <v>25</v>
          </cell>
        </row>
        <row r="490">
          <cell r="H490">
            <v>20.2</v>
          </cell>
          <cell r="J490">
            <v>4.3499999999999996</v>
          </cell>
          <cell r="K490">
            <v>47.8</v>
          </cell>
          <cell r="L490" t="str">
            <v>Sea</v>
          </cell>
          <cell r="R490">
            <v>12.75</v>
          </cell>
        </row>
        <row r="491">
          <cell r="H491">
            <v>18.63</v>
          </cell>
          <cell r="J491">
            <v>26.18</v>
          </cell>
          <cell r="K491">
            <v>79.66</v>
          </cell>
          <cell r="L491" t="str">
            <v>Sea</v>
          </cell>
          <cell r="R491">
            <v>12.75</v>
          </cell>
        </row>
        <row r="492">
          <cell r="H492">
            <v>27.08</v>
          </cell>
          <cell r="J492">
            <v>15.59</v>
          </cell>
          <cell r="K492">
            <v>39.369999999999997</v>
          </cell>
          <cell r="L492" t="str">
            <v>Sea</v>
          </cell>
          <cell r="R492">
            <v>22.5</v>
          </cell>
        </row>
        <row r="493">
          <cell r="H493">
            <v>32.21</v>
          </cell>
          <cell r="J493">
            <v>32.68</v>
          </cell>
          <cell r="K493">
            <v>327.82</v>
          </cell>
          <cell r="L493" t="str">
            <v>Sea</v>
          </cell>
          <cell r="R493">
            <v>25</v>
          </cell>
        </row>
        <row r="494">
          <cell r="H494">
            <v>20.59</v>
          </cell>
          <cell r="J494">
            <v>78.03</v>
          </cell>
          <cell r="K494">
            <v>306.13</v>
          </cell>
          <cell r="L494" t="str">
            <v>Sea</v>
          </cell>
          <cell r="R494">
            <v>12.75</v>
          </cell>
        </row>
        <row r="495">
          <cell r="H495">
            <v>28.63</v>
          </cell>
          <cell r="J495">
            <v>29.08</v>
          </cell>
          <cell r="K495">
            <v>160.78</v>
          </cell>
          <cell r="L495" t="str">
            <v>Sea</v>
          </cell>
          <cell r="R495">
            <v>20</v>
          </cell>
        </row>
        <row r="496">
          <cell r="H496">
            <v>56.12</v>
          </cell>
          <cell r="J496">
            <v>38.26</v>
          </cell>
          <cell r="K496">
            <v>139.06</v>
          </cell>
          <cell r="L496" t="str">
            <v>Sea</v>
          </cell>
          <cell r="R496">
            <v>40</v>
          </cell>
        </row>
        <row r="497">
          <cell r="H497">
            <v>30.88</v>
          </cell>
          <cell r="J497">
            <v>4.42</v>
          </cell>
          <cell r="K497">
            <v>7.34</v>
          </cell>
          <cell r="L497" t="str">
            <v>Air</v>
          </cell>
          <cell r="R497">
            <v>25</v>
          </cell>
        </row>
        <row r="498">
          <cell r="H498">
            <v>63.8</v>
          </cell>
          <cell r="J498">
            <v>69.650000000000006</v>
          </cell>
          <cell r="K498">
            <v>739.55</v>
          </cell>
          <cell r="L498" t="str">
            <v>Sea</v>
          </cell>
          <cell r="R498">
            <v>40</v>
          </cell>
        </row>
        <row r="499">
          <cell r="H499">
            <v>44.61</v>
          </cell>
          <cell r="J499">
            <v>91.32</v>
          </cell>
          <cell r="K499">
            <v>739.18</v>
          </cell>
          <cell r="L499" t="str">
            <v>Air</v>
          </cell>
          <cell r="R499">
            <v>28</v>
          </cell>
        </row>
        <row r="500">
          <cell r="H500">
            <v>18.61</v>
          </cell>
          <cell r="J500">
            <v>5.39</v>
          </cell>
          <cell r="K500">
            <v>76.650000000000006</v>
          </cell>
          <cell r="L500" t="str">
            <v>Sea</v>
          </cell>
          <cell r="R500">
            <v>12.75</v>
          </cell>
        </row>
      </sheetData>
      <sheetData sheetId="3">
        <row r="2">
          <cell r="W2" t="str">
            <v>Order Count</v>
          </cell>
        </row>
        <row r="3">
          <cell r="E3" t="str">
            <v>EU</v>
          </cell>
          <cell r="F3">
            <v>115214.62000000004</v>
          </cell>
          <cell r="L3" t="str">
            <v>Travel Backpack</v>
          </cell>
          <cell r="N3">
            <v>19312.750000000004</v>
          </cell>
          <cell r="V3" t="str">
            <v>Low</v>
          </cell>
          <cell r="W3">
            <v>168</v>
          </cell>
        </row>
        <row r="4">
          <cell r="E4" t="str">
            <v>AS</v>
          </cell>
          <cell r="F4">
            <v>171168.39999999991</v>
          </cell>
          <cell r="L4" t="str">
            <v>Leather Wallet</v>
          </cell>
          <cell r="N4">
            <v>11364.289999999999</v>
          </cell>
          <cell r="V4" t="str">
            <v>Medium</v>
          </cell>
          <cell r="W4">
            <v>171</v>
          </cell>
        </row>
        <row r="5">
          <cell r="E5" t="str">
            <v>AF</v>
          </cell>
          <cell r="F5">
            <v>29495.040000000001</v>
          </cell>
          <cell r="L5" t="str">
            <v>Bluetooth Speaker</v>
          </cell>
          <cell r="N5">
            <v>11689.480000000001</v>
          </cell>
          <cell r="V5" t="str">
            <v>High</v>
          </cell>
          <cell r="W5">
            <v>161</v>
          </cell>
        </row>
        <row r="6">
          <cell r="E6" t="str">
            <v>SA</v>
          </cell>
          <cell r="F6">
            <v>34864.03</v>
          </cell>
          <cell r="L6" t="str">
            <v>Denim Jacket</v>
          </cell>
          <cell r="N6">
            <v>21393.769999999997</v>
          </cell>
        </row>
        <row r="7">
          <cell r="E7" t="str">
            <v>OC</v>
          </cell>
          <cell r="F7">
            <v>37017.46</v>
          </cell>
          <cell r="L7" t="str">
            <v>Wireless Mouse</v>
          </cell>
          <cell r="N7">
            <v>12566.510000000004</v>
          </cell>
        </row>
        <row r="8">
          <cell r="E8" t="str">
            <v>NA</v>
          </cell>
          <cell r="F8">
            <v>86945.07</v>
          </cell>
          <cell r="L8" t="str">
            <v>Glass Bowl Set</v>
          </cell>
          <cell r="N8">
            <v>9804.130000000001</v>
          </cell>
        </row>
        <row r="9">
          <cell r="L9" t="str">
            <v>Cotton Bedsheet</v>
          </cell>
          <cell r="N9">
            <v>13199.760000000002</v>
          </cell>
        </row>
        <row r="10">
          <cell r="L10" t="str">
            <v>Ceramic Vase</v>
          </cell>
          <cell r="N10">
            <v>12294.769999999995</v>
          </cell>
        </row>
        <row r="11">
          <cell r="L11" t="str">
            <v>LED Lamp</v>
          </cell>
          <cell r="N11">
            <v>7566.5000000000009</v>
          </cell>
        </row>
        <row r="12">
          <cell r="L12" t="str">
            <v>Table Lamp</v>
          </cell>
          <cell r="N12">
            <v>14378.440000000002</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dhika Jawale" refreshedDate="46224.984212152776" createdVersion="8" refreshedVersion="8" minRefreshableVersion="3" recordCount="10" xr:uid="{3EFB29FE-53BA-43D4-BBD7-E5BF260E1444}">
  <cacheSource type="worksheet">
    <worksheetSource ref="A5:R15" sheet="Q7_Pivot_Source"/>
  </cacheSource>
  <cacheFields count="21">
    <cacheField name="Order_ID" numFmtId="0">
      <sharedItems/>
    </cacheField>
    <cacheField name="Order_Date" numFmtId="164">
      <sharedItems containsSemiMixedTypes="0" containsNonDate="0" containsDate="1" containsString="0" minDate="2024-04-29T00:00:00" maxDate="2025-05-02T00:00:00" count="10">
        <d v="2025-01-20T00:00:00"/>
        <d v="2025-02-14T00:00:00"/>
        <d v="2024-04-29T00:00:00"/>
        <d v="2024-10-01T00:00:00"/>
        <d v="2025-02-15T00:00:00"/>
        <d v="2025-02-26T00:00:00"/>
        <d v="2024-06-13T00:00:00"/>
        <d v="2025-05-01T00:00:00"/>
        <d v="2024-09-13T00:00:00"/>
        <d v="2024-08-27T00:00:00"/>
      </sharedItems>
      <fieldGroup par="20"/>
    </cacheField>
    <cacheField name="Customer_Name" numFmtId="0">
      <sharedItems/>
    </cacheField>
    <cacheField name="Country" numFmtId="0">
      <sharedItems/>
    </cacheField>
    <cacheField name="Product" numFmtId="0">
      <sharedItems/>
    </cacheField>
    <cacheField name="Category" numFmtId="0">
      <sharedItems count="5">
        <s v="Accessories"/>
        <s v="Electronics"/>
        <s v="Apparel"/>
        <s v="Home Decor"/>
        <s v="Textiles"/>
      </sharedItems>
    </cacheField>
    <cacheField name="Quantity" numFmtId="0">
      <sharedItems containsSemiMixedTypes="0" containsString="0" containsNumber="1" containsInteger="1" minValue="3" maxValue="47"/>
    </cacheField>
    <cacheField name="Unit_Price" numFmtId="0">
      <sharedItems containsSemiMixedTypes="0" containsString="0" containsNumber="1" minValue="18.98" maxValue="69.22"/>
    </cacheField>
    <cacheField name="Total_Sales" numFmtId="0">
      <sharedItems containsSemiMixedTypes="0" containsString="0" containsNumber="1" minValue="94.56" maxValue="1176.74" count="10">
        <n v="1104.4000000000001"/>
        <n v="1056.99"/>
        <n v="968.32"/>
        <n v="338.16"/>
        <n v="1176.74"/>
        <n v="363.22"/>
        <n v="94.56"/>
        <n v="429.94"/>
        <n v="1150.0899999999999"/>
        <n v="512.46"/>
      </sharedItems>
    </cacheField>
    <cacheField name="Shipping_Cost" numFmtId="0">
      <sharedItems containsSemiMixedTypes="0" containsString="0" containsNumber="1" minValue="6.98" maxValue="73.95"/>
    </cacheField>
    <cacheField name="Profit" numFmtId="0">
      <sharedItems containsSemiMixedTypes="0" containsString="0" containsNumber="1" minValue="20.079999999999998" maxValue="430.8" count="10">
        <n v="355.04"/>
        <n v="403.4"/>
        <n v="282.37"/>
        <n v="134.77000000000001"/>
        <n v="430.8"/>
        <n v="87.86"/>
        <n v="20.079999999999998"/>
        <n v="66.91"/>
        <n v="360.29"/>
        <n v="139.32"/>
      </sharedItems>
    </cacheField>
    <cacheField name="Ship_Mode" numFmtId="0">
      <sharedItems/>
    </cacheField>
    <cacheField name="Order_Priority" numFmtId="0">
      <sharedItems count="3">
        <s v="Low"/>
        <s v="Medium"/>
        <s v="High"/>
      </sharedItems>
    </cacheField>
    <cacheField name="Region_Code" numFmtId="0">
      <sharedItems containsBlank="1" count="4">
        <m/>
        <s v="EU"/>
        <s v="SA"/>
        <s v="AS"/>
      </sharedItems>
    </cacheField>
    <cacheField name="Unit_Cost" numFmtId="0">
      <sharedItems containsSemiMixedTypes="0" containsString="0" containsNumber="1" minValue="12.75" maxValue="40"/>
    </cacheField>
    <cacheField name="Supplier" numFmtId="0">
      <sharedItems/>
    </cacheField>
    <cacheField name="Origin_Country" numFmtId="0">
      <sharedItems/>
    </cacheField>
    <cacheField name="Month" numFmtId="0">
      <sharedItems count="8">
        <s v="2025-01"/>
        <s v="2025-02"/>
        <s v="2024-04"/>
        <s v="2024-10"/>
        <s v="2024-06"/>
        <s v="2025-05"/>
        <s v="2024-09"/>
        <s v="2024-08"/>
      </sharedItems>
    </cacheField>
    <cacheField name="Months (Order_Date)" numFmtId="0" databaseField="0">
      <fieldGroup base="1">
        <rangePr groupBy="months" startDate="2024-04-29T00:00:00" endDate="2025-05-02T00:00:00"/>
        <groupItems count="14">
          <s v="&lt;29-04-2024"/>
          <s v="Jan"/>
          <s v="Feb"/>
          <s v="Mar"/>
          <s v="Apr"/>
          <s v="May"/>
          <s v="Jun"/>
          <s v="Jul"/>
          <s v="Aug"/>
          <s v="Sep"/>
          <s v="Oct"/>
          <s v="Nov"/>
          <s v="Dec"/>
          <s v="&gt;02-05-2025"/>
        </groupItems>
      </fieldGroup>
    </cacheField>
    <cacheField name="Quarters (Order_Date)" numFmtId="0" databaseField="0">
      <fieldGroup base="1">
        <rangePr groupBy="quarters" startDate="2024-04-29T00:00:00" endDate="2025-05-02T00:00:00"/>
        <groupItems count="6">
          <s v="&lt;29-04-2024"/>
          <s v="Qtr1"/>
          <s v="Qtr2"/>
          <s v="Qtr3"/>
          <s v="Qtr4"/>
          <s v="&gt;02-05-2025"/>
        </groupItems>
      </fieldGroup>
    </cacheField>
    <cacheField name="Years (Order_Date)" numFmtId="0" databaseField="0">
      <fieldGroup base="1">
        <rangePr groupBy="years" startDate="2024-04-29T00:00:00" endDate="2025-05-02T00:00:00"/>
        <groupItems count="4">
          <s v="&lt;29-04-2024"/>
          <s v="2024"/>
          <s v="2025"/>
          <s v="&gt;02-05-2025"/>
        </groupItems>
      </fieldGroup>
    </cacheField>
  </cacheFields>
  <extLst>
    <ext xmlns:x14="http://schemas.microsoft.com/office/spreadsheetml/2009/9/main" uri="{725AE2AE-9491-48be-B2B4-4EB974FC3084}">
      <x14:pivotCacheDefinition pivotCacheId="142473727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dhika Jawale" refreshedDate="46225.578478819443" createdVersion="8" refreshedVersion="8" minRefreshableVersion="3" recordCount="500" xr:uid="{782FEDE7-7856-439D-9195-D153C0C49A55}">
  <cacheSource type="worksheet">
    <worksheetSource ref="R5:U505" sheet="Q8_Charts"/>
  </cacheSource>
  <cacheFields count="4">
    <cacheField name="MONTHS" numFmtId="0">
      <sharedItems count="12">
        <s v="Jan"/>
        <s v="Feb"/>
        <s v="Apr"/>
        <s v="Oct"/>
        <s v="Jun"/>
        <s v="May"/>
        <s v="Sep"/>
        <s v="Aug"/>
        <s v="Dec"/>
        <s v="Mar"/>
        <s v="Jul"/>
        <s v="Nov"/>
      </sharedItems>
    </cacheField>
    <cacheField name="Order_Date" numFmtId="0">
      <sharedItems/>
    </cacheField>
    <cacheField name="Total_Sales" numFmtId="0">
      <sharedItems containsSemiMixedTypes="0" containsString="0" containsNumber="1" minValue="18.739999999999998" maxValue="3247.6"/>
    </cacheField>
    <cacheField name="Profit" numFmtId="0">
      <sharedItems containsSemiMixedTypes="0" containsString="0" containsNumber="1" minValue="2.74" maxValue="1240.6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dhika Jawale" refreshedDate="46225.582237731483" createdVersion="8" refreshedVersion="8" minRefreshableVersion="3" recordCount="500" xr:uid="{178A51D9-9A65-45A8-AE35-809BCAE428C2}">
  <cacheSource type="worksheet">
    <worksheetSource ref="R5:W505" sheet="Q8_Charts"/>
  </cacheSource>
  <cacheFields count="6">
    <cacheField name="MONTHS" numFmtId="0">
      <sharedItems/>
    </cacheField>
    <cacheField name="Order_Date" numFmtId="0">
      <sharedItems/>
    </cacheField>
    <cacheField name="Total_Sales" numFmtId="0">
      <sharedItems containsSemiMixedTypes="0" containsString="0" containsNumber="1" minValue="18.739999999999998" maxValue="3247.6"/>
    </cacheField>
    <cacheField name="Profit" numFmtId="0">
      <sharedItems containsSemiMixedTypes="0" containsString="0" containsNumber="1" minValue="2.74" maxValue="1240.69"/>
    </cacheField>
    <cacheField name="Region_Code" numFmtId="0">
      <sharedItems count="6">
        <s v="NA"/>
        <s v="EU"/>
        <s v="SA"/>
        <s v="AS"/>
        <s v="AF"/>
        <s v="OC"/>
      </sharedItems>
    </cacheField>
    <cacheField name="Category" numFmtId="0">
      <sharedItems count="5">
        <s v="Accessories"/>
        <s v="Electronics"/>
        <s v="Apparel"/>
        <s v="Home Decor"/>
        <s v="Textil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ORD_2025_0001"/>
    <x v="0"/>
    <s v="Smith, Emily"/>
    <s v="USA"/>
    <s v="Travel Backpack"/>
    <x v="0"/>
    <n v="20"/>
    <n v="55.22"/>
    <x v="0"/>
    <n v="49.36"/>
    <x v="0"/>
    <s v="Land"/>
    <x v="0"/>
    <x v="0"/>
    <n v="35"/>
    <s v="CarryPro"/>
    <s v="Vietnam"/>
    <x v="0"/>
  </r>
  <r>
    <s v="ORD_2025_0002"/>
    <x v="1"/>
    <s v="Brown, Laura"/>
    <s v="UK"/>
    <s v="Leather Wallet"/>
    <x v="0"/>
    <n v="33"/>
    <n v="32.03"/>
    <x v="1"/>
    <n v="59.59"/>
    <x v="1"/>
    <s v="Sea"/>
    <x v="1"/>
    <x v="1"/>
    <n v="18"/>
    <s v="CraftLine"/>
    <s v="Italy"/>
    <x v="1"/>
  </r>
  <r>
    <s v="ORD_2025_0003"/>
    <x v="2"/>
    <s v="Davis, John"/>
    <s v="Italy"/>
    <s v="Leather Wallet"/>
    <x v="0"/>
    <n v="34"/>
    <n v="28.48"/>
    <x v="2"/>
    <n v="73.95"/>
    <x v="2"/>
    <s v="Land"/>
    <x v="2"/>
    <x v="1"/>
    <n v="18"/>
    <s v="CraftLine"/>
    <s v="Italy"/>
    <x v="2"/>
  </r>
  <r>
    <s v="ORD_2025_0004"/>
    <x v="3"/>
    <s v="Miller, Daniel"/>
    <s v="Brazil"/>
    <s v="Bluetooth Speaker"/>
    <x v="1"/>
    <n v="6"/>
    <n v="56.36"/>
    <x v="3"/>
    <n v="11.39"/>
    <x v="3"/>
    <s v="Air"/>
    <x v="1"/>
    <x v="2"/>
    <n v="32"/>
    <s v="AudioTech Ltd."/>
    <s v="China"/>
    <x v="3"/>
  </r>
  <r>
    <s v="ORD_2025_0005"/>
    <x v="4"/>
    <s v="Johnson, Emma"/>
    <s v="Canada"/>
    <s v="Denim Jacket"/>
    <x v="2"/>
    <n v="17"/>
    <n v="69.22"/>
    <x v="4"/>
    <n v="65.94"/>
    <x v="4"/>
    <s v="Sea"/>
    <x v="0"/>
    <x v="0"/>
    <n v="40"/>
    <s v="BlueWear"/>
    <s v="Bangladesh"/>
    <x v="1"/>
  </r>
  <r>
    <s v="ORD_2025_0006"/>
    <x v="5"/>
    <s v="Johnson, Michael"/>
    <s v="Mexico"/>
    <s v="Wireless Mouse"/>
    <x v="1"/>
    <n v="13"/>
    <n v="27.94"/>
    <x v="5"/>
    <n v="15.36"/>
    <x v="5"/>
    <s v="Sea"/>
    <x v="0"/>
    <x v="0"/>
    <n v="20"/>
    <s v="ClickTech"/>
    <s v="China"/>
    <x v="1"/>
  </r>
  <r>
    <s v="ORD_2025_0007"/>
    <x v="6"/>
    <s v="Hernandez, Emma"/>
    <s v="UK"/>
    <s v="Glass Bowl Set"/>
    <x v="3"/>
    <n v="3"/>
    <n v="31.52"/>
    <x v="6"/>
    <n v="6.98"/>
    <x v="6"/>
    <s v="Land"/>
    <x v="2"/>
    <x v="1"/>
    <n v="22.5"/>
    <s v="ClearCraft"/>
    <s v="India"/>
    <x v="4"/>
  </r>
  <r>
    <s v="ORD_2025_0008"/>
    <x v="7"/>
    <s v="Miller, John"/>
    <s v="China"/>
    <s v="Cotton Bedsheet"/>
    <x v="4"/>
    <n v="14"/>
    <n v="30.71"/>
    <x v="7"/>
    <n v="13.03"/>
    <x v="7"/>
    <s v="Sea"/>
    <x v="0"/>
    <x v="3"/>
    <n v="25"/>
    <s v="SoftWeave"/>
    <s v="Turkey"/>
    <x v="5"/>
  </r>
  <r>
    <s v="ORD_2025_0009"/>
    <x v="8"/>
    <s v="Davis, John"/>
    <s v="USA"/>
    <s v="Ceramic Vase"/>
    <x v="3"/>
    <n v="47"/>
    <n v="24.47"/>
    <x v="8"/>
    <n v="61.3"/>
    <x v="8"/>
    <s v="Sea"/>
    <x v="0"/>
    <x v="0"/>
    <n v="15.5"/>
    <s v="Artisans Co."/>
    <s v="India"/>
    <x v="6"/>
  </r>
  <r>
    <s v="ORD_2025_0010"/>
    <x v="9"/>
    <s v="Martinez, Laura"/>
    <s v="Italy"/>
    <s v="LED Lamp"/>
    <x v="1"/>
    <n v="27"/>
    <n v="18.98"/>
    <x v="9"/>
    <n v="28.89"/>
    <x v="9"/>
    <s v="Sea"/>
    <x v="2"/>
    <x v="1"/>
    <n v="12.75"/>
    <s v="BrightHome"/>
    <s v="Vietnam"/>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2025-01-20"/>
    <n v="1104.4000000000001"/>
    <n v="355.04"/>
  </r>
  <r>
    <x v="1"/>
    <s v="2025-02-14"/>
    <n v="1056.99"/>
    <n v="403.4"/>
  </r>
  <r>
    <x v="2"/>
    <s v="2024-04-29"/>
    <n v="968.32"/>
    <n v="282.37"/>
  </r>
  <r>
    <x v="3"/>
    <s v="2024-10-01"/>
    <n v="338.16"/>
    <n v="134.77000000000001"/>
  </r>
  <r>
    <x v="1"/>
    <s v="2025-02-15"/>
    <n v="1176.74"/>
    <n v="430.8"/>
  </r>
  <r>
    <x v="1"/>
    <s v="2025-02-26"/>
    <n v="363.22"/>
    <n v="87.86"/>
  </r>
  <r>
    <x v="4"/>
    <s v="2024-06-13"/>
    <n v="94.56"/>
    <n v="20.079999999999998"/>
  </r>
  <r>
    <x v="5"/>
    <s v="2025-05-01"/>
    <n v="429.94"/>
    <n v="66.91"/>
  </r>
  <r>
    <x v="6"/>
    <s v="2024-09-13"/>
    <n v="1150.0899999999999"/>
    <n v="360.29"/>
  </r>
  <r>
    <x v="7"/>
    <s v="2024-08-27"/>
    <n v="512.46"/>
    <n v="139.32"/>
  </r>
  <r>
    <x v="2"/>
    <s v="2025-04-07"/>
    <n v="1850.88"/>
    <n v="675.73"/>
  </r>
  <r>
    <x v="8"/>
    <s v="2024-12-08"/>
    <n v="2879.73"/>
    <n v="779.44"/>
  </r>
  <r>
    <x v="6"/>
    <s v="2024-09-12"/>
    <n v="2447.56"/>
    <n v="802.16"/>
  </r>
  <r>
    <x v="1"/>
    <s v="2024-02-28"/>
    <n v="1390.4"/>
    <n v="560.36"/>
  </r>
  <r>
    <x v="9"/>
    <s v="2024-03-27"/>
    <n v="936.98"/>
    <n v="357.11"/>
  </r>
  <r>
    <x v="6"/>
    <s v="2024-09-21"/>
    <n v="1217.28"/>
    <n v="207.6"/>
  </r>
  <r>
    <x v="7"/>
    <s v="2024-08-02"/>
    <n v="1443.36"/>
    <n v="477.05"/>
  </r>
  <r>
    <x v="6"/>
    <s v="2024-09-29"/>
    <n v="193.02"/>
    <n v="58.57"/>
  </r>
  <r>
    <x v="10"/>
    <s v="2024-07-03"/>
    <n v="893.18"/>
    <n v="195.79"/>
  </r>
  <r>
    <x v="2"/>
    <s v="2025-04-23"/>
    <n v="1475.76"/>
    <n v="310.36"/>
  </r>
  <r>
    <x v="1"/>
    <s v="2025-02-27"/>
    <n v="412.62"/>
    <n v="155.44"/>
  </r>
  <r>
    <x v="9"/>
    <s v="2025-03-25"/>
    <n v="111"/>
    <n v="29.24"/>
  </r>
  <r>
    <x v="5"/>
    <s v="2024-05-14"/>
    <n v="955.68"/>
    <n v="164.11"/>
  </r>
  <r>
    <x v="1"/>
    <s v="2024-02-14"/>
    <n v="1085.6199999999999"/>
    <n v="313.47000000000003"/>
  </r>
  <r>
    <x v="2"/>
    <s v="2025-04-24"/>
    <n v="789.25"/>
    <n v="232.78"/>
  </r>
  <r>
    <x v="8"/>
    <s v="2024-12-22"/>
    <n v="379.12"/>
    <n v="151"/>
  </r>
  <r>
    <x v="4"/>
    <s v="2024-06-02"/>
    <n v="1377.48"/>
    <n v="221.76"/>
  </r>
  <r>
    <x v="7"/>
    <s v="2024-08-23"/>
    <n v="237.78"/>
    <n v="94.7"/>
  </r>
  <r>
    <x v="0"/>
    <s v="2025-01-30"/>
    <n v="2462.4"/>
    <n v="871.57"/>
  </r>
  <r>
    <x v="10"/>
    <s v="2024-07-15"/>
    <n v="44.98"/>
    <n v="17.170000000000002"/>
  </r>
  <r>
    <x v="2"/>
    <s v="2025-04-22"/>
    <n v="113.22"/>
    <n v="25.18"/>
  </r>
  <r>
    <x v="5"/>
    <s v="2024-05-05"/>
    <n v="477.6"/>
    <n v="157.06"/>
  </r>
  <r>
    <x v="2"/>
    <s v="2024-04-27"/>
    <n v="1123.98"/>
    <n v="234.78"/>
  </r>
  <r>
    <x v="0"/>
    <s v="2025-01-11"/>
    <n v="1127.78"/>
    <n v="366.63"/>
  </r>
  <r>
    <x v="3"/>
    <s v="2024-10-13"/>
    <n v="135.47999999999999"/>
    <n v="28.89"/>
  </r>
  <r>
    <x v="11"/>
    <s v="2024-11-10"/>
    <n v="646.5"/>
    <n v="228.61"/>
  </r>
  <r>
    <x v="8"/>
    <s v="2024-12-12"/>
    <n v="354.72"/>
    <n v="63.32"/>
  </r>
  <r>
    <x v="5"/>
    <s v="2024-05-01"/>
    <n v="141.44"/>
    <n v="32.78"/>
  </r>
  <r>
    <x v="0"/>
    <s v="2025-01-27"/>
    <n v="879.76"/>
    <n v="250.44"/>
  </r>
  <r>
    <x v="5"/>
    <s v="2024-05-02"/>
    <n v="1929.2"/>
    <n v="645.98"/>
  </r>
  <r>
    <x v="2"/>
    <s v="2025-04-15"/>
    <n v="1391.54"/>
    <n v="435.78"/>
  </r>
  <r>
    <x v="7"/>
    <s v="2024-08-27"/>
    <n v="768.6"/>
    <n v="258.52999999999997"/>
  </r>
  <r>
    <x v="5"/>
    <s v="2024-05-29"/>
    <n v="806.61"/>
    <n v="210.38"/>
  </r>
  <r>
    <x v="9"/>
    <s v="2025-03-29"/>
    <n v="2500.4"/>
    <n v="933.59"/>
  </r>
  <r>
    <x v="8"/>
    <s v="2024-12-06"/>
    <n v="286.55"/>
    <n v="75.16"/>
  </r>
  <r>
    <x v="1"/>
    <s v="2024-02-27"/>
    <n v="1226.82"/>
    <n v="430.27"/>
  </r>
  <r>
    <x v="11"/>
    <s v="2024-11-26"/>
    <n v="514.08000000000004"/>
    <n v="155.34"/>
  </r>
  <r>
    <x v="10"/>
    <s v="2024-07-23"/>
    <n v="556.02"/>
    <n v="220.02"/>
  </r>
  <r>
    <x v="8"/>
    <s v="2024-12-23"/>
    <n v="1100.6099999999999"/>
    <n v="284.51"/>
  </r>
  <r>
    <x v="0"/>
    <s v="2024-01-08"/>
    <n v="656.88"/>
    <n v="167.02"/>
  </r>
  <r>
    <x v="2"/>
    <s v="2025-04-20"/>
    <n v="1057.3900000000001"/>
    <n v="248.17"/>
  </r>
  <r>
    <x v="10"/>
    <s v="2024-07-07"/>
    <n v="1686.33"/>
    <n v="458.21"/>
  </r>
  <r>
    <x v="11"/>
    <s v="2024-11-03"/>
    <n v="1837.11"/>
    <n v="372.79"/>
  </r>
  <r>
    <x v="11"/>
    <s v="2024-11-06"/>
    <n v="915.66"/>
    <n v="145.72999999999999"/>
  </r>
  <r>
    <x v="2"/>
    <s v="2025-04-18"/>
    <n v="373.8"/>
    <n v="144.96"/>
  </r>
  <r>
    <x v="6"/>
    <s v="2024-09-08"/>
    <n v="463.36"/>
    <n v="139.71"/>
  </r>
  <r>
    <x v="5"/>
    <s v="2024-05-06"/>
    <n v="1082.4100000000001"/>
    <n v="186.29"/>
  </r>
  <r>
    <x v="5"/>
    <s v="2024-05-13"/>
    <n v="900.54"/>
    <n v="202.1"/>
  </r>
  <r>
    <x v="10"/>
    <s v="2024-07-20"/>
    <n v="1218.6600000000001"/>
    <n v="214.17"/>
  </r>
  <r>
    <x v="2"/>
    <s v="2025-04-05"/>
    <n v="1172.08"/>
    <n v="375.08"/>
  </r>
  <r>
    <x v="9"/>
    <s v="2025-03-20"/>
    <n v="3247.6"/>
    <n v="1240.69"/>
  </r>
  <r>
    <x v="7"/>
    <s v="2024-08-11"/>
    <n v="800.4"/>
    <n v="144.11000000000001"/>
  </r>
  <r>
    <x v="9"/>
    <s v="2024-03-18"/>
    <n v="1673.28"/>
    <n v="196.54"/>
  </r>
  <r>
    <x v="2"/>
    <s v="2025-04-09"/>
    <n v="1186.06"/>
    <n v="341.73"/>
  </r>
  <r>
    <x v="3"/>
    <s v="2024-10-14"/>
    <n v="46.18"/>
    <n v="12.66"/>
  </r>
  <r>
    <x v="8"/>
    <s v="2024-12-21"/>
    <n v="1872.4"/>
    <n v="549.39"/>
  </r>
  <r>
    <x v="9"/>
    <s v="2025-03-03"/>
    <n v="2451.4299999999998"/>
    <n v="960.39"/>
  </r>
  <r>
    <x v="9"/>
    <s v="2024-03-11"/>
    <n v="333.45"/>
    <n v="125.31"/>
  </r>
  <r>
    <x v="7"/>
    <s v="2024-08-28"/>
    <n v="288.45"/>
    <n v="35.729999999999997"/>
  </r>
  <r>
    <x v="4"/>
    <s v="2024-06-15"/>
    <n v="1548.36"/>
    <n v="559.6"/>
  </r>
  <r>
    <x v="7"/>
    <s v="2024-08-14"/>
    <n v="2108.04"/>
    <n v="676.34"/>
  </r>
  <r>
    <x v="4"/>
    <s v="2024-06-03"/>
    <n v="989.82"/>
    <n v="237"/>
  </r>
  <r>
    <x v="4"/>
    <s v="2024-06-07"/>
    <n v="350.82"/>
    <n v="100.26"/>
  </r>
  <r>
    <x v="3"/>
    <s v="2024-10-04"/>
    <n v="502.04"/>
    <n v="181.91"/>
  </r>
  <r>
    <x v="0"/>
    <s v="2024-01-02"/>
    <n v="1047.1300000000001"/>
    <n v="221.65"/>
  </r>
  <r>
    <x v="9"/>
    <s v="2025-03-29"/>
    <n v="1031.94"/>
    <n v="219.49"/>
  </r>
  <r>
    <x v="11"/>
    <s v="2024-11-24"/>
    <n v="1108.3800000000001"/>
    <n v="307.82"/>
  </r>
  <r>
    <x v="11"/>
    <s v="2024-11-02"/>
    <n v="1486.5"/>
    <n v="389.73"/>
  </r>
  <r>
    <x v="9"/>
    <s v="2025-03-21"/>
    <n v="801.84"/>
    <n v="153.79"/>
  </r>
  <r>
    <x v="0"/>
    <s v="2024-01-06"/>
    <n v="1169.28"/>
    <n v="343.68"/>
  </r>
  <r>
    <x v="6"/>
    <s v="2024-09-28"/>
    <n v="1118"/>
    <n v="180.41"/>
  </r>
  <r>
    <x v="1"/>
    <s v="2025-02-28"/>
    <n v="843.99"/>
    <n v="223.59"/>
  </r>
  <r>
    <x v="4"/>
    <s v="2024-06-02"/>
    <n v="433.42"/>
    <n v="69.13"/>
  </r>
  <r>
    <x v="11"/>
    <s v="2024-11-18"/>
    <n v="1115.8"/>
    <n v="175.93"/>
  </r>
  <r>
    <x v="11"/>
    <s v="2024-11-12"/>
    <n v="750.59"/>
    <n v="102.79"/>
  </r>
  <r>
    <x v="11"/>
    <s v="2024-11-01"/>
    <n v="1500.8"/>
    <n v="312.25"/>
  </r>
  <r>
    <x v="8"/>
    <s v="2024-12-21"/>
    <n v="1481.85"/>
    <n v="400.25"/>
  </r>
  <r>
    <x v="1"/>
    <s v="2025-02-21"/>
    <n v="1968.3"/>
    <n v="312.75"/>
  </r>
  <r>
    <x v="9"/>
    <s v="2025-03-08"/>
    <n v="221.67"/>
    <n v="68.64"/>
  </r>
  <r>
    <x v="9"/>
    <s v="2025-03-15"/>
    <n v="130.74"/>
    <n v="29.99"/>
  </r>
  <r>
    <x v="10"/>
    <s v="2024-07-07"/>
    <n v="1343.89"/>
    <n v="500.16"/>
  </r>
  <r>
    <x v="6"/>
    <s v="2024-09-12"/>
    <n v="1274.1400000000001"/>
    <n v="428.41"/>
  </r>
  <r>
    <x v="10"/>
    <s v="2024-07-29"/>
    <n v="100.52"/>
    <n v="22.92"/>
  </r>
  <r>
    <x v="2"/>
    <s v="2025-04-08"/>
    <n v="502.84"/>
    <n v="73.33"/>
  </r>
  <r>
    <x v="6"/>
    <s v="2024-09-14"/>
    <n v="931.06"/>
    <n v="350"/>
  </r>
  <r>
    <x v="9"/>
    <s v="2025-03-01"/>
    <n v="1677.9"/>
    <n v="638.95000000000005"/>
  </r>
  <r>
    <x v="10"/>
    <s v="2024-07-28"/>
    <n v="1899.24"/>
    <n v="456.33"/>
  </r>
  <r>
    <x v="7"/>
    <s v="2024-08-01"/>
    <n v="45.84"/>
    <n v="16.579999999999998"/>
  </r>
  <r>
    <x v="2"/>
    <s v="2025-04-02"/>
    <n v="1000.92"/>
    <n v="269.04000000000002"/>
  </r>
  <r>
    <x v="3"/>
    <s v="2024-10-25"/>
    <n v="1092.9000000000001"/>
    <n v="280.93"/>
  </r>
  <r>
    <x v="4"/>
    <s v="2024-06-25"/>
    <n v="200.43"/>
    <n v="72.47"/>
  </r>
  <r>
    <x v="6"/>
    <s v="2024-09-12"/>
    <n v="718.9"/>
    <n v="269.64999999999998"/>
  </r>
  <r>
    <x v="10"/>
    <s v="2024-07-30"/>
    <n v="516.35"/>
    <n v="144.16999999999999"/>
  </r>
  <r>
    <x v="7"/>
    <s v="2024-08-24"/>
    <n v="657.9"/>
    <n v="168.24"/>
  </r>
  <r>
    <x v="6"/>
    <s v="2024-09-11"/>
    <n v="942.56"/>
    <n v="343.16"/>
  </r>
  <r>
    <x v="1"/>
    <s v="2025-02-04"/>
    <n v="168.63"/>
    <n v="41.07"/>
  </r>
  <r>
    <x v="2"/>
    <s v="2024-04-02"/>
    <n v="509.52"/>
    <n v="69.069999999999993"/>
  </r>
  <r>
    <x v="6"/>
    <s v="2024-09-22"/>
    <n v="1151"/>
    <n v="306.7"/>
  </r>
  <r>
    <x v="9"/>
    <s v="2024-03-11"/>
    <n v="136.08000000000001"/>
    <n v="25.24"/>
  </r>
  <r>
    <x v="3"/>
    <s v="2024-10-26"/>
    <n v="423.52"/>
    <n v="119.65"/>
  </r>
  <r>
    <x v="6"/>
    <s v="2024-09-30"/>
    <n v="1381.76"/>
    <n v="269.22000000000003"/>
  </r>
  <r>
    <x v="4"/>
    <s v="2024-06-29"/>
    <n v="546.65"/>
    <n v="83.93"/>
  </r>
  <r>
    <x v="0"/>
    <s v="2025-01-07"/>
    <n v="1030.4000000000001"/>
    <n v="328.68"/>
  </r>
  <r>
    <x v="11"/>
    <s v="2024-11-15"/>
    <n v="292.95"/>
    <n v="53.3"/>
  </r>
  <r>
    <x v="10"/>
    <s v="2024-07-29"/>
    <n v="937.8"/>
    <n v="185"/>
  </r>
  <r>
    <x v="1"/>
    <s v="2024-02-07"/>
    <n v="1235.52"/>
    <n v="372.11"/>
  </r>
  <r>
    <x v="6"/>
    <s v="2024-09-29"/>
    <n v="1002.44"/>
    <n v="285.39"/>
  </r>
  <r>
    <x v="2"/>
    <s v="2025-04-08"/>
    <n v="123.62"/>
    <n v="27.42"/>
  </r>
  <r>
    <x v="11"/>
    <s v="2024-11-12"/>
    <n v="1339"/>
    <n v="336.91"/>
  </r>
  <r>
    <x v="2"/>
    <s v="2025-04-12"/>
    <n v="675"/>
    <n v="241.01"/>
  </r>
  <r>
    <x v="10"/>
    <s v="2024-07-24"/>
    <n v="76"/>
    <n v="21.22"/>
  </r>
  <r>
    <x v="5"/>
    <s v="2024-05-14"/>
    <n v="639.12"/>
    <n v="235.2"/>
  </r>
  <r>
    <x v="0"/>
    <s v="2025-01-04"/>
    <n v="1121.6400000000001"/>
    <n v="423.56"/>
  </r>
  <r>
    <x v="8"/>
    <s v="2024-12-17"/>
    <n v="1170.3900000000001"/>
    <n v="134.96"/>
  </r>
  <r>
    <x v="8"/>
    <s v="2024-12-29"/>
    <n v="156.55000000000001"/>
    <n v="40.01"/>
  </r>
  <r>
    <x v="7"/>
    <s v="2024-08-31"/>
    <n v="1551.9"/>
    <n v="301.64"/>
  </r>
  <r>
    <x v="0"/>
    <s v="2025-01-25"/>
    <n v="2065.3200000000002"/>
    <n v="530.98"/>
  </r>
  <r>
    <x v="11"/>
    <s v="2024-11-29"/>
    <n v="522.34"/>
    <n v="120.97"/>
  </r>
  <r>
    <x v="2"/>
    <s v="2025-04-11"/>
    <n v="1454.1"/>
    <n v="203.02"/>
  </r>
  <r>
    <x v="2"/>
    <s v="2025-04-13"/>
    <n v="735.76"/>
    <n v="140.80000000000001"/>
  </r>
  <r>
    <x v="3"/>
    <s v="2024-10-05"/>
    <n v="1381.38"/>
    <n v="535.54"/>
  </r>
  <r>
    <x v="2"/>
    <s v="2025-04-16"/>
    <n v="1305.48"/>
    <n v="322.55"/>
  </r>
  <r>
    <x v="10"/>
    <s v="2024-07-11"/>
    <n v="1322.86"/>
    <n v="388.8"/>
  </r>
  <r>
    <x v="0"/>
    <s v="2025-01-04"/>
    <n v="860.58"/>
    <n v="298.57"/>
  </r>
  <r>
    <x v="8"/>
    <s v="2024-12-25"/>
    <n v="1965.6"/>
    <n v="375.26"/>
  </r>
  <r>
    <x v="10"/>
    <s v="2024-07-27"/>
    <n v="27.49"/>
    <n v="11.36"/>
  </r>
  <r>
    <x v="0"/>
    <s v="2024-01-10"/>
    <n v="2055.5"/>
    <n v="359.89"/>
  </r>
  <r>
    <x v="8"/>
    <s v="2024-12-27"/>
    <n v="459.72"/>
    <n v="153.69999999999999"/>
  </r>
  <r>
    <x v="0"/>
    <s v="2025-01-14"/>
    <n v="190.08"/>
    <n v="67.849999999999994"/>
  </r>
  <r>
    <x v="7"/>
    <s v="2024-08-22"/>
    <n v="883.92"/>
    <n v="125.77"/>
  </r>
  <r>
    <x v="9"/>
    <s v="2024-03-18"/>
    <n v="1360.53"/>
    <n v="174.13"/>
  </r>
  <r>
    <x v="0"/>
    <s v="2025-01-13"/>
    <n v="1281.1199999999999"/>
    <n v="376.26"/>
  </r>
  <r>
    <x v="2"/>
    <s v="2025-04-07"/>
    <n v="117.96"/>
    <n v="35.99"/>
  </r>
  <r>
    <x v="8"/>
    <s v="2024-12-29"/>
    <n v="432"/>
    <n v="103.32"/>
  </r>
  <r>
    <x v="8"/>
    <s v="2024-12-10"/>
    <n v="182.15"/>
    <n v="61.83"/>
  </r>
  <r>
    <x v="10"/>
    <s v="2024-07-19"/>
    <n v="1036.53"/>
    <n v="400.43"/>
  </r>
  <r>
    <x v="5"/>
    <s v="2024-05-23"/>
    <n v="475"/>
    <n v="179.05"/>
  </r>
  <r>
    <x v="4"/>
    <s v="2024-06-15"/>
    <n v="2356.11"/>
    <n v="685.89"/>
  </r>
  <r>
    <x v="3"/>
    <s v="2024-10-08"/>
    <n v="1985.75"/>
    <n v="553"/>
  </r>
  <r>
    <x v="9"/>
    <s v="2024-03-27"/>
    <n v="688.68"/>
    <n v="219.9"/>
  </r>
  <r>
    <x v="1"/>
    <s v="2024-02-29"/>
    <n v="1446.46"/>
    <n v="469.22"/>
  </r>
  <r>
    <x v="9"/>
    <s v="2024-03-03"/>
    <n v="2158.65"/>
    <n v="736.55"/>
  </r>
  <r>
    <x v="9"/>
    <s v="2024-03-26"/>
    <n v="634.48"/>
    <n v="114.93"/>
  </r>
  <r>
    <x v="1"/>
    <s v="2025-02-09"/>
    <n v="1203.3599999999999"/>
    <n v="429.43"/>
  </r>
  <r>
    <x v="5"/>
    <s v="2024-05-06"/>
    <n v="946.43"/>
    <n v="316.27999999999997"/>
  </r>
  <r>
    <x v="8"/>
    <s v="2024-12-03"/>
    <n v="1023"/>
    <n v="216.56"/>
  </r>
  <r>
    <x v="3"/>
    <s v="2024-10-17"/>
    <n v="667.52"/>
    <n v="149.9"/>
  </r>
  <r>
    <x v="6"/>
    <s v="2024-09-14"/>
    <n v="442.98"/>
    <n v="55.99"/>
  </r>
  <r>
    <x v="3"/>
    <s v="2024-10-15"/>
    <n v="1166.94"/>
    <n v="412.66"/>
  </r>
  <r>
    <x v="10"/>
    <s v="2024-07-03"/>
    <n v="1446.48"/>
    <n v="361.78"/>
  </r>
  <r>
    <x v="10"/>
    <s v="2024-07-01"/>
    <n v="267.3"/>
    <n v="57.09"/>
  </r>
  <r>
    <x v="1"/>
    <s v="2024-02-01"/>
    <n v="544.5"/>
    <n v="207.91"/>
  </r>
  <r>
    <x v="4"/>
    <s v="2024-06-23"/>
    <n v="1382.76"/>
    <n v="477.59"/>
  </r>
  <r>
    <x v="1"/>
    <s v="2024-02-28"/>
    <n v="538"/>
    <n v="123.77"/>
  </r>
  <r>
    <x v="1"/>
    <s v="2024-02-12"/>
    <n v="131.25"/>
    <n v="37.9"/>
  </r>
  <r>
    <x v="4"/>
    <s v="2024-06-07"/>
    <n v="314.8"/>
    <n v="54.57"/>
  </r>
  <r>
    <x v="7"/>
    <s v="2024-08-21"/>
    <n v="649.11"/>
    <n v="190.69"/>
  </r>
  <r>
    <x v="5"/>
    <s v="2025-05-11"/>
    <n v="535.63"/>
    <n v="152.66999999999999"/>
  </r>
  <r>
    <x v="11"/>
    <s v="2024-11-20"/>
    <n v="1612.44"/>
    <n v="283.83999999999997"/>
  </r>
  <r>
    <x v="2"/>
    <s v="2024-04-23"/>
    <n v="56.58"/>
    <n v="7.47"/>
  </r>
  <r>
    <x v="11"/>
    <s v="2024-11-01"/>
    <n v="458.6"/>
    <n v="164.2"/>
  </r>
  <r>
    <x v="1"/>
    <s v="2024-02-13"/>
    <n v="24.64"/>
    <n v="5.99"/>
  </r>
  <r>
    <x v="10"/>
    <s v="2024-07-30"/>
    <n v="1117.2"/>
    <n v="306.64"/>
  </r>
  <r>
    <x v="3"/>
    <s v="2024-10-31"/>
    <n v="1424"/>
    <n v="260.08"/>
  </r>
  <r>
    <x v="7"/>
    <s v="2024-08-26"/>
    <n v="2396.8200000000002"/>
    <n v="827.97"/>
  </r>
  <r>
    <x v="3"/>
    <s v="2024-10-27"/>
    <n v="489.82"/>
    <n v="166.92"/>
  </r>
  <r>
    <x v="1"/>
    <s v="2024-02-26"/>
    <n v="1308.49"/>
    <n v="499.15"/>
  </r>
  <r>
    <x v="8"/>
    <s v="2024-12-03"/>
    <n v="318.07"/>
    <n v="32.54"/>
  </r>
  <r>
    <x v="9"/>
    <s v="2024-03-11"/>
    <n v="1050.28"/>
    <n v="334.77"/>
  </r>
  <r>
    <x v="6"/>
    <s v="2024-09-07"/>
    <n v="514.91999999999996"/>
    <n v="115.74"/>
  </r>
  <r>
    <x v="11"/>
    <s v="2024-11-21"/>
    <n v="1060.29"/>
    <n v="187.95"/>
  </r>
  <r>
    <x v="8"/>
    <s v="2024-12-03"/>
    <n v="1770.38"/>
    <n v="206.98"/>
  </r>
  <r>
    <x v="9"/>
    <s v="2024-03-16"/>
    <n v="732.6"/>
    <n v="206.17"/>
  </r>
  <r>
    <x v="9"/>
    <s v="2024-03-21"/>
    <n v="72.239999999999995"/>
    <n v="16.579999999999998"/>
  </r>
  <r>
    <x v="8"/>
    <s v="2024-12-25"/>
    <n v="2223.6"/>
    <n v="749.03"/>
  </r>
  <r>
    <x v="2"/>
    <s v="2025-04-08"/>
    <n v="157.9"/>
    <n v="29.17"/>
  </r>
  <r>
    <x v="2"/>
    <s v="2024-04-14"/>
    <n v="1333.5"/>
    <n v="353.35"/>
  </r>
  <r>
    <x v="9"/>
    <s v="2024-03-30"/>
    <n v="351.56"/>
    <n v="69.59"/>
  </r>
  <r>
    <x v="2"/>
    <s v="2025-04-09"/>
    <n v="1600.51"/>
    <n v="482.45"/>
  </r>
  <r>
    <x v="2"/>
    <s v="2024-04-20"/>
    <n v="2095.08"/>
    <n v="824.95"/>
  </r>
  <r>
    <x v="11"/>
    <s v="2024-11-18"/>
    <n v="400.3"/>
    <n v="149.5"/>
  </r>
  <r>
    <x v="9"/>
    <s v="2025-03-28"/>
    <n v="719.9"/>
    <n v="212.02"/>
  </r>
  <r>
    <x v="5"/>
    <s v="2025-05-01"/>
    <n v="1864.43"/>
    <n v="509.37"/>
  </r>
  <r>
    <x v="8"/>
    <s v="2024-12-18"/>
    <n v="644.86"/>
    <n v="120.36"/>
  </r>
  <r>
    <x v="10"/>
    <s v="2024-07-11"/>
    <n v="71.84"/>
    <n v="29.5"/>
  </r>
  <r>
    <x v="5"/>
    <s v="2024-05-24"/>
    <n v="1529.76"/>
    <n v="479.91"/>
  </r>
  <r>
    <x v="8"/>
    <s v="2024-12-09"/>
    <n v="3220"/>
    <n v="1219.8900000000001"/>
  </r>
  <r>
    <x v="2"/>
    <s v="2025-04-29"/>
    <n v="2596.5"/>
    <n v="918.98"/>
  </r>
  <r>
    <x v="5"/>
    <s v="2025-05-05"/>
    <n v="465.29"/>
    <n v="154.75"/>
  </r>
  <r>
    <x v="2"/>
    <s v="2025-04-20"/>
    <n v="229.6"/>
    <n v="31.34"/>
  </r>
  <r>
    <x v="7"/>
    <s v="2024-08-26"/>
    <n v="2193.6"/>
    <n v="704.34"/>
  </r>
  <r>
    <x v="2"/>
    <s v="2024-04-07"/>
    <n v="255.01"/>
    <n v="73.709999999999994"/>
  </r>
  <r>
    <x v="9"/>
    <s v="2025-03-22"/>
    <n v="759.72"/>
    <n v="222.38"/>
  </r>
  <r>
    <x v="1"/>
    <s v="2024-02-29"/>
    <n v="1359.05"/>
    <n v="477.63"/>
  </r>
  <r>
    <x v="3"/>
    <s v="2024-10-05"/>
    <n v="1277.6400000000001"/>
    <n v="461.83"/>
  </r>
  <r>
    <x v="0"/>
    <s v="2025-01-28"/>
    <n v="318.95999999999998"/>
    <n v="47.01"/>
  </r>
  <r>
    <x v="2"/>
    <s v="2025-04-24"/>
    <n v="631"/>
    <n v="204.07"/>
  </r>
  <r>
    <x v="5"/>
    <s v="2024-05-19"/>
    <n v="165.3"/>
    <n v="60.13"/>
  </r>
  <r>
    <x v="1"/>
    <s v="2024-02-15"/>
    <n v="515.05999999999995"/>
    <n v="101.76"/>
  </r>
  <r>
    <x v="2"/>
    <s v="2025-04-03"/>
    <n v="906.78"/>
    <n v="196.18"/>
  </r>
  <r>
    <x v="10"/>
    <s v="2024-07-05"/>
    <n v="479.91"/>
    <n v="108.03"/>
  </r>
  <r>
    <x v="9"/>
    <s v="2024-03-06"/>
    <n v="1060.92"/>
    <n v="227.87"/>
  </r>
  <r>
    <x v="6"/>
    <s v="2024-09-20"/>
    <n v="54.54"/>
    <n v="17.09"/>
  </r>
  <r>
    <x v="11"/>
    <s v="2024-11-22"/>
    <n v="2157.6"/>
    <n v="665.19"/>
  </r>
  <r>
    <x v="2"/>
    <s v="2025-04-11"/>
    <n v="657.8"/>
    <n v="184.44"/>
  </r>
  <r>
    <x v="11"/>
    <s v="2024-11-12"/>
    <n v="469.8"/>
    <n v="171.28"/>
  </r>
  <r>
    <x v="3"/>
    <s v="2024-10-02"/>
    <n v="786.45"/>
    <n v="136.05000000000001"/>
  </r>
  <r>
    <x v="8"/>
    <s v="2024-12-15"/>
    <n v="713.5"/>
    <n v="163.12"/>
  </r>
  <r>
    <x v="1"/>
    <s v="2025-02-28"/>
    <n v="418.77"/>
    <n v="114.75"/>
  </r>
  <r>
    <x v="3"/>
    <s v="2024-10-22"/>
    <n v="347.76"/>
    <n v="47.42"/>
  </r>
  <r>
    <x v="4"/>
    <s v="2024-06-07"/>
    <n v="2100.84"/>
    <n v="835.19"/>
  </r>
  <r>
    <x v="0"/>
    <s v="2025-01-06"/>
    <n v="642.07000000000005"/>
    <n v="239.75"/>
  </r>
  <r>
    <x v="5"/>
    <s v="2025-05-07"/>
    <n v="342.9"/>
    <n v="45.74"/>
  </r>
  <r>
    <x v="6"/>
    <s v="2024-09-19"/>
    <n v="1378.99"/>
    <n v="361.07"/>
  </r>
  <r>
    <x v="9"/>
    <s v="2024-03-23"/>
    <n v="2648.45"/>
    <n v="866.65"/>
  </r>
  <r>
    <x v="7"/>
    <s v="2024-08-18"/>
    <n v="661.98"/>
    <n v="191.21"/>
  </r>
  <r>
    <x v="11"/>
    <s v="2024-11-07"/>
    <n v="1748.32"/>
    <n v="251.85"/>
  </r>
  <r>
    <x v="9"/>
    <s v="2025-03-02"/>
    <n v="710.47"/>
    <n v="116.73"/>
  </r>
  <r>
    <x v="3"/>
    <s v="2024-10-01"/>
    <n v="834.4"/>
    <n v="325.29000000000002"/>
  </r>
  <r>
    <x v="1"/>
    <s v="2025-02-21"/>
    <n v="85.08"/>
    <n v="13.12"/>
  </r>
  <r>
    <x v="11"/>
    <s v="2024-11-29"/>
    <n v="619.64"/>
    <n v="245.44"/>
  </r>
  <r>
    <x v="8"/>
    <s v="2024-12-17"/>
    <n v="773.36"/>
    <n v="239.48"/>
  </r>
  <r>
    <x v="9"/>
    <s v="2025-03-07"/>
    <n v="1369.2"/>
    <n v="291.17"/>
  </r>
  <r>
    <x v="0"/>
    <s v="2025-01-08"/>
    <n v="469.8"/>
    <n v="78.3"/>
  </r>
  <r>
    <x v="9"/>
    <s v="2025-03-29"/>
    <n v="1349.74"/>
    <n v="474.88"/>
  </r>
  <r>
    <x v="5"/>
    <s v="2025-05-11"/>
    <n v="577.53"/>
    <n v="60.38"/>
  </r>
  <r>
    <x v="1"/>
    <s v="2024-02-09"/>
    <n v="1036.6400000000001"/>
    <n v="237.87"/>
  </r>
  <r>
    <x v="11"/>
    <s v="2024-11-20"/>
    <n v="1548.5"/>
    <n v="566.41"/>
  </r>
  <r>
    <x v="1"/>
    <s v="2024-02-28"/>
    <n v="1035.47"/>
    <n v="301.38"/>
  </r>
  <r>
    <x v="5"/>
    <s v="2025-05-12"/>
    <n v="778.75"/>
    <n v="231.3"/>
  </r>
  <r>
    <x v="10"/>
    <s v="2024-07-26"/>
    <n v="933.6"/>
    <n v="342.72"/>
  </r>
  <r>
    <x v="1"/>
    <s v="2025-02-03"/>
    <n v="333.88"/>
    <n v="48.15"/>
  </r>
  <r>
    <x v="4"/>
    <s v="2024-06-14"/>
    <n v="2121.9499999999998"/>
    <n v="790.56"/>
  </r>
  <r>
    <x v="1"/>
    <s v="2025-02-19"/>
    <n v="1917"/>
    <n v="237.73"/>
  </r>
  <r>
    <x v="4"/>
    <s v="2024-06-22"/>
    <n v="795.5"/>
    <n v="258.17"/>
  </r>
  <r>
    <x v="5"/>
    <s v="2025-05-01"/>
    <n v="616.59"/>
    <n v="168.83"/>
  </r>
  <r>
    <x v="11"/>
    <s v="2024-11-05"/>
    <n v="108.04"/>
    <n v="31.31"/>
  </r>
  <r>
    <x v="5"/>
    <s v="2024-05-05"/>
    <n v="1267.2"/>
    <n v="461.88"/>
  </r>
  <r>
    <x v="0"/>
    <s v="2024-01-15"/>
    <n v="1040.1600000000001"/>
    <n v="398.98"/>
  </r>
  <r>
    <x v="1"/>
    <s v="2025-02-23"/>
    <n v="2656.6"/>
    <n v="1116.3"/>
  </r>
  <r>
    <x v="4"/>
    <s v="2024-06-28"/>
    <n v="698.64"/>
    <n v="164.65"/>
  </r>
  <r>
    <x v="0"/>
    <s v="2024-01-19"/>
    <n v="167.46"/>
    <n v="22.45"/>
  </r>
  <r>
    <x v="1"/>
    <s v="2024-02-09"/>
    <n v="764.12"/>
    <n v="108.34"/>
  </r>
  <r>
    <x v="1"/>
    <s v="2024-02-25"/>
    <n v="1686.36"/>
    <n v="558.55999999999995"/>
  </r>
  <r>
    <x v="4"/>
    <s v="2024-06-22"/>
    <n v="521.92999999999995"/>
    <n v="196.14"/>
  </r>
  <r>
    <x v="11"/>
    <s v="2024-11-02"/>
    <n v="380.38"/>
    <n v="110.91"/>
  </r>
  <r>
    <x v="0"/>
    <s v="2025-01-08"/>
    <n v="104.68"/>
    <n v="26.35"/>
  </r>
  <r>
    <x v="0"/>
    <s v="2024-01-13"/>
    <n v="1604.76"/>
    <n v="576.25"/>
  </r>
  <r>
    <x v="6"/>
    <s v="2024-09-23"/>
    <n v="622.35"/>
    <n v="115.91"/>
  </r>
  <r>
    <x v="3"/>
    <s v="2024-10-10"/>
    <n v="722.76"/>
    <n v="223.63"/>
  </r>
  <r>
    <x v="4"/>
    <s v="2024-06-26"/>
    <n v="709.4"/>
    <n v="290.76"/>
  </r>
  <r>
    <x v="0"/>
    <s v="2024-01-05"/>
    <n v="650.76"/>
    <n v="187.33"/>
  </r>
  <r>
    <x v="6"/>
    <s v="2024-09-09"/>
    <n v="388"/>
    <n v="51.61"/>
  </r>
  <r>
    <x v="5"/>
    <s v="2024-05-04"/>
    <n v="101.52"/>
    <n v="24.2"/>
  </r>
  <r>
    <x v="9"/>
    <s v="2024-03-31"/>
    <n v="422.4"/>
    <n v="90.32"/>
  </r>
  <r>
    <x v="8"/>
    <s v="2024-12-31"/>
    <n v="58.15"/>
    <n v="18.95"/>
  </r>
  <r>
    <x v="9"/>
    <s v="2024-03-09"/>
    <n v="1470.72"/>
    <n v="363.95"/>
  </r>
  <r>
    <x v="2"/>
    <s v="2025-04-30"/>
    <n v="622.34"/>
    <n v="117.69"/>
  </r>
  <r>
    <x v="2"/>
    <s v="2024-04-09"/>
    <n v="983.16"/>
    <n v="384.55"/>
  </r>
  <r>
    <x v="9"/>
    <s v="2025-03-17"/>
    <n v="684.9"/>
    <n v="270.08999999999997"/>
  </r>
  <r>
    <x v="8"/>
    <s v="2024-12-17"/>
    <n v="1833.78"/>
    <n v="535.77"/>
  </r>
  <r>
    <x v="2"/>
    <s v="2025-04-27"/>
    <n v="953.04"/>
    <n v="265.74"/>
  </r>
  <r>
    <x v="3"/>
    <s v="2024-10-06"/>
    <n v="190.14"/>
    <n v="42.62"/>
  </r>
  <r>
    <x v="4"/>
    <s v="2024-06-17"/>
    <n v="1012.32"/>
    <n v="320.08"/>
  </r>
  <r>
    <x v="5"/>
    <s v="2024-05-24"/>
    <n v="2233.91"/>
    <n v="460"/>
  </r>
  <r>
    <x v="11"/>
    <s v="2024-11-13"/>
    <n v="288.24"/>
    <n v="38.44"/>
  </r>
  <r>
    <x v="0"/>
    <s v="2025-01-06"/>
    <n v="500.48"/>
    <n v="67.790000000000006"/>
  </r>
  <r>
    <x v="3"/>
    <s v="2024-10-27"/>
    <n v="935.88"/>
    <n v="186.51"/>
  </r>
  <r>
    <x v="4"/>
    <s v="2024-06-04"/>
    <n v="1611.35"/>
    <n v="618.57000000000005"/>
  </r>
  <r>
    <x v="7"/>
    <s v="2024-08-24"/>
    <n v="850.92"/>
    <n v="177.49"/>
  </r>
  <r>
    <x v="5"/>
    <s v="2025-05-14"/>
    <n v="1035.44"/>
    <n v="226.37"/>
  </r>
  <r>
    <x v="4"/>
    <s v="2024-06-29"/>
    <n v="966.14"/>
    <n v="373.47"/>
  </r>
  <r>
    <x v="5"/>
    <s v="2024-05-23"/>
    <n v="820.41"/>
    <n v="177.26"/>
  </r>
  <r>
    <x v="0"/>
    <s v="2024-01-30"/>
    <n v="768.79"/>
    <n v="303.63"/>
  </r>
  <r>
    <x v="8"/>
    <s v="2024-12-30"/>
    <n v="638.77"/>
    <n v="209.88"/>
  </r>
  <r>
    <x v="5"/>
    <s v="2025-05-05"/>
    <n v="146.28"/>
    <n v="39.83"/>
  </r>
  <r>
    <x v="5"/>
    <s v="2024-05-03"/>
    <n v="1492.54"/>
    <n v="460.72"/>
  </r>
  <r>
    <x v="6"/>
    <s v="2024-09-29"/>
    <n v="880.25"/>
    <n v="140.44999999999999"/>
  </r>
  <r>
    <x v="0"/>
    <s v="2024-01-25"/>
    <n v="1658.34"/>
    <n v="556.59"/>
  </r>
  <r>
    <x v="4"/>
    <s v="2024-06-16"/>
    <n v="206.25"/>
    <n v="24.08"/>
  </r>
  <r>
    <x v="1"/>
    <s v="2024-02-13"/>
    <n v="1171.42"/>
    <n v="372.47"/>
  </r>
  <r>
    <x v="10"/>
    <s v="2024-07-21"/>
    <n v="556.58000000000004"/>
    <n v="201.9"/>
  </r>
  <r>
    <x v="2"/>
    <s v="2024-04-19"/>
    <n v="326.48"/>
    <n v="105.29"/>
  </r>
  <r>
    <x v="1"/>
    <s v="2025-02-10"/>
    <n v="396.32"/>
    <n v="92.72"/>
  </r>
  <r>
    <x v="2"/>
    <s v="2025-04-16"/>
    <n v="2203.5"/>
    <n v="501.92"/>
  </r>
  <r>
    <x v="6"/>
    <s v="2024-09-27"/>
    <n v="24.01"/>
    <n v="6.93"/>
  </r>
  <r>
    <x v="8"/>
    <s v="2024-12-12"/>
    <n v="1619.55"/>
    <n v="444.6"/>
  </r>
  <r>
    <x v="1"/>
    <s v="2025-02-28"/>
    <n v="127.25"/>
    <n v="20.03"/>
  </r>
  <r>
    <x v="0"/>
    <s v="2025-01-25"/>
    <n v="468.72"/>
    <n v="82.6"/>
  </r>
  <r>
    <x v="0"/>
    <s v="2025-01-30"/>
    <n v="625.24"/>
    <n v="224"/>
  </r>
  <r>
    <x v="11"/>
    <s v="2024-11-16"/>
    <n v="1926.19"/>
    <n v="288.49"/>
  </r>
  <r>
    <x v="10"/>
    <s v="2024-07-12"/>
    <n v="137.69999999999999"/>
    <n v="39.07"/>
  </r>
  <r>
    <x v="4"/>
    <s v="2024-06-14"/>
    <n v="970.2"/>
    <n v="208.46"/>
  </r>
  <r>
    <x v="3"/>
    <s v="2024-10-14"/>
    <n v="2201.5"/>
    <n v="773.45"/>
  </r>
  <r>
    <x v="2"/>
    <s v="2025-04-21"/>
    <n v="1274.98"/>
    <n v="233.14"/>
  </r>
  <r>
    <x v="8"/>
    <s v="2024-12-21"/>
    <n v="32.979999999999997"/>
    <n v="6.09"/>
  </r>
  <r>
    <x v="11"/>
    <s v="2024-11-02"/>
    <n v="361.62"/>
    <n v="123.74"/>
  </r>
  <r>
    <x v="4"/>
    <s v="2024-06-04"/>
    <n v="1934.01"/>
    <n v="506.22"/>
  </r>
  <r>
    <x v="2"/>
    <s v="2025-04-17"/>
    <n v="251.94"/>
    <n v="49.18"/>
  </r>
  <r>
    <x v="5"/>
    <s v="2024-05-13"/>
    <n v="568.79999999999995"/>
    <n v="125.49"/>
  </r>
  <r>
    <x v="10"/>
    <s v="2024-07-09"/>
    <n v="1714"/>
    <n v="654.16"/>
  </r>
  <r>
    <x v="9"/>
    <s v="2025-03-27"/>
    <n v="1469.5"/>
    <n v="467.99"/>
  </r>
  <r>
    <x v="7"/>
    <s v="2024-08-22"/>
    <n v="1395.64"/>
    <n v="463.44"/>
  </r>
  <r>
    <x v="9"/>
    <s v="2024-03-29"/>
    <n v="940.5"/>
    <n v="262.75"/>
  </r>
  <r>
    <x v="10"/>
    <s v="2024-07-08"/>
    <n v="59.28"/>
    <n v="9.69"/>
  </r>
  <r>
    <x v="0"/>
    <s v="2024-01-20"/>
    <n v="1339.2"/>
    <n v="192.89"/>
  </r>
  <r>
    <x v="8"/>
    <s v="2024-12-18"/>
    <n v="1078.56"/>
    <n v="314.05"/>
  </r>
  <r>
    <x v="9"/>
    <s v="2024-03-26"/>
    <n v="341.88"/>
    <n v="77.2"/>
  </r>
  <r>
    <x v="3"/>
    <s v="2024-10-03"/>
    <n v="1089.9000000000001"/>
    <n v="222.4"/>
  </r>
  <r>
    <x v="7"/>
    <s v="2024-08-31"/>
    <n v="904.8"/>
    <n v="84.67"/>
  </r>
  <r>
    <x v="10"/>
    <s v="2024-07-01"/>
    <n v="1201.2"/>
    <n v="329.23"/>
  </r>
  <r>
    <x v="3"/>
    <s v="2024-10-19"/>
    <n v="406.8"/>
    <n v="82.52"/>
  </r>
  <r>
    <x v="3"/>
    <s v="2024-10-02"/>
    <n v="642.25"/>
    <n v="166.65"/>
  </r>
  <r>
    <x v="4"/>
    <s v="2024-06-16"/>
    <n v="1104.3900000000001"/>
    <n v="312.33"/>
  </r>
  <r>
    <x v="6"/>
    <s v="2024-09-03"/>
    <n v="442"/>
    <n v="143.55000000000001"/>
  </r>
  <r>
    <x v="8"/>
    <s v="2024-12-09"/>
    <n v="669.9"/>
    <n v="258.62"/>
  </r>
  <r>
    <x v="6"/>
    <s v="2024-09-10"/>
    <n v="580.32000000000005"/>
    <n v="203.74"/>
  </r>
  <r>
    <x v="0"/>
    <s v="2025-01-23"/>
    <n v="1926.94"/>
    <n v="541.54999999999995"/>
  </r>
  <r>
    <x v="3"/>
    <s v="2024-10-27"/>
    <n v="913.32"/>
    <n v="314.75"/>
  </r>
  <r>
    <x v="9"/>
    <s v="2024-03-09"/>
    <n v="943.6"/>
    <n v="293.43"/>
  </r>
  <r>
    <x v="7"/>
    <s v="2024-08-15"/>
    <n v="1752.34"/>
    <n v="225.25"/>
  </r>
  <r>
    <x v="6"/>
    <s v="2024-09-24"/>
    <n v="724.32"/>
    <n v="199.35"/>
  </r>
  <r>
    <x v="1"/>
    <s v="2025-02-04"/>
    <n v="880.88"/>
    <n v="138.61000000000001"/>
  </r>
  <r>
    <x v="7"/>
    <s v="2024-08-18"/>
    <n v="329.4"/>
    <n v="76.180000000000007"/>
  </r>
  <r>
    <x v="11"/>
    <s v="2024-11-18"/>
    <n v="794.82"/>
    <n v="255.37"/>
  </r>
  <r>
    <x v="6"/>
    <s v="2024-09-04"/>
    <n v="1480.74"/>
    <n v="219.61"/>
  </r>
  <r>
    <x v="9"/>
    <s v="2025-03-18"/>
    <n v="635.79999999999995"/>
    <n v="237.37"/>
  </r>
  <r>
    <x v="9"/>
    <s v="2025-03-19"/>
    <n v="231.52"/>
    <n v="80.52"/>
  </r>
  <r>
    <x v="3"/>
    <s v="2024-10-12"/>
    <n v="1226.4000000000001"/>
    <n v="421.16"/>
  </r>
  <r>
    <x v="9"/>
    <s v="2025-03-08"/>
    <n v="2379.96"/>
    <n v="865.57"/>
  </r>
  <r>
    <x v="1"/>
    <s v="2025-02-19"/>
    <n v="2204.48"/>
    <n v="772.43"/>
  </r>
  <r>
    <x v="5"/>
    <s v="2024-05-11"/>
    <n v="1907.4"/>
    <n v="268.35000000000002"/>
  </r>
  <r>
    <x v="10"/>
    <s v="2024-07-17"/>
    <n v="816"/>
    <n v="101.85"/>
  </r>
  <r>
    <x v="1"/>
    <s v="2024-02-25"/>
    <n v="1240.25"/>
    <n v="409.39"/>
  </r>
  <r>
    <x v="9"/>
    <s v="2025-03-24"/>
    <n v="355.65"/>
    <n v="115.93"/>
  </r>
  <r>
    <x v="7"/>
    <s v="2024-08-14"/>
    <n v="1605.12"/>
    <n v="450.41"/>
  </r>
  <r>
    <x v="2"/>
    <s v="2024-04-05"/>
    <n v="356.58"/>
    <n v="100.39"/>
  </r>
  <r>
    <x v="0"/>
    <s v="2025-01-12"/>
    <n v="31.4"/>
    <n v="10.26"/>
  </r>
  <r>
    <x v="10"/>
    <s v="2024-07-11"/>
    <n v="520.52"/>
    <n v="149.44"/>
  </r>
  <r>
    <x v="9"/>
    <s v="2025-03-06"/>
    <n v="1033"/>
    <n v="223.87"/>
  </r>
  <r>
    <x v="0"/>
    <s v="2025-01-28"/>
    <n v="186.48"/>
    <n v="33.19"/>
  </r>
  <r>
    <x v="0"/>
    <s v="2025-01-28"/>
    <n v="806.97"/>
    <n v="213.84"/>
  </r>
  <r>
    <x v="2"/>
    <s v="2024-04-29"/>
    <n v="1280.6400000000001"/>
    <n v="481.28"/>
  </r>
  <r>
    <x v="5"/>
    <s v="2025-05-08"/>
    <n v="1027.68"/>
    <n v="357.73"/>
  </r>
  <r>
    <x v="0"/>
    <s v="2025-01-11"/>
    <n v="894.4"/>
    <n v="268.98"/>
  </r>
  <r>
    <x v="4"/>
    <s v="2024-06-11"/>
    <n v="2109.83"/>
    <n v="418.92"/>
  </r>
  <r>
    <x v="8"/>
    <s v="2024-12-30"/>
    <n v="18.739999999999998"/>
    <n v="2.74"/>
  </r>
  <r>
    <x v="8"/>
    <s v="2024-12-22"/>
    <n v="979.29"/>
    <n v="317.20999999999998"/>
  </r>
  <r>
    <x v="3"/>
    <s v="2024-10-14"/>
    <n v="244.66"/>
    <n v="72.42"/>
  </r>
  <r>
    <x v="1"/>
    <s v="2025-02-27"/>
    <n v="1770.79"/>
    <n v="539.51"/>
  </r>
  <r>
    <x v="9"/>
    <s v="2024-03-17"/>
    <n v="1692.4"/>
    <n v="453.81"/>
  </r>
  <r>
    <x v="5"/>
    <s v="2025-05-05"/>
    <n v="57.15"/>
    <n v="21.04"/>
  </r>
  <r>
    <x v="5"/>
    <s v="2024-05-02"/>
    <n v="450.45"/>
    <n v="120.46"/>
  </r>
  <r>
    <x v="5"/>
    <s v="2024-05-25"/>
    <n v="1483.68"/>
    <n v="438.18"/>
  </r>
  <r>
    <x v="0"/>
    <s v="2024-01-01"/>
    <n v="257.52"/>
    <n v="65.67"/>
  </r>
  <r>
    <x v="7"/>
    <s v="2024-08-07"/>
    <n v="1336.5"/>
    <n v="418.16"/>
  </r>
  <r>
    <x v="9"/>
    <s v="2025-03-15"/>
    <n v="2510.2800000000002"/>
    <n v="939.91"/>
  </r>
  <r>
    <x v="6"/>
    <s v="2024-09-07"/>
    <n v="1679.04"/>
    <n v="462.56"/>
  </r>
  <r>
    <x v="10"/>
    <s v="2024-07-14"/>
    <n v="1689.52"/>
    <n v="264.45999999999998"/>
  </r>
  <r>
    <x v="0"/>
    <s v="2024-01-20"/>
    <n v="788.33"/>
    <n v="110.52"/>
  </r>
  <r>
    <x v="1"/>
    <s v="2024-02-01"/>
    <n v="918.72"/>
    <n v="316.5"/>
  </r>
  <r>
    <x v="9"/>
    <s v="2025-03-02"/>
    <n v="1423.38"/>
    <n v="161.97999999999999"/>
  </r>
  <r>
    <x v="6"/>
    <s v="2024-09-25"/>
    <n v="282.75"/>
    <n v="36.25"/>
  </r>
  <r>
    <x v="9"/>
    <s v="2024-03-14"/>
    <n v="939.5"/>
    <n v="328.56"/>
  </r>
  <r>
    <x v="1"/>
    <s v="2025-02-16"/>
    <n v="404"/>
    <n v="65.25"/>
  </r>
  <r>
    <x v="6"/>
    <s v="2024-09-29"/>
    <n v="956.45"/>
    <n v="351.25"/>
  </r>
  <r>
    <x v="0"/>
    <s v="2025-01-14"/>
    <n v="25.72"/>
    <n v="3.68"/>
  </r>
  <r>
    <x v="11"/>
    <s v="2024-11-03"/>
    <n v="2258.4"/>
    <n v="734.96"/>
  </r>
  <r>
    <x v="9"/>
    <s v="2024-03-12"/>
    <n v="1437.12"/>
    <n v="446.98"/>
  </r>
  <r>
    <x v="7"/>
    <s v="2024-08-29"/>
    <n v="428.16"/>
    <n v="145.09"/>
  </r>
  <r>
    <x v="6"/>
    <s v="2024-09-27"/>
    <n v="1479.6"/>
    <n v="413.63"/>
  </r>
  <r>
    <x v="0"/>
    <s v="2024-01-15"/>
    <n v="1017.36"/>
    <n v="180.62"/>
  </r>
  <r>
    <x v="9"/>
    <s v="2025-03-16"/>
    <n v="1417.26"/>
    <n v="375.26"/>
  </r>
  <r>
    <x v="5"/>
    <s v="2024-05-16"/>
    <n v="389.28"/>
    <n v="118.95"/>
  </r>
  <r>
    <x v="0"/>
    <s v="2025-01-28"/>
    <n v="891.2"/>
    <n v="238.47"/>
  </r>
  <r>
    <x v="7"/>
    <s v="2024-08-02"/>
    <n v="976.95"/>
    <n v="351.6"/>
  </r>
  <r>
    <x v="7"/>
    <s v="2024-08-21"/>
    <n v="248.56"/>
    <n v="37.590000000000003"/>
  </r>
  <r>
    <x v="1"/>
    <s v="2024-02-17"/>
    <n v="1030.71"/>
    <n v="360.47"/>
  </r>
  <r>
    <x v="10"/>
    <s v="2024-07-13"/>
    <n v="987.16"/>
    <n v="379.02"/>
  </r>
  <r>
    <x v="1"/>
    <s v="2025-02-13"/>
    <n v="2119.5"/>
    <n v="739.34"/>
  </r>
  <r>
    <x v="9"/>
    <s v="2025-03-15"/>
    <n v="116.64"/>
    <n v="37.65"/>
  </r>
  <r>
    <x v="1"/>
    <s v="2024-02-16"/>
    <n v="1901.54"/>
    <n v="669.11"/>
  </r>
  <r>
    <x v="9"/>
    <s v="2024-03-08"/>
    <n v="658.5"/>
    <n v="247.02"/>
  </r>
  <r>
    <x v="11"/>
    <s v="2024-11-30"/>
    <n v="82.12"/>
    <n v="27.07"/>
  </r>
  <r>
    <x v="10"/>
    <s v="2024-07-19"/>
    <n v="148.19999999999999"/>
    <n v="24.44"/>
  </r>
  <r>
    <x v="8"/>
    <s v="2024-12-19"/>
    <n v="364.23"/>
    <n v="106.82"/>
  </r>
  <r>
    <x v="5"/>
    <s v="2024-05-13"/>
    <n v="110.56"/>
    <n v="25.19"/>
  </r>
  <r>
    <x v="4"/>
    <s v="2024-06-01"/>
    <n v="2151.59"/>
    <n v="863.04"/>
  </r>
  <r>
    <x v="2"/>
    <s v="2024-04-25"/>
    <n v="1213.3599999999999"/>
    <n v="431.53"/>
  </r>
  <r>
    <x v="4"/>
    <s v="2024-06-11"/>
    <n v="1178.6300000000001"/>
    <n v="456.31"/>
  </r>
  <r>
    <x v="7"/>
    <s v="2024-08-28"/>
    <n v="891.52"/>
    <n v="277.27999999999997"/>
  </r>
  <r>
    <x v="8"/>
    <s v="2024-12-27"/>
    <n v="1505.28"/>
    <n v="394.63"/>
  </r>
  <r>
    <x v="6"/>
    <s v="2024-09-19"/>
    <n v="672.1"/>
    <n v="130.30000000000001"/>
  </r>
  <r>
    <x v="2"/>
    <s v="2025-04-05"/>
    <n v="587.08000000000004"/>
    <n v="193.4"/>
  </r>
  <r>
    <x v="4"/>
    <s v="2024-06-22"/>
    <n v="1809.2"/>
    <n v="272.95"/>
  </r>
  <r>
    <x v="0"/>
    <s v="2024-01-19"/>
    <n v="933.98"/>
    <n v="157.61000000000001"/>
  </r>
  <r>
    <x v="10"/>
    <s v="2024-07-25"/>
    <n v="823.14"/>
    <n v="237.89"/>
  </r>
  <r>
    <x v="2"/>
    <s v="2025-04-15"/>
    <n v="1593.44"/>
    <n v="627.51"/>
  </r>
  <r>
    <x v="0"/>
    <s v="2024-01-17"/>
    <n v="270.60000000000002"/>
    <n v="55.25"/>
  </r>
  <r>
    <x v="3"/>
    <s v="2024-10-10"/>
    <n v="305.14"/>
    <n v="96.33"/>
  </r>
  <r>
    <x v="0"/>
    <s v="2024-01-14"/>
    <n v="1104.32"/>
    <n v="266.69"/>
  </r>
  <r>
    <x v="2"/>
    <s v="2025-04-02"/>
    <n v="785.7"/>
    <n v="227.18"/>
  </r>
  <r>
    <x v="1"/>
    <s v="2024-02-13"/>
    <n v="2546.5300000000002"/>
    <n v="719.27"/>
  </r>
  <r>
    <x v="0"/>
    <s v="2025-01-23"/>
    <n v="479.05"/>
    <n v="143.9"/>
  </r>
  <r>
    <x v="5"/>
    <s v="2024-05-31"/>
    <n v="1271.1600000000001"/>
    <n v="133.69999999999999"/>
  </r>
  <r>
    <x v="2"/>
    <s v="2025-04-22"/>
    <n v="1106.18"/>
    <n v="418.91"/>
  </r>
  <r>
    <x v="1"/>
    <s v="2024-02-25"/>
    <n v="94.24"/>
    <n v="25.21"/>
  </r>
  <r>
    <x v="10"/>
    <s v="2024-07-21"/>
    <n v="971.38"/>
    <n v="357.37"/>
  </r>
  <r>
    <x v="1"/>
    <s v="2025-02-17"/>
    <n v="1678.16"/>
    <n v="453.67"/>
  </r>
  <r>
    <x v="10"/>
    <s v="2024-07-09"/>
    <n v="336"/>
    <n v="61.12"/>
  </r>
  <r>
    <x v="1"/>
    <s v="2024-02-24"/>
    <n v="1345.5"/>
    <n v="478.8"/>
  </r>
  <r>
    <x v="5"/>
    <s v="2025-05-13"/>
    <n v="415.87"/>
    <n v="110.36"/>
  </r>
  <r>
    <x v="0"/>
    <s v="2024-01-10"/>
    <n v="1790.88"/>
    <n v="523.42999999999995"/>
  </r>
  <r>
    <x v="10"/>
    <s v="2024-07-03"/>
    <n v="2010.58"/>
    <n v="396.36"/>
  </r>
  <r>
    <x v="5"/>
    <s v="2025-05-15"/>
    <n v="379.26"/>
    <n v="112.84"/>
  </r>
  <r>
    <x v="1"/>
    <s v="2024-02-28"/>
    <n v="1251.32"/>
    <n v="271.94"/>
  </r>
  <r>
    <x v="5"/>
    <s v="2024-05-12"/>
    <n v="941.62"/>
    <n v="225.96"/>
  </r>
  <r>
    <x v="4"/>
    <s v="2024-06-14"/>
    <n v="1420.18"/>
    <n v="355.73"/>
  </r>
  <r>
    <x v="7"/>
    <s v="2024-08-25"/>
    <n v="2239.36"/>
    <n v="825.85"/>
  </r>
  <r>
    <x v="0"/>
    <s v="2024-01-01"/>
    <n v="1072.75"/>
    <n v="117.73"/>
  </r>
  <r>
    <x v="8"/>
    <s v="2024-12-18"/>
    <n v="158.19999999999999"/>
    <n v="61.91"/>
  </r>
  <r>
    <x v="4"/>
    <s v="2024-06-27"/>
    <n v="936"/>
    <n v="253.93"/>
  </r>
  <r>
    <x v="6"/>
    <s v="2024-09-11"/>
    <n v="1599.04"/>
    <n v="275.94"/>
  </r>
  <r>
    <x v="0"/>
    <s v="2025-01-04"/>
    <n v="1050.42"/>
    <n v="335.72"/>
  </r>
  <r>
    <x v="1"/>
    <s v="2024-02-17"/>
    <n v="771.88"/>
    <n v="167.34"/>
  </r>
  <r>
    <x v="1"/>
    <s v="2024-02-03"/>
    <n v="674.88"/>
    <n v="143.78"/>
  </r>
  <r>
    <x v="7"/>
    <s v="2024-08-14"/>
    <n v="419.64"/>
    <n v="91.16"/>
  </r>
  <r>
    <x v="8"/>
    <s v="2024-12-23"/>
    <n v="1042.22"/>
    <n v="395.89"/>
  </r>
  <r>
    <x v="11"/>
    <s v="2024-11-18"/>
    <n v="1222.4000000000001"/>
    <n v="295.98"/>
  </r>
  <r>
    <x v="0"/>
    <s v="2025-01-22"/>
    <n v="928.95"/>
    <n v="378.27"/>
  </r>
  <r>
    <x v="0"/>
    <s v="2024-01-07"/>
    <n v="715.4"/>
    <n v="276.17"/>
  </r>
  <r>
    <x v="4"/>
    <s v="2024-06-01"/>
    <n v="472.08"/>
    <n v="191.37"/>
  </r>
  <r>
    <x v="0"/>
    <s v="2025-01-24"/>
    <n v="220.24"/>
    <n v="63.58"/>
  </r>
  <r>
    <x v="6"/>
    <s v="2024-09-28"/>
    <n v="1387.75"/>
    <n v="539.29999999999995"/>
  </r>
  <r>
    <x v="1"/>
    <s v="2024-02-18"/>
    <n v="1184"/>
    <n v="362.38"/>
  </r>
  <r>
    <x v="1"/>
    <s v="2025-02-10"/>
    <n v="99.05"/>
    <n v="29.39"/>
  </r>
  <r>
    <x v="5"/>
    <s v="2024-05-13"/>
    <n v="486.81"/>
    <n v="105.93"/>
  </r>
  <r>
    <x v="2"/>
    <s v="2024-04-04"/>
    <n v="1211.8499999999999"/>
    <n v="339"/>
  </r>
  <r>
    <x v="4"/>
    <s v="2024-06-12"/>
    <n v="1301.5999999999999"/>
    <n v="454.54"/>
  </r>
  <r>
    <x v="5"/>
    <s v="2025-05-13"/>
    <n v="918.32"/>
    <n v="273.3"/>
  </r>
  <r>
    <x v="0"/>
    <s v="2025-01-24"/>
    <n v="263.04000000000002"/>
    <n v="41.4"/>
  </r>
  <r>
    <x v="9"/>
    <s v="2025-03-15"/>
    <n v="1804.53"/>
    <n v="673.96"/>
  </r>
  <r>
    <x v="3"/>
    <s v="2024-10-19"/>
    <n v="498.3"/>
    <n v="86.45"/>
  </r>
  <r>
    <x v="4"/>
    <s v="2024-06-16"/>
    <n v="2485.6999999999998"/>
    <n v="948.48"/>
  </r>
  <r>
    <x v="6"/>
    <s v="2024-09-20"/>
    <n v="84.62"/>
    <n v="24.34"/>
  </r>
  <r>
    <x v="2"/>
    <s v="2025-04-24"/>
    <n v="330.88"/>
    <n v="119.1"/>
  </r>
  <r>
    <x v="6"/>
    <s v="2024-09-16"/>
    <n v="94.17"/>
    <n v="37.65"/>
  </r>
  <r>
    <x v="0"/>
    <s v="2025-01-03"/>
    <n v="1613.28"/>
    <n v="423.36"/>
  </r>
  <r>
    <x v="1"/>
    <s v="2024-02-06"/>
    <n v="452.61"/>
    <n v="131.68"/>
  </r>
  <r>
    <x v="3"/>
    <s v="2024-10-20"/>
    <n v="419.52"/>
    <n v="134.09"/>
  </r>
  <r>
    <x v="1"/>
    <s v="2025-02-22"/>
    <n v="1528.88"/>
    <n v="416.97"/>
  </r>
  <r>
    <x v="1"/>
    <s v="2025-02-04"/>
    <n v="865.02"/>
    <n v="234.29"/>
  </r>
  <r>
    <x v="1"/>
    <s v="2025-02-28"/>
    <n v="235.4"/>
    <n v="53.26"/>
  </r>
  <r>
    <x v="2"/>
    <s v="2024-04-15"/>
    <n v="761.46"/>
    <n v="179.47"/>
  </r>
  <r>
    <x v="3"/>
    <s v="2024-10-17"/>
    <n v="1380.99"/>
    <n v="418.93"/>
  </r>
  <r>
    <x v="2"/>
    <s v="2024-04-14"/>
    <n v="355.55"/>
    <n v="95.32"/>
  </r>
  <r>
    <x v="0"/>
    <s v="2024-01-30"/>
    <n v="843.2"/>
    <n v="266.39"/>
  </r>
  <r>
    <x v="3"/>
    <s v="2024-10-03"/>
    <n v="1294.3800000000001"/>
    <n v="503.1"/>
  </r>
  <r>
    <x v="9"/>
    <s v="2024-03-05"/>
    <n v="721.28"/>
    <n v="187.67"/>
  </r>
  <r>
    <x v="2"/>
    <s v="2025-04-17"/>
    <n v="1228.4000000000001"/>
    <n v="354.56"/>
  </r>
  <r>
    <x v="8"/>
    <s v="2024-12-12"/>
    <n v="218.48"/>
    <n v="64.97"/>
  </r>
  <r>
    <x v="2"/>
    <s v="2024-04-23"/>
    <n v="553.66"/>
    <n v="191.96"/>
  </r>
  <r>
    <x v="6"/>
    <s v="2024-09-28"/>
    <n v="332.46"/>
    <n v="106.89"/>
  </r>
  <r>
    <x v="2"/>
    <s v="2025-04-16"/>
    <n v="1395.36"/>
    <n v="460.98"/>
  </r>
  <r>
    <x v="5"/>
    <s v="2024-05-07"/>
    <n v="706.42"/>
    <n v="87.48"/>
  </r>
  <r>
    <x v="5"/>
    <s v="2024-05-13"/>
    <n v="438.84"/>
    <n v="106.93"/>
  </r>
  <r>
    <x v="0"/>
    <s v="2024-01-30"/>
    <n v="1228.77"/>
    <n v="300.14999999999998"/>
  </r>
  <r>
    <x v="4"/>
    <s v="2024-06-17"/>
    <n v="479.66"/>
    <n v="79.680000000000007"/>
  </r>
  <r>
    <x v="2"/>
    <s v="2025-04-20"/>
    <n v="490.16"/>
    <n v="191.19"/>
  </r>
  <r>
    <x v="11"/>
    <s v="2024-11-13"/>
    <n v="2239"/>
    <n v="469.03"/>
  </r>
  <r>
    <x v="8"/>
    <s v="2024-12-07"/>
    <n v="675.3"/>
    <n v="109.04"/>
  </r>
  <r>
    <x v="9"/>
    <s v="2024-03-04"/>
    <n v="1359"/>
    <n v="538.33000000000004"/>
  </r>
  <r>
    <x v="6"/>
    <s v="2024-09-27"/>
    <n v="1050.28"/>
    <n v="220.45"/>
  </r>
  <r>
    <x v="9"/>
    <s v="2024-03-11"/>
    <n v="2685.5"/>
    <n v="487.61"/>
  </r>
  <r>
    <x v="8"/>
    <s v="2024-12-26"/>
    <n v="446.88"/>
    <n v="47.97"/>
  </r>
  <r>
    <x v="0"/>
    <s v="2025-01-06"/>
    <n v="491.5"/>
    <n v="78.2"/>
  </r>
  <r>
    <x v="8"/>
    <s v="2024-12-05"/>
    <n v="2140.3200000000002"/>
    <n v="332.47"/>
  </r>
  <r>
    <x v="0"/>
    <s v="2024-01-21"/>
    <n v="1460.94"/>
    <n v="403.69"/>
  </r>
  <r>
    <x v="5"/>
    <s v="2025-05-10"/>
    <n v="141.4"/>
    <n v="47.8"/>
  </r>
  <r>
    <x v="6"/>
    <s v="2024-09-15"/>
    <n v="335.34"/>
    <n v="79.66"/>
  </r>
  <r>
    <x v="5"/>
    <s v="2024-05-27"/>
    <n v="324.95999999999998"/>
    <n v="39.369999999999997"/>
  </r>
  <r>
    <x v="2"/>
    <s v="2025-04-24"/>
    <n v="1610.5"/>
    <n v="327.82"/>
  </r>
  <r>
    <x v="9"/>
    <s v="2025-03-18"/>
    <n v="1008.91"/>
    <n v="306.13"/>
  </r>
  <r>
    <x v="2"/>
    <s v="2024-04-17"/>
    <n v="629.86"/>
    <n v="160.78"/>
  </r>
  <r>
    <x v="1"/>
    <s v="2025-02-18"/>
    <n v="617.32000000000005"/>
    <n v="139.06"/>
  </r>
  <r>
    <x v="2"/>
    <s v="2024-04-13"/>
    <n v="61.76"/>
    <n v="7.34"/>
  </r>
  <r>
    <x v="10"/>
    <s v="2024-07-04"/>
    <n v="2169.1999999999998"/>
    <n v="739.55"/>
  </r>
  <r>
    <x v="8"/>
    <s v="2024-12-25"/>
    <n v="2230.5"/>
    <n v="739.18"/>
  </r>
  <r>
    <x v="6"/>
    <s v="2024-09-02"/>
    <n v="260.54000000000002"/>
    <n v="76.650000000000006"/>
  </r>
  <r>
    <x v="10"/>
    <s v="2024-07-14"/>
    <n v="172.27"/>
    <n v="54.1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Jan"/>
    <s v="2025-01-20"/>
    <n v="1104.4000000000001"/>
    <n v="355.04"/>
    <x v="0"/>
    <x v="0"/>
  </r>
  <r>
    <s v="Feb"/>
    <s v="2025-02-14"/>
    <n v="1056.99"/>
    <n v="403.4"/>
    <x v="1"/>
    <x v="0"/>
  </r>
  <r>
    <s v="Apr"/>
    <s v="2024-04-29"/>
    <n v="968.32"/>
    <n v="282.37"/>
    <x v="1"/>
    <x v="0"/>
  </r>
  <r>
    <s v="Oct"/>
    <s v="2024-10-01"/>
    <n v="338.16"/>
    <n v="134.77000000000001"/>
    <x v="2"/>
    <x v="1"/>
  </r>
  <r>
    <s v="Feb"/>
    <s v="2025-02-15"/>
    <n v="1176.74"/>
    <n v="430.8"/>
    <x v="0"/>
    <x v="2"/>
  </r>
  <r>
    <s v="Feb"/>
    <s v="2025-02-26"/>
    <n v="363.22"/>
    <n v="87.86"/>
    <x v="0"/>
    <x v="1"/>
  </r>
  <r>
    <s v="Jun"/>
    <s v="2024-06-13"/>
    <n v="94.56"/>
    <n v="20.079999999999998"/>
    <x v="1"/>
    <x v="3"/>
  </r>
  <r>
    <s v="May"/>
    <s v="2025-05-01"/>
    <n v="429.94"/>
    <n v="66.91"/>
    <x v="3"/>
    <x v="4"/>
  </r>
  <r>
    <s v="Sep"/>
    <s v="2024-09-13"/>
    <n v="1150.0899999999999"/>
    <n v="360.29"/>
    <x v="0"/>
    <x v="3"/>
  </r>
  <r>
    <s v="Aug"/>
    <s v="2024-08-27"/>
    <n v="512.46"/>
    <n v="139.32"/>
    <x v="1"/>
    <x v="1"/>
  </r>
  <r>
    <s v="Apr"/>
    <s v="2025-04-07"/>
    <n v="1850.88"/>
    <n v="675.73"/>
    <x v="3"/>
    <x v="0"/>
  </r>
  <r>
    <s v="Dec"/>
    <s v="2024-12-08"/>
    <n v="2879.73"/>
    <n v="779.44"/>
    <x v="0"/>
    <x v="2"/>
  </r>
  <r>
    <s v="Sep"/>
    <s v="2024-09-12"/>
    <n v="2447.56"/>
    <n v="802.16"/>
    <x v="3"/>
    <x v="0"/>
  </r>
  <r>
    <s v="Feb"/>
    <s v="2024-02-28"/>
    <n v="1390.4"/>
    <n v="560.36"/>
    <x v="1"/>
    <x v="4"/>
  </r>
  <r>
    <s v="Mar"/>
    <s v="2024-03-27"/>
    <n v="936.98"/>
    <n v="357.11"/>
    <x v="3"/>
    <x v="4"/>
  </r>
  <r>
    <s v="Sep"/>
    <s v="2024-09-21"/>
    <n v="1217.28"/>
    <n v="207.6"/>
    <x v="3"/>
    <x v="1"/>
  </r>
  <r>
    <s v="Aug"/>
    <s v="2024-08-02"/>
    <n v="1443.36"/>
    <n v="477.05"/>
    <x v="3"/>
    <x v="0"/>
  </r>
  <r>
    <s v="Sep"/>
    <s v="2024-09-29"/>
    <n v="193.02"/>
    <n v="58.57"/>
    <x v="3"/>
    <x v="1"/>
  </r>
  <r>
    <s v="Jul"/>
    <s v="2024-07-03"/>
    <n v="893.18"/>
    <n v="195.79"/>
    <x v="3"/>
    <x v="0"/>
  </r>
  <r>
    <s v="Apr"/>
    <s v="2025-04-23"/>
    <n v="1475.76"/>
    <n v="310.36"/>
    <x v="1"/>
    <x v="3"/>
  </r>
  <r>
    <s v="Feb"/>
    <s v="2025-02-27"/>
    <n v="412.62"/>
    <n v="155.44"/>
    <x v="4"/>
    <x v="2"/>
  </r>
  <r>
    <s v="Mar"/>
    <s v="2025-03-25"/>
    <n v="111"/>
    <n v="29.24"/>
    <x v="0"/>
    <x v="1"/>
  </r>
  <r>
    <s v="May"/>
    <s v="2024-05-14"/>
    <n v="955.68"/>
    <n v="164.11"/>
    <x v="1"/>
    <x v="3"/>
  </r>
  <r>
    <s v="Feb"/>
    <s v="2024-02-14"/>
    <n v="1085.6199999999999"/>
    <n v="313.47000000000003"/>
    <x v="0"/>
    <x v="3"/>
  </r>
  <r>
    <s v="Apr"/>
    <s v="2025-04-24"/>
    <n v="789.25"/>
    <n v="232.78"/>
    <x v="0"/>
    <x v="1"/>
  </r>
  <r>
    <s v="Dec"/>
    <s v="2024-12-22"/>
    <n v="379.12"/>
    <n v="151"/>
    <x v="1"/>
    <x v="3"/>
  </r>
  <r>
    <s v="Jun"/>
    <s v="2024-06-02"/>
    <n v="1377.48"/>
    <n v="221.76"/>
    <x v="1"/>
    <x v="3"/>
  </r>
  <r>
    <s v="Aug"/>
    <s v="2024-08-23"/>
    <n v="237.78"/>
    <n v="94.7"/>
    <x v="3"/>
    <x v="3"/>
  </r>
  <r>
    <s v="Jan"/>
    <s v="2025-01-30"/>
    <n v="2462.4"/>
    <n v="871.57"/>
    <x v="4"/>
    <x v="2"/>
  </r>
  <r>
    <s v="Jul"/>
    <s v="2024-07-15"/>
    <n v="44.98"/>
    <n v="17.170000000000002"/>
    <x v="1"/>
    <x v="4"/>
  </r>
  <r>
    <s v="Apr"/>
    <s v="2025-04-22"/>
    <n v="113.22"/>
    <n v="25.18"/>
    <x v="1"/>
    <x v="3"/>
  </r>
  <r>
    <s v="May"/>
    <s v="2024-05-05"/>
    <n v="477.6"/>
    <n v="157.06"/>
    <x v="1"/>
    <x v="4"/>
  </r>
  <r>
    <s v="Apr"/>
    <s v="2024-04-27"/>
    <n v="1123.98"/>
    <n v="234.78"/>
    <x v="3"/>
    <x v="1"/>
  </r>
  <r>
    <s v="Jan"/>
    <s v="2025-01-11"/>
    <n v="1127.78"/>
    <n v="366.63"/>
    <x v="1"/>
    <x v="2"/>
  </r>
  <r>
    <s v="Oct"/>
    <s v="2024-10-13"/>
    <n v="135.47999999999999"/>
    <n v="28.89"/>
    <x v="3"/>
    <x v="4"/>
  </r>
  <r>
    <s v="Nov"/>
    <s v="2024-11-10"/>
    <n v="646.5"/>
    <n v="228.61"/>
    <x v="1"/>
    <x v="2"/>
  </r>
  <r>
    <s v="Dec"/>
    <s v="2024-12-12"/>
    <n v="354.72"/>
    <n v="63.32"/>
    <x v="4"/>
    <x v="3"/>
  </r>
  <r>
    <s v="May"/>
    <s v="2024-05-01"/>
    <n v="141.44"/>
    <n v="32.78"/>
    <x v="0"/>
    <x v="4"/>
  </r>
  <r>
    <s v="Jan"/>
    <s v="2025-01-27"/>
    <n v="879.76"/>
    <n v="250.44"/>
    <x v="1"/>
    <x v="1"/>
  </r>
  <r>
    <s v="May"/>
    <s v="2024-05-02"/>
    <n v="1929.2"/>
    <n v="645.98"/>
    <x v="0"/>
    <x v="0"/>
  </r>
  <r>
    <s v="Apr"/>
    <s v="2025-04-15"/>
    <n v="1391.54"/>
    <n v="435.78"/>
    <x v="3"/>
    <x v="3"/>
  </r>
  <r>
    <s v="Aug"/>
    <s v="2024-08-27"/>
    <n v="768.6"/>
    <n v="258.52999999999997"/>
    <x v="3"/>
    <x v="3"/>
  </r>
  <r>
    <s v="May"/>
    <s v="2024-05-29"/>
    <n v="806.61"/>
    <n v="210.38"/>
    <x v="2"/>
    <x v="4"/>
  </r>
  <r>
    <s v="Mar"/>
    <s v="2025-03-29"/>
    <n v="2500.4"/>
    <n v="933.59"/>
    <x v="5"/>
    <x v="2"/>
  </r>
  <r>
    <s v="Dec"/>
    <s v="2024-12-06"/>
    <n v="286.55"/>
    <n v="75.16"/>
    <x v="0"/>
    <x v="0"/>
  </r>
  <r>
    <s v="Feb"/>
    <s v="2024-02-27"/>
    <n v="1226.82"/>
    <n v="430.27"/>
    <x v="1"/>
    <x v="3"/>
  </r>
  <r>
    <s v="Nov"/>
    <s v="2024-11-26"/>
    <n v="514.08000000000004"/>
    <n v="155.34"/>
    <x v="1"/>
    <x v="3"/>
  </r>
  <r>
    <s v="Jul"/>
    <s v="2024-07-23"/>
    <n v="556.02"/>
    <n v="220.02"/>
    <x v="3"/>
    <x v="0"/>
  </r>
  <r>
    <s v="Dec"/>
    <s v="2024-12-23"/>
    <n v="1100.6099999999999"/>
    <n v="284.51"/>
    <x v="0"/>
    <x v="0"/>
  </r>
  <r>
    <s v="Jan"/>
    <s v="2024-01-08"/>
    <n v="656.88"/>
    <n v="167.02"/>
    <x v="5"/>
    <x v="3"/>
  </r>
  <r>
    <s v="Apr"/>
    <s v="2025-04-20"/>
    <n v="1057.3900000000001"/>
    <n v="248.17"/>
    <x v="3"/>
    <x v="0"/>
  </r>
  <r>
    <s v="Jul"/>
    <s v="2024-07-07"/>
    <n v="1686.33"/>
    <n v="458.21"/>
    <x v="3"/>
    <x v="3"/>
  </r>
  <r>
    <s v="Nov"/>
    <s v="2024-11-03"/>
    <n v="1837.11"/>
    <n v="372.79"/>
    <x v="3"/>
    <x v="2"/>
  </r>
  <r>
    <s v="Nov"/>
    <s v="2024-11-06"/>
    <n v="915.66"/>
    <n v="145.72999999999999"/>
    <x v="3"/>
    <x v="2"/>
  </r>
  <r>
    <s v="Apr"/>
    <s v="2025-04-18"/>
    <n v="373.8"/>
    <n v="144.96"/>
    <x v="4"/>
    <x v="3"/>
  </r>
  <r>
    <s v="Sep"/>
    <s v="2024-09-08"/>
    <n v="463.36"/>
    <n v="139.71"/>
    <x v="0"/>
    <x v="0"/>
  </r>
  <r>
    <s v="May"/>
    <s v="2024-05-06"/>
    <n v="1082.4100000000001"/>
    <n v="186.29"/>
    <x v="1"/>
    <x v="0"/>
  </r>
  <r>
    <s v="May"/>
    <s v="2024-05-13"/>
    <n v="900.54"/>
    <n v="202.1"/>
    <x v="5"/>
    <x v="0"/>
  </r>
  <r>
    <s v="Jul"/>
    <s v="2024-07-20"/>
    <n v="1218.6600000000001"/>
    <n v="214.17"/>
    <x v="1"/>
    <x v="4"/>
  </r>
  <r>
    <s v="Apr"/>
    <s v="2025-04-05"/>
    <n v="1172.08"/>
    <n v="375.08"/>
    <x v="2"/>
    <x v="1"/>
  </r>
  <r>
    <s v="Mar"/>
    <s v="2025-03-20"/>
    <n v="3247.6"/>
    <n v="1240.69"/>
    <x v="3"/>
    <x v="2"/>
  </r>
  <r>
    <s v="Aug"/>
    <s v="2024-08-11"/>
    <n v="800.4"/>
    <n v="144.11000000000001"/>
    <x v="3"/>
    <x v="2"/>
  </r>
  <r>
    <s v="Mar"/>
    <s v="2024-03-18"/>
    <n v="1673.28"/>
    <n v="196.54"/>
    <x v="5"/>
    <x v="1"/>
  </r>
  <r>
    <s v="Apr"/>
    <s v="2025-04-09"/>
    <n v="1186.06"/>
    <n v="341.73"/>
    <x v="3"/>
    <x v="4"/>
  </r>
  <r>
    <s v="Oct"/>
    <s v="2024-10-14"/>
    <n v="46.18"/>
    <n v="12.66"/>
    <x v="1"/>
    <x v="3"/>
  </r>
  <r>
    <s v="Dec"/>
    <s v="2024-12-21"/>
    <n v="1872.4"/>
    <n v="549.39"/>
    <x v="3"/>
    <x v="1"/>
  </r>
  <r>
    <s v="Mar"/>
    <s v="2025-03-03"/>
    <n v="2451.4299999999998"/>
    <n v="960.39"/>
    <x v="3"/>
    <x v="1"/>
  </r>
  <r>
    <s v="Mar"/>
    <s v="2024-03-11"/>
    <n v="333.45"/>
    <n v="125.31"/>
    <x v="0"/>
    <x v="1"/>
  </r>
  <r>
    <s v="Aug"/>
    <s v="2024-08-28"/>
    <n v="288.45"/>
    <n v="35.729999999999997"/>
    <x v="1"/>
    <x v="3"/>
  </r>
  <r>
    <s v="Jun"/>
    <s v="2024-06-15"/>
    <n v="1548.36"/>
    <n v="559.6"/>
    <x v="1"/>
    <x v="3"/>
  </r>
  <r>
    <s v="Aug"/>
    <s v="2024-08-14"/>
    <n v="2108.04"/>
    <n v="676.34"/>
    <x v="1"/>
    <x v="2"/>
  </r>
  <r>
    <s v="Jun"/>
    <s v="2024-06-03"/>
    <n v="989.82"/>
    <n v="237"/>
    <x v="1"/>
    <x v="0"/>
  </r>
  <r>
    <s v="Jun"/>
    <s v="2024-06-07"/>
    <n v="350.82"/>
    <n v="100.26"/>
    <x v="3"/>
    <x v="4"/>
  </r>
  <r>
    <s v="Oct"/>
    <s v="2024-10-04"/>
    <n v="502.04"/>
    <n v="181.91"/>
    <x v="4"/>
    <x v="1"/>
  </r>
  <r>
    <s v="Jan"/>
    <s v="2024-01-02"/>
    <n v="1047.1300000000001"/>
    <n v="221.65"/>
    <x v="3"/>
    <x v="3"/>
  </r>
  <r>
    <s v="Mar"/>
    <s v="2025-03-29"/>
    <n v="1031.94"/>
    <n v="219.49"/>
    <x v="0"/>
    <x v="0"/>
  </r>
  <r>
    <s v="Nov"/>
    <s v="2024-11-24"/>
    <n v="1108.3800000000001"/>
    <n v="307.82"/>
    <x v="3"/>
    <x v="0"/>
  </r>
  <r>
    <s v="Nov"/>
    <s v="2024-11-02"/>
    <n v="1486.5"/>
    <n v="389.73"/>
    <x v="0"/>
    <x v="1"/>
  </r>
  <r>
    <s v="Mar"/>
    <s v="2025-03-21"/>
    <n v="801.84"/>
    <n v="153.79"/>
    <x v="3"/>
    <x v="3"/>
  </r>
  <r>
    <s v="Jan"/>
    <s v="2024-01-06"/>
    <n v="1169.28"/>
    <n v="343.68"/>
    <x v="3"/>
    <x v="3"/>
  </r>
  <r>
    <s v="Sep"/>
    <s v="2024-09-28"/>
    <n v="1118"/>
    <n v="180.41"/>
    <x v="1"/>
    <x v="3"/>
  </r>
  <r>
    <s v="Feb"/>
    <s v="2025-02-28"/>
    <n v="843.99"/>
    <n v="223.59"/>
    <x v="3"/>
    <x v="3"/>
  </r>
  <r>
    <s v="Jun"/>
    <s v="2024-06-02"/>
    <n v="433.42"/>
    <n v="69.13"/>
    <x v="3"/>
    <x v="1"/>
  </r>
  <r>
    <s v="Nov"/>
    <s v="2024-11-18"/>
    <n v="1115.8"/>
    <n v="175.93"/>
    <x v="2"/>
    <x v="1"/>
  </r>
  <r>
    <s v="Nov"/>
    <s v="2024-11-12"/>
    <n v="750.59"/>
    <n v="102.79"/>
    <x v="0"/>
    <x v="1"/>
  </r>
  <r>
    <s v="Nov"/>
    <s v="2024-11-01"/>
    <n v="1500.8"/>
    <n v="312.25"/>
    <x v="3"/>
    <x v="2"/>
  </r>
  <r>
    <s v="Dec"/>
    <s v="2024-12-21"/>
    <n v="1481.85"/>
    <n v="400.25"/>
    <x v="3"/>
    <x v="3"/>
  </r>
  <r>
    <s v="Feb"/>
    <s v="2025-02-21"/>
    <n v="1968.3"/>
    <n v="312.75"/>
    <x v="1"/>
    <x v="0"/>
  </r>
  <r>
    <s v="Mar"/>
    <s v="2025-03-08"/>
    <n v="221.67"/>
    <n v="68.64"/>
    <x v="1"/>
    <x v="3"/>
  </r>
  <r>
    <s v="Mar"/>
    <s v="2025-03-15"/>
    <n v="130.74"/>
    <n v="29.99"/>
    <x v="4"/>
    <x v="3"/>
  </r>
  <r>
    <s v="Jul"/>
    <s v="2024-07-07"/>
    <n v="1343.89"/>
    <n v="500.16"/>
    <x v="1"/>
    <x v="0"/>
  </r>
  <r>
    <s v="Sep"/>
    <s v="2024-09-12"/>
    <n v="1274.1400000000001"/>
    <n v="428.41"/>
    <x v="3"/>
    <x v="2"/>
  </r>
  <r>
    <s v="Jul"/>
    <s v="2024-07-29"/>
    <n v="100.52"/>
    <n v="22.92"/>
    <x v="1"/>
    <x v="0"/>
  </r>
  <r>
    <s v="Apr"/>
    <s v="2025-04-08"/>
    <n v="502.84"/>
    <n v="73.33"/>
    <x v="1"/>
    <x v="3"/>
  </r>
  <r>
    <s v="Sep"/>
    <s v="2024-09-14"/>
    <n v="931.06"/>
    <n v="350"/>
    <x v="4"/>
    <x v="1"/>
  </r>
  <r>
    <s v="Mar"/>
    <s v="2025-03-01"/>
    <n v="1677.9"/>
    <n v="638.95000000000005"/>
    <x v="3"/>
    <x v="3"/>
  </r>
  <r>
    <s v="Jul"/>
    <s v="2024-07-28"/>
    <n v="1899.24"/>
    <n v="456.33"/>
    <x v="3"/>
    <x v="0"/>
  </r>
  <r>
    <s v="Aug"/>
    <s v="2024-08-01"/>
    <n v="45.84"/>
    <n v="16.579999999999998"/>
    <x v="3"/>
    <x v="3"/>
  </r>
  <r>
    <s v="Apr"/>
    <s v="2025-04-02"/>
    <n v="1000.92"/>
    <n v="269.04000000000002"/>
    <x v="5"/>
    <x v="0"/>
  </r>
  <r>
    <s v="Oct"/>
    <s v="2024-10-25"/>
    <n v="1092.9000000000001"/>
    <n v="280.93"/>
    <x v="1"/>
    <x v="4"/>
  </r>
  <r>
    <s v="Jun"/>
    <s v="2024-06-25"/>
    <n v="200.43"/>
    <n v="72.47"/>
    <x v="1"/>
    <x v="1"/>
  </r>
  <r>
    <s v="Sep"/>
    <s v="2024-09-12"/>
    <n v="718.9"/>
    <n v="269.64999999999998"/>
    <x v="5"/>
    <x v="3"/>
  </r>
  <r>
    <s v="Jul"/>
    <s v="2024-07-30"/>
    <n v="516.35"/>
    <n v="144.16999999999999"/>
    <x v="1"/>
    <x v="3"/>
  </r>
  <r>
    <s v="Aug"/>
    <s v="2024-08-24"/>
    <n v="657.9"/>
    <n v="168.24"/>
    <x v="1"/>
    <x v="3"/>
  </r>
  <r>
    <s v="Sep"/>
    <s v="2024-09-11"/>
    <n v="942.56"/>
    <n v="343.16"/>
    <x v="3"/>
    <x v="1"/>
  </r>
  <r>
    <s v="Feb"/>
    <s v="2025-02-04"/>
    <n v="168.63"/>
    <n v="41.07"/>
    <x v="2"/>
    <x v="2"/>
  </r>
  <r>
    <s v="Apr"/>
    <s v="2024-04-02"/>
    <n v="509.52"/>
    <n v="69.069999999999993"/>
    <x v="1"/>
    <x v="1"/>
  </r>
  <r>
    <s v="Sep"/>
    <s v="2024-09-22"/>
    <n v="1151"/>
    <n v="306.7"/>
    <x v="4"/>
    <x v="3"/>
  </r>
  <r>
    <s v="Mar"/>
    <s v="2024-03-11"/>
    <n v="136.08000000000001"/>
    <n v="25.24"/>
    <x v="2"/>
    <x v="1"/>
  </r>
  <r>
    <s v="Oct"/>
    <s v="2024-10-26"/>
    <n v="423.52"/>
    <n v="119.65"/>
    <x v="1"/>
    <x v="0"/>
  </r>
  <r>
    <s v="Sep"/>
    <s v="2024-09-30"/>
    <n v="1381.76"/>
    <n v="269.22000000000003"/>
    <x v="2"/>
    <x v="1"/>
  </r>
  <r>
    <s v="Jun"/>
    <s v="2024-06-29"/>
    <n v="546.65"/>
    <n v="83.93"/>
    <x v="5"/>
    <x v="3"/>
  </r>
  <r>
    <s v="Jan"/>
    <s v="2025-01-07"/>
    <n v="1030.4000000000001"/>
    <n v="328.68"/>
    <x v="1"/>
    <x v="2"/>
  </r>
  <r>
    <s v="Nov"/>
    <s v="2024-11-15"/>
    <n v="292.95"/>
    <n v="53.3"/>
    <x v="3"/>
    <x v="3"/>
  </r>
  <r>
    <s v="Jul"/>
    <s v="2024-07-29"/>
    <n v="937.8"/>
    <n v="185"/>
    <x v="1"/>
    <x v="1"/>
  </r>
  <r>
    <s v="Feb"/>
    <s v="2024-02-07"/>
    <n v="1235.52"/>
    <n v="372.11"/>
    <x v="4"/>
    <x v="1"/>
  </r>
  <r>
    <s v="Sep"/>
    <s v="2024-09-29"/>
    <n v="1002.44"/>
    <n v="285.39"/>
    <x v="1"/>
    <x v="0"/>
  </r>
  <r>
    <s v="Apr"/>
    <s v="2025-04-08"/>
    <n v="123.62"/>
    <n v="27.42"/>
    <x v="3"/>
    <x v="1"/>
  </r>
  <r>
    <s v="Nov"/>
    <s v="2024-11-12"/>
    <n v="1339"/>
    <n v="336.91"/>
    <x v="5"/>
    <x v="0"/>
  </r>
  <r>
    <s v="Apr"/>
    <s v="2025-04-12"/>
    <n v="675"/>
    <n v="241.01"/>
    <x v="0"/>
    <x v="3"/>
  </r>
  <r>
    <s v="Jul"/>
    <s v="2024-07-24"/>
    <n v="76"/>
    <n v="21.22"/>
    <x v="4"/>
    <x v="1"/>
  </r>
  <r>
    <s v="May"/>
    <s v="2024-05-14"/>
    <n v="639.12"/>
    <n v="235.2"/>
    <x v="0"/>
    <x v="3"/>
  </r>
  <r>
    <s v="Jan"/>
    <s v="2025-01-04"/>
    <n v="1121.6400000000001"/>
    <n v="423.56"/>
    <x v="3"/>
    <x v="4"/>
  </r>
  <r>
    <s v="Dec"/>
    <s v="2024-12-17"/>
    <n v="1170.3900000000001"/>
    <n v="134.96"/>
    <x v="0"/>
    <x v="4"/>
  </r>
  <r>
    <s v="Dec"/>
    <s v="2024-12-29"/>
    <n v="156.55000000000001"/>
    <n v="40.01"/>
    <x v="1"/>
    <x v="3"/>
  </r>
  <r>
    <s v="Aug"/>
    <s v="2024-08-31"/>
    <n v="1551.9"/>
    <n v="301.64"/>
    <x v="0"/>
    <x v="3"/>
  </r>
  <r>
    <s v="Jan"/>
    <s v="2025-01-25"/>
    <n v="2065.3200000000002"/>
    <n v="530.98"/>
    <x v="3"/>
    <x v="2"/>
  </r>
  <r>
    <s v="Nov"/>
    <s v="2024-11-29"/>
    <n v="522.34"/>
    <n v="120.97"/>
    <x v="3"/>
    <x v="3"/>
  </r>
  <r>
    <s v="Apr"/>
    <s v="2025-04-11"/>
    <n v="1454.1"/>
    <n v="203.02"/>
    <x v="3"/>
    <x v="1"/>
  </r>
  <r>
    <s v="Apr"/>
    <s v="2025-04-13"/>
    <n v="735.76"/>
    <n v="140.80000000000001"/>
    <x v="0"/>
    <x v="1"/>
  </r>
  <r>
    <s v="Oct"/>
    <s v="2024-10-05"/>
    <n v="1381.38"/>
    <n v="535.54"/>
    <x v="3"/>
    <x v="0"/>
  </r>
  <r>
    <s v="Apr"/>
    <s v="2025-04-16"/>
    <n v="1305.48"/>
    <n v="322.55"/>
    <x v="1"/>
    <x v="2"/>
  </r>
  <r>
    <s v="Jul"/>
    <s v="2024-07-11"/>
    <n v="1322.86"/>
    <n v="388.8"/>
    <x v="1"/>
    <x v="2"/>
  </r>
  <r>
    <s v="Jan"/>
    <s v="2025-01-04"/>
    <n v="860.58"/>
    <n v="298.57"/>
    <x v="3"/>
    <x v="4"/>
  </r>
  <r>
    <s v="Dec"/>
    <s v="2024-12-25"/>
    <n v="1965.6"/>
    <n v="375.26"/>
    <x v="2"/>
    <x v="2"/>
  </r>
  <r>
    <s v="Jul"/>
    <s v="2024-07-27"/>
    <n v="27.49"/>
    <n v="11.36"/>
    <x v="1"/>
    <x v="3"/>
  </r>
  <r>
    <s v="Jan"/>
    <s v="2024-01-10"/>
    <n v="2055.5"/>
    <n v="359.89"/>
    <x v="3"/>
    <x v="1"/>
  </r>
  <r>
    <s v="Dec"/>
    <s v="2024-12-27"/>
    <n v="459.72"/>
    <n v="153.69999999999999"/>
    <x v="3"/>
    <x v="3"/>
  </r>
  <r>
    <s v="Jan"/>
    <s v="2025-01-14"/>
    <n v="190.08"/>
    <n v="67.849999999999994"/>
    <x v="3"/>
    <x v="3"/>
  </r>
  <r>
    <s v="Aug"/>
    <s v="2024-08-22"/>
    <n v="883.92"/>
    <n v="125.77"/>
    <x v="1"/>
    <x v="4"/>
  </r>
  <r>
    <s v="Mar"/>
    <s v="2024-03-18"/>
    <n v="1360.53"/>
    <n v="174.13"/>
    <x v="4"/>
    <x v="2"/>
  </r>
  <r>
    <s v="Jan"/>
    <s v="2025-01-13"/>
    <n v="1281.1199999999999"/>
    <n v="376.26"/>
    <x v="1"/>
    <x v="4"/>
  </r>
  <r>
    <s v="Apr"/>
    <s v="2025-04-07"/>
    <n v="117.96"/>
    <n v="35.99"/>
    <x v="3"/>
    <x v="4"/>
  </r>
  <r>
    <s v="Dec"/>
    <s v="2024-12-29"/>
    <n v="432"/>
    <n v="103.32"/>
    <x v="0"/>
    <x v="1"/>
  </r>
  <r>
    <s v="Dec"/>
    <s v="2024-12-10"/>
    <n v="182.15"/>
    <n v="61.83"/>
    <x v="1"/>
    <x v="3"/>
  </r>
  <r>
    <s v="Jul"/>
    <s v="2024-07-19"/>
    <n v="1036.53"/>
    <n v="400.43"/>
    <x v="3"/>
    <x v="3"/>
  </r>
  <r>
    <s v="May"/>
    <s v="2024-05-23"/>
    <n v="475"/>
    <n v="179.05"/>
    <x v="2"/>
    <x v="3"/>
  </r>
  <r>
    <s v="Jun"/>
    <s v="2024-06-15"/>
    <n v="2356.11"/>
    <n v="685.89"/>
    <x v="3"/>
    <x v="1"/>
  </r>
  <r>
    <s v="Oct"/>
    <s v="2024-10-08"/>
    <n v="1985.75"/>
    <n v="553"/>
    <x v="0"/>
    <x v="3"/>
  </r>
  <r>
    <s v="Mar"/>
    <s v="2024-03-27"/>
    <n v="688.68"/>
    <n v="219.9"/>
    <x v="3"/>
    <x v="4"/>
  </r>
  <r>
    <s v="Feb"/>
    <s v="2024-02-29"/>
    <n v="1446.46"/>
    <n v="469.22"/>
    <x v="3"/>
    <x v="3"/>
  </r>
  <r>
    <s v="Mar"/>
    <s v="2024-03-03"/>
    <n v="2158.65"/>
    <n v="736.55"/>
    <x v="4"/>
    <x v="1"/>
  </r>
  <r>
    <s v="Mar"/>
    <s v="2024-03-26"/>
    <n v="634.48"/>
    <n v="114.93"/>
    <x v="3"/>
    <x v="0"/>
  </r>
  <r>
    <s v="Feb"/>
    <s v="2025-02-09"/>
    <n v="1203.3599999999999"/>
    <n v="429.43"/>
    <x v="0"/>
    <x v="3"/>
  </r>
  <r>
    <s v="May"/>
    <s v="2024-05-06"/>
    <n v="946.43"/>
    <n v="316.27999999999997"/>
    <x v="2"/>
    <x v="0"/>
  </r>
  <r>
    <s v="Dec"/>
    <s v="2024-12-03"/>
    <n v="1023"/>
    <n v="216.56"/>
    <x v="4"/>
    <x v="3"/>
  </r>
  <r>
    <s v="Oct"/>
    <s v="2024-10-17"/>
    <n v="667.52"/>
    <n v="149.9"/>
    <x v="1"/>
    <x v="3"/>
  </r>
  <r>
    <s v="Sep"/>
    <s v="2024-09-14"/>
    <n v="442.98"/>
    <n v="55.99"/>
    <x v="1"/>
    <x v="1"/>
  </r>
  <r>
    <s v="Oct"/>
    <s v="2024-10-15"/>
    <n v="1166.94"/>
    <n v="412.66"/>
    <x v="3"/>
    <x v="2"/>
  </r>
  <r>
    <s v="Jul"/>
    <s v="2024-07-03"/>
    <n v="1446.48"/>
    <n v="361.78"/>
    <x v="0"/>
    <x v="1"/>
  </r>
  <r>
    <s v="Jul"/>
    <s v="2024-07-01"/>
    <n v="267.3"/>
    <n v="57.09"/>
    <x v="4"/>
    <x v="1"/>
  </r>
  <r>
    <s v="Feb"/>
    <s v="2024-02-01"/>
    <n v="544.5"/>
    <n v="207.91"/>
    <x v="1"/>
    <x v="1"/>
  </r>
  <r>
    <s v="Jun"/>
    <s v="2024-06-23"/>
    <n v="1382.76"/>
    <n v="477.59"/>
    <x v="3"/>
    <x v="0"/>
  </r>
  <r>
    <s v="Feb"/>
    <s v="2024-02-28"/>
    <n v="538"/>
    <n v="123.77"/>
    <x v="0"/>
    <x v="3"/>
  </r>
  <r>
    <s v="Feb"/>
    <s v="2024-02-12"/>
    <n v="131.25"/>
    <n v="37.9"/>
    <x v="3"/>
    <x v="0"/>
  </r>
  <r>
    <s v="Jun"/>
    <s v="2024-06-07"/>
    <n v="314.8"/>
    <n v="54.57"/>
    <x v="1"/>
    <x v="4"/>
  </r>
  <r>
    <s v="Aug"/>
    <s v="2024-08-21"/>
    <n v="649.11"/>
    <n v="190.69"/>
    <x v="2"/>
    <x v="1"/>
  </r>
  <r>
    <s v="May"/>
    <s v="2025-05-11"/>
    <n v="535.63"/>
    <n v="152.66999999999999"/>
    <x v="3"/>
    <x v="1"/>
  </r>
  <r>
    <s v="Nov"/>
    <s v="2024-11-20"/>
    <n v="1612.44"/>
    <n v="283.83999999999997"/>
    <x v="0"/>
    <x v="0"/>
  </r>
  <r>
    <s v="Apr"/>
    <s v="2024-04-23"/>
    <n v="56.58"/>
    <n v="7.47"/>
    <x v="2"/>
    <x v="3"/>
  </r>
  <r>
    <s v="Nov"/>
    <s v="2024-11-01"/>
    <n v="458.6"/>
    <n v="164.2"/>
    <x v="3"/>
    <x v="3"/>
  </r>
  <r>
    <s v="Feb"/>
    <s v="2024-02-13"/>
    <n v="24.64"/>
    <n v="5.99"/>
    <x v="1"/>
    <x v="0"/>
  </r>
  <r>
    <s v="Jul"/>
    <s v="2024-07-30"/>
    <n v="1117.2"/>
    <n v="306.64"/>
    <x v="1"/>
    <x v="3"/>
  </r>
  <r>
    <s v="Oct"/>
    <s v="2024-10-31"/>
    <n v="1424"/>
    <n v="260.08"/>
    <x v="0"/>
    <x v="0"/>
  </r>
  <r>
    <s v="Aug"/>
    <s v="2024-08-26"/>
    <n v="2396.8200000000002"/>
    <n v="827.97"/>
    <x v="2"/>
    <x v="0"/>
  </r>
  <r>
    <s v="Oct"/>
    <s v="2024-10-27"/>
    <n v="489.82"/>
    <n v="166.92"/>
    <x v="3"/>
    <x v="3"/>
  </r>
  <r>
    <s v="Feb"/>
    <s v="2024-02-26"/>
    <n v="1308.49"/>
    <n v="499.15"/>
    <x v="0"/>
    <x v="0"/>
  </r>
  <r>
    <s v="Dec"/>
    <s v="2024-12-03"/>
    <n v="318.07"/>
    <n v="32.54"/>
    <x v="1"/>
    <x v="3"/>
  </r>
  <r>
    <s v="Mar"/>
    <s v="2024-03-11"/>
    <n v="1050.28"/>
    <n v="334.77"/>
    <x v="3"/>
    <x v="3"/>
  </r>
  <r>
    <s v="Sep"/>
    <s v="2024-09-07"/>
    <n v="514.91999999999996"/>
    <n v="115.74"/>
    <x v="5"/>
    <x v="1"/>
  </r>
  <r>
    <s v="Nov"/>
    <s v="2024-11-21"/>
    <n v="1060.29"/>
    <n v="187.95"/>
    <x v="3"/>
    <x v="2"/>
  </r>
  <r>
    <s v="Dec"/>
    <s v="2024-12-03"/>
    <n v="1770.38"/>
    <n v="206.98"/>
    <x v="1"/>
    <x v="0"/>
  </r>
  <r>
    <s v="Mar"/>
    <s v="2024-03-16"/>
    <n v="732.6"/>
    <n v="206.17"/>
    <x v="5"/>
    <x v="1"/>
  </r>
  <r>
    <s v="Mar"/>
    <s v="2024-03-21"/>
    <n v="72.239999999999995"/>
    <n v="16.579999999999998"/>
    <x v="0"/>
    <x v="1"/>
  </r>
  <r>
    <s v="Dec"/>
    <s v="2024-12-25"/>
    <n v="2223.6"/>
    <n v="749.03"/>
    <x v="0"/>
    <x v="0"/>
  </r>
  <r>
    <s v="Apr"/>
    <s v="2025-04-08"/>
    <n v="157.9"/>
    <n v="29.17"/>
    <x v="3"/>
    <x v="4"/>
  </r>
  <r>
    <s v="Apr"/>
    <s v="2024-04-14"/>
    <n v="1333.5"/>
    <n v="353.35"/>
    <x v="0"/>
    <x v="0"/>
  </r>
  <r>
    <s v="Mar"/>
    <s v="2024-03-30"/>
    <n v="351.56"/>
    <n v="69.59"/>
    <x v="3"/>
    <x v="3"/>
  </r>
  <r>
    <s v="Apr"/>
    <s v="2025-04-09"/>
    <n v="1600.51"/>
    <n v="482.45"/>
    <x v="4"/>
    <x v="0"/>
  </r>
  <r>
    <s v="Apr"/>
    <s v="2024-04-20"/>
    <n v="2095.08"/>
    <n v="824.95"/>
    <x v="3"/>
    <x v="0"/>
  </r>
  <r>
    <s v="Nov"/>
    <s v="2024-11-18"/>
    <n v="400.3"/>
    <n v="149.5"/>
    <x v="0"/>
    <x v="3"/>
  </r>
  <r>
    <s v="Mar"/>
    <s v="2025-03-28"/>
    <n v="719.9"/>
    <n v="212.02"/>
    <x v="3"/>
    <x v="1"/>
  </r>
  <r>
    <s v="May"/>
    <s v="2025-05-01"/>
    <n v="1864.43"/>
    <n v="509.37"/>
    <x v="0"/>
    <x v="0"/>
  </r>
  <r>
    <s v="Dec"/>
    <s v="2024-12-18"/>
    <n v="644.86"/>
    <n v="120.36"/>
    <x v="0"/>
    <x v="1"/>
  </r>
  <r>
    <s v="Jul"/>
    <s v="2024-07-11"/>
    <n v="71.84"/>
    <n v="29.5"/>
    <x v="4"/>
    <x v="1"/>
  </r>
  <r>
    <s v="May"/>
    <s v="2024-05-24"/>
    <n v="1529.76"/>
    <n v="479.91"/>
    <x v="2"/>
    <x v="1"/>
  </r>
  <r>
    <s v="Dec"/>
    <s v="2024-12-09"/>
    <n v="3220"/>
    <n v="1219.8900000000001"/>
    <x v="5"/>
    <x v="2"/>
  </r>
  <r>
    <s v="Apr"/>
    <s v="2025-04-29"/>
    <n v="2596.5"/>
    <n v="918.98"/>
    <x v="3"/>
    <x v="0"/>
  </r>
  <r>
    <s v="May"/>
    <s v="2025-05-05"/>
    <n v="465.29"/>
    <n v="154.75"/>
    <x v="3"/>
    <x v="1"/>
  </r>
  <r>
    <s v="Apr"/>
    <s v="2025-04-20"/>
    <n v="229.6"/>
    <n v="31.34"/>
    <x v="1"/>
    <x v="0"/>
  </r>
  <r>
    <s v="Aug"/>
    <s v="2024-08-26"/>
    <n v="2193.6"/>
    <n v="704.34"/>
    <x v="2"/>
    <x v="0"/>
  </r>
  <r>
    <s v="Apr"/>
    <s v="2024-04-07"/>
    <n v="255.01"/>
    <n v="73.709999999999994"/>
    <x v="3"/>
    <x v="4"/>
  </r>
  <r>
    <s v="Mar"/>
    <s v="2025-03-22"/>
    <n v="759.72"/>
    <n v="222.38"/>
    <x v="0"/>
    <x v="1"/>
  </r>
  <r>
    <s v="Feb"/>
    <s v="2024-02-29"/>
    <n v="1359.05"/>
    <n v="477.63"/>
    <x v="4"/>
    <x v="3"/>
  </r>
  <r>
    <s v="Oct"/>
    <s v="2024-10-05"/>
    <n v="1277.6400000000001"/>
    <n v="461.83"/>
    <x v="3"/>
    <x v="1"/>
  </r>
  <r>
    <s v="Jan"/>
    <s v="2025-01-28"/>
    <n v="318.95999999999998"/>
    <n v="47.01"/>
    <x v="0"/>
    <x v="1"/>
  </r>
  <r>
    <s v="Apr"/>
    <s v="2025-04-24"/>
    <n v="631"/>
    <n v="204.07"/>
    <x v="3"/>
    <x v="2"/>
  </r>
  <r>
    <s v="May"/>
    <s v="2024-05-19"/>
    <n v="165.3"/>
    <n v="60.13"/>
    <x v="1"/>
    <x v="1"/>
  </r>
  <r>
    <s v="Feb"/>
    <s v="2024-02-15"/>
    <n v="515.05999999999995"/>
    <n v="101.76"/>
    <x v="3"/>
    <x v="3"/>
  </r>
  <r>
    <s v="Apr"/>
    <s v="2025-04-03"/>
    <n v="906.78"/>
    <n v="196.18"/>
    <x v="3"/>
    <x v="2"/>
  </r>
  <r>
    <s v="Jul"/>
    <s v="2024-07-05"/>
    <n v="479.91"/>
    <n v="108.03"/>
    <x v="3"/>
    <x v="1"/>
  </r>
  <r>
    <s v="Mar"/>
    <s v="2024-03-06"/>
    <n v="1060.92"/>
    <n v="227.87"/>
    <x v="1"/>
    <x v="0"/>
  </r>
  <r>
    <s v="Sep"/>
    <s v="2024-09-20"/>
    <n v="54.54"/>
    <n v="17.09"/>
    <x v="3"/>
    <x v="0"/>
  </r>
  <r>
    <s v="Nov"/>
    <s v="2024-11-22"/>
    <n v="2157.6"/>
    <n v="665.19"/>
    <x v="3"/>
    <x v="3"/>
  </r>
  <r>
    <s v="Apr"/>
    <s v="2025-04-11"/>
    <n v="657.8"/>
    <n v="184.44"/>
    <x v="3"/>
    <x v="1"/>
  </r>
  <r>
    <s v="Nov"/>
    <s v="2024-11-12"/>
    <n v="469.8"/>
    <n v="171.28"/>
    <x v="1"/>
    <x v="3"/>
  </r>
  <r>
    <s v="Oct"/>
    <s v="2024-10-02"/>
    <n v="786.45"/>
    <n v="136.05000000000001"/>
    <x v="0"/>
    <x v="3"/>
  </r>
  <r>
    <s v="Dec"/>
    <s v="2024-12-15"/>
    <n v="713.5"/>
    <n v="163.12"/>
    <x v="3"/>
    <x v="1"/>
  </r>
  <r>
    <s v="Feb"/>
    <s v="2025-02-28"/>
    <n v="418.77"/>
    <n v="114.75"/>
    <x v="0"/>
    <x v="4"/>
  </r>
  <r>
    <s v="Oct"/>
    <s v="2024-10-22"/>
    <n v="347.76"/>
    <n v="47.42"/>
    <x v="0"/>
    <x v="3"/>
  </r>
  <r>
    <s v="Jun"/>
    <s v="2024-06-07"/>
    <n v="2100.84"/>
    <n v="835.19"/>
    <x v="1"/>
    <x v="3"/>
  </r>
  <r>
    <s v="Jan"/>
    <s v="2025-01-06"/>
    <n v="642.07000000000005"/>
    <n v="239.75"/>
    <x v="5"/>
    <x v="3"/>
  </r>
  <r>
    <s v="May"/>
    <s v="2025-05-07"/>
    <n v="342.9"/>
    <n v="45.74"/>
    <x v="1"/>
    <x v="0"/>
  </r>
  <r>
    <s v="Sep"/>
    <s v="2024-09-19"/>
    <n v="1378.99"/>
    <n v="361.07"/>
    <x v="3"/>
    <x v="4"/>
  </r>
  <r>
    <s v="Mar"/>
    <s v="2024-03-23"/>
    <n v="2648.45"/>
    <n v="866.65"/>
    <x v="1"/>
    <x v="0"/>
  </r>
  <r>
    <s v="Aug"/>
    <s v="2024-08-18"/>
    <n v="661.98"/>
    <n v="191.21"/>
    <x v="1"/>
    <x v="1"/>
  </r>
  <r>
    <s v="Nov"/>
    <s v="2024-11-07"/>
    <n v="1748.32"/>
    <n v="251.85"/>
    <x v="1"/>
    <x v="3"/>
  </r>
  <r>
    <s v="Mar"/>
    <s v="2025-03-02"/>
    <n v="710.47"/>
    <n v="116.73"/>
    <x v="3"/>
    <x v="4"/>
  </r>
  <r>
    <s v="Oct"/>
    <s v="2024-10-01"/>
    <n v="834.4"/>
    <n v="325.29000000000002"/>
    <x v="1"/>
    <x v="0"/>
  </r>
  <r>
    <s v="Feb"/>
    <s v="2025-02-21"/>
    <n v="85.08"/>
    <n v="13.12"/>
    <x v="1"/>
    <x v="3"/>
  </r>
  <r>
    <s v="Nov"/>
    <s v="2024-11-29"/>
    <n v="619.64"/>
    <n v="245.44"/>
    <x v="1"/>
    <x v="1"/>
  </r>
  <r>
    <s v="Dec"/>
    <s v="2024-12-17"/>
    <n v="773.36"/>
    <n v="239.48"/>
    <x v="0"/>
    <x v="0"/>
  </r>
  <r>
    <s v="Mar"/>
    <s v="2025-03-07"/>
    <n v="1369.2"/>
    <n v="291.17"/>
    <x v="0"/>
    <x v="4"/>
  </r>
  <r>
    <s v="Jan"/>
    <s v="2025-01-08"/>
    <n v="469.8"/>
    <n v="78.3"/>
    <x v="3"/>
    <x v="2"/>
  </r>
  <r>
    <s v="Mar"/>
    <s v="2025-03-29"/>
    <n v="1349.74"/>
    <n v="474.88"/>
    <x v="1"/>
    <x v="4"/>
  </r>
  <r>
    <s v="May"/>
    <s v="2025-05-11"/>
    <n v="577.53"/>
    <n v="60.38"/>
    <x v="3"/>
    <x v="3"/>
  </r>
  <r>
    <s v="Feb"/>
    <s v="2024-02-09"/>
    <n v="1036.6400000000001"/>
    <n v="237.87"/>
    <x v="3"/>
    <x v="1"/>
  </r>
  <r>
    <s v="Nov"/>
    <s v="2024-11-20"/>
    <n v="1548.5"/>
    <n v="566.41"/>
    <x v="2"/>
    <x v="0"/>
  </r>
  <r>
    <s v="Feb"/>
    <s v="2024-02-28"/>
    <n v="1035.47"/>
    <n v="301.38"/>
    <x v="3"/>
    <x v="2"/>
  </r>
  <r>
    <s v="May"/>
    <s v="2025-05-12"/>
    <n v="778.75"/>
    <n v="231.3"/>
    <x v="3"/>
    <x v="1"/>
  </r>
  <r>
    <s v="Jul"/>
    <s v="2024-07-26"/>
    <n v="933.6"/>
    <n v="342.72"/>
    <x v="1"/>
    <x v="0"/>
  </r>
  <r>
    <s v="Feb"/>
    <s v="2025-02-03"/>
    <n v="333.88"/>
    <n v="48.15"/>
    <x v="0"/>
    <x v="3"/>
  </r>
  <r>
    <s v="Jun"/>
    <s v="2024-06-14"/>
    <n v="2121.9499999999998"/>
    <n v="790.56"/>
    <x v="0"/>
    <x v="1"/>
  </r>
  <r>
    <s v="Feb"/>
    <s v="2025-02-19"/>
    <n v="1917"/>
    <n v="237.73"/>
    <x v="1"/>
    <x v="0"/>
  </r>
  <r>
    <s v="Jun"/>
    <s v="2024-06-22"/>
    <n v="795.5"/>
    <n v="258.17"/>
    <x v="1"/>
    <x v="1"/>
  </r>
  <r>
    <s v="May"/>
    <s v="2025-05-01"/>
    <n v="616.59"/>
    <n v="168.83"/>
    <x v="3"/>
    <x v="4"/>
  </r>
  <r>
    <s v="Nov"/>
    <s v="2024-11-05"/>
    <n v="108.04"/>
    <n v="31.31"/>
    <x v="3"/>
    <x v="0"/>
  </r>
  <r>
    <s v="May"/>
    <s v="2024-05-05"/>
    <n v="1267.2"/>
    <n v="461.88"/>
    <x v="0"/>
    <x v="0"/>
  </r>
  <r>
    <s v="Jan"/>
    <s v="2024-01-15"/>
    <n v="1040.1600000000001"/>
    <n v="398.98"/>
    <x v="1"/>
    <x v="4"/>
  </r>
  <r>
    <s v="Feb"/>
    <s v="2025-02-23"/>
    <n v="2656.6"/>
    <n v="1116.3"/>
    <x v="0"/>
    <x v="2"/>
  </r>
  <r>
    <s v="Jun"/>
    <s v="2024-06-28"/>
    <n v="698.64"/>
    <n v="164.65"/>
    <x v="3"/>
    <x v="1"/>
  </r>
  <r>
    <s v="Jan"/>
    <s v="2024-01-19"/>
    <n v="167.46"/>
    <n v="22.45"/>
    <x v="3"/>
    <x v="3"/>
  </r>
  <r>
    <s v="Feb"/>
    <s v="2024-02-09"/>
    <n v="764.12"/>
    <n v="108.34"/>
    <x v="3"/>
    <x v="3"/>
  </r>
  <r>
    <s v="Feb"/>
    <s v="2024-02-25"/>
    <n v="1686.36"/>
    <n v="558.55999999999995"/>
    <x v="0"/>
    <x v="3"/>
  </r>
  <r>
    <s v="Jun"/>
    <s v="2024-06-22"/>
    <n v="521.92999999999995"/>
    <n v="196.14"/>
    <x v="1"/>
    <x v="3"/>
  </r>
  <r>
    <s v="Nov"/>
    <s v="2024-11-02"/>
    <n v="380.38"/>
    <n v="110.91"/>
    <x v="5"/>
    <x v="1"/>
  </r>
  <r>
    <s v="Jan"/>
    <s v="2025-01-08"/>
    <n v="104.68"/>
    <n v="26.35"/>
    <x v="1"/>
    <x v="0"/>
  </r>
  <r>
    <s v="Jan"/>
    <s v="2024-01-13"/>
    <n v="1604.76"/>
    <n v="576.25"/>
    <x v="1"/>
    <x v="3"/>
  </r>
  <r>
    <s v="Sep"/>
    <s v="2024-09-23"/>
    <n v="622.35"/>
    <n v="115.91"/>
    <x v="4"/>
    <x v="0"/>
  </r>
  <r>
    <s v="Oct"/>
    <s v="2024-10-10"/>
    <n v="722.76"/>
    <n v="223.63"/>
    <x v="3"/>
    <x v="1"/>
  </r>
  <r>
    <s v="Jun"/>
    <s v="2024-06-26"/>
    <n v="709.4"/>
    <n v="290.76"/>
    <x v="0"/>
    <x v="2"/>
  </r>
  <r>
    <s v="Jan"/>
    <s v="2024-01-05"/>
    <n v="650.76"/>
    <n v="187.33"/>
    <x v="3"/>
    <x v="4"/>
  </r>
  <r>
    <s v="Sep"/>
    <s v="2024-09-09"/>
    <n v="388"/>
    <n v="51.61"/>
    <x v="0"/>
    <x v="1"/>
  </r>
  <r>
    <s v="May"/>
    <s v="2024-05-04"/>
    <n v="101.52"/>
    <n v="24.2"/>
    <x v="3"/>
    <x v="4"/>
  </r>
  <r>
    <s v="Mar"/>
    <s v="2024-03-31"/>
    <n v="422.4"/>
    <n v="90.32"/>
    <x v="1"/>
    <x v="3"/>
  </r>
  <r>
    <s v="Dec"/>
    <s v="2024-12-31"/>
    <n v="58.15"/>
    <n v="18.95"/>
    <x v="4"/>
    <x v="0"/>
  </r>
  <r>
    <s v="Mar"/>
    <s v="2024-03-09"/>
    <n v="1470.72"/>
    <n v="363.95"/>
    <x v="2"/>
    <x v="1"/>
  </r>
  <r>
    <s v="Apr"/>
    <s v="2025-04-30"/>
    <n v="622.34"/>
    <n v="117.69"/>
    <x v="1"/>
    <x v="1"/>
  </r>
  <r>
    <s v="Apr"/>
    <s v="2024-04-09"/>
    <n v="983.16"/>
    <n v="384.55"/>
    <x v="1"/>
    <x v="1"/>
  </r>
  <r>
    <s v="Mar"/>
    <s v="2025-03-17"/>
    <n v="684.9"/>
    <n v="270.08999999999997"/>
    <x v="1"/>
    <x v="1"/>
  </r>
  <r>
    <s v="Dec"/>
    <s v="2024-12-17"/>
    <n v="1833.78"/>
    <n v="535.77"/>
    <x v="1"/>
    <x v="1"/>
  </r>
  <r>
    <s v="Apr"/>
    <s v="2025-04-27"/>
    <n v="953.04"/>
    <n v="265.74"/>
    <x v="0"/>
    <x v="3"/>
  </r>
  <r>
    <s v="Oct"/>
    <s v="2024-10-06"/>
    <n v="190.14"/>
    <n v="42.62"/>
    <x v="3"/>
    <x v="3"/>
  </r>
  <r>
    <s v="Jun"/>
    <s v="2024-06-17"/>
    <n v="1012.32"/>
    <n v="320.08"/>
    <x v="1"/>
    <x v="0"/>
  </r>
  <r>
    <s v="May"/>
    <s v="2024-05-24"/>
    <n v="2233.91"/>
    <n v="460"/>
    <x v="0"/>
    <x v="0"/>
  </r>
  <r>
    <s v="Nov"/>
    <s v="2024-11-13"/>
    <n v="288.24"/>
    <n v="38.44"/>
    <x v="3"/>
    <x v="1"/>
  </r>
  <r>
    <s v="Jan"/>
    <s v="2025-01-06"/>
    <n v="500.48"/>
    <n v="67.790000000000006"/>
    <x v="3"/>
    <x v="1"/>
  </r>
  <r>
    <s v="Oct"/>
    <s v="2024-10-27"/>
    <n v="935.88"/>
    <n v="186.51"/>
    <x v="5"/>
    <x v="1"/>
  </r>
  <r>
    <s v="Jun"/>
    <s v="2024-06-04"/>
    <n v="1611.35"/>
    <n v="618.57000000000005"/>
    <x v="3"/>
    <x v="4"/>
  </r>
  <r>
    <s v="Aug"/>
    <s v="2024-08-24"/>
    <n v="850.92"/>
    <n v="177.49"/>
    <x v="2"/>
    <x v="3"/>
  </r>
  <r>
    <s v="May"/>
    <s v="2025-05-14"/>
    <n v="1035.44"/>
    <n v="226.37"/>
    <x v="0"/>
    <x v="0"/>
  </r>
  <r>
    <s v="Jun"/>
    <s v="2024-06-29"/>
    <n v="966.14"/>
    <n v="373.47"/>
    <x v="1"/>
    <x v="2"/>
  </r>
  <r>
    <s v="May"/>
    <s v="2024-05-23"/>
    <n v="820.41"/>
    <n v="177.26"/>
    <x v="5"/>
    <x v="1"/>
  </r>
  <r>
    <s v="Jan"/>
    <s v="2024-01-30"/>
    <n v="768.79"/>
    <n v="303.63"/>
    <x v="0"/>
    <x v="3"/>
  </r>
  <r>
    <s v="Dec"/>
    <s v="2024-12-30"/>
    <n v="638.77"/>
    <n v="209.88"/>
    <x v="0"/>
    <x v="0"/>
  </r>
  <r>
    <s v="May"/>
    <s v="2025-05-05"/>
    <n v="146.28"/>
    <n v="39.83"/>
    <x v="1"/>
    <x v="1"/>
  </r>
  <r>
    <s v="May"/>
    <s v="2024-05-03"/>
    <n v="1492.54"/>
    <n v="460.72"/>
    <x v="3"/>
    <x v="1"/>
  </r>
  <r>
    <s v="Sep"/>
    <s v="2024-09-29"/>
    <n v="880.25"/>
    <n v="140.44999999999999"/>
    <x v="3"/>
    <x v="3"/>
  </r>
  <r>
    <s v="Jan"/>
    <s v="2024-01-25"/>
    <n v="1658.34"/>
    <n v="556.59"/>
    <x v="0"/>
    <x v="3"/>
  </r>
  <r>
    <s v="Jun"/>
    <s v="2024-06-16"/>
    <n v="206.25"/>
    <n v="24.08"/>
    <x v="1"/>
    <x v="3"/>
  </r>
  <r>
    <s v="Feb"/>
    <s v="2024-02-13"/>
    <n v="1171.42"/>
    <n v="372.47"/>
    <x v="2"/>
    <x v="1"/>
  </r>
  <r>
    <s v="Jul"/>
    <s v="2024-07-21"/>
    <n v="556.58000000000004"/>
    <n v="201.9"/>
    <x v="1"/>
    <x v="1"/>
  </r>
  <r>
    <s v="Apr"/>
    <s v="2024-04-19"/>
    <n v="326.48"/>
    <n v="105.29"/>
    <x v="0"/>
    <x v="3"/>
  </r>
  <r>
    <s v="Feb"/>
    <s v="2025-02-10"/>
    <n v="396.32"/>
    <n v="92.72"/>
    <x v="3"/>
    <x v="0"/>
  </r>
  <r>
    <s v="Apr"/>
    <s v="2025-04-16"/>
    <n v="2203.5"/>
    <n v="501.92"/>
    <x v="0"/>
    <x v="2"/>
  </r>
  <r>
    <s v="Sep"/>
    <s v="2024-09-27"/>
    <n v="24.01"/>
    <n v="6.93"/>
    <x v="3"/>
    <x v="3"/>
  </r>
  <r>
    <s v="Dec"/>
    <s v="2024-12-12"/>
    <n v="1619.55"/>
    <n v="444.6"/>
    <x v="3"/>
    <x v="4"/>
  </r>
  <r>
    <s v="Feb"/>
    <s v="2025-02-28"/>
    <n v="127.25"/>
    <n v="20.03"/>
    <x v="3"/>
    <x v="1"/>
  </r>
  <r>
    <s v="Jan"/>
    <s v="2025-01-25"/>
    <n v="468.72"/>
    <n v="82.6"/>
    <x v="3"/>
    <x v="3"/>
  </r>
  <r>
    <s v="Jan"/>
    <s v="2025-01-30"/>
    <n v="625.24"/>
    <n v="224"/>
    <x v="0"/>
    <x v="1"/>
  </r>
  <r>
    <s v="Nov"/>
    <s v="2024-11-16"/>
    <n v="1926.19"/>
    <n v="288.49"/>
    <x v="1"/>
    <x v="1"/>
  </r>
  <r>
    <s v="Jul"/>
    <s v="2024-07-12"/>
    <n v="137.69999999999999"/>
    <n v="39.07"/>
    <x v="3"/>
    <x v="3"/>
  </r>
  <r>
    <s v="Jun"/>
    <s v="2024-06-14"/>
    <n v="970.2"/>
    <n v="208.46"/>
    <x v="0"/>
    <x v="1"/>
  </r>
  <r>
    <s v="Oct"/>
    <s v="2024-10-14"/>
    <n v="2201.5"/>
    <n v="773.45"/>
    <x v="3"/>
    <x v="2"/>
  </r>
  <r>
    <s v="Apr"/>
    <s v="2025-04-21"/>
    <n v="1274.98"/>
    <n v="233.14"/>
    <x v="5"/>
    <x v="1"/>
  </r>
  <r>
    <s v="Dec"/>
    <s v="2024-12-21"/>
    <n v="32.979999999999997"/>
    <n v="6.09"/>
    <x v="2"/>
    <x v="4"/>
  </r>
  <r>
    <s v="Nov"/>
    <s v="2024-11-02"/>
    <n v="361.62"/>
    <n v="123.74"/>
    <x v="2"/>
    <x v="1"/>
  </r>
  <r>
    <s v="Jun"/>
    <s v="2024-06-04"/>
    <n v="1934.01"/>
    <n v="506.22"/>
    <x v="3"/>
    <x v="0"/>
  </r>
  <r>
    <s v="Apr"/>
    <s v="2025-04-17"/>
    <n v="251.94"/>
    <n v="49.18"/>
    <x v="0"/>
    <x v="1"/>
  </r>
  <r>
    <s v="May"/>
    <s v="2024-05-13"/>
    <n v="568.79999999999995"/>
    <n v="125.49"/>
    <x v="3"/>
    <x v="0"/>
  </r>
  <r>
    <s v="Jul"/>
    <s v="2024-07-09"/>
    <n v="1714"/>
    <n v="654.16"/>
    <x v="3"/>
    <x v="1"/>
  </r>
  <r>
    <s v="Mar"/>
    <s v="2025-03-27"/>
    <n v="1469.5"/>
    <n v="467.99"/>
    <x v="4"/>
    <x v="0"/>
  </r>
  <r>
    <s v="Aug"/>
    <s v="2024-08-22"/>
    <n v="1395.64"/>
    <n v="463.44"/>
    <x v="2"/>
    <x v="0"/>
  </r>
  <r>
    <s v="Mar"/>
    <s v="2024-03-29"/>
    <n v="940.5"/>
    <n v="262.75"/>
    <x v="3"/>
    <x v="1"/>
  </r>
  <r>
    <s v="Jul"/>
    <s v="2024-07-08"/>
    <n v="59.28"/>
    <n v="9.69"/>
    <x v="5"/>
    <x v="3"/>
  </r>
  <r>
    <s v="Jan"/>
    <s v="2024-01-20"/>
    <n v="1339.2"/>
    <n v="192.89"/>
    <x v="3"/>
    <x v="3"/>
  </r>
  <r>
    <s v="Dec"/>
    <s v="2024-12-18"/>
    <n v="1078.56"/>
    <n v="314.05"/>
    <x v="1"/>
    <x v="4"/>
  </r>
  <r>
    <s v="Mar"/>
    <s v="2024-03-26"/>
    <n v="341.88"/>
    <n v="77.2"/>
    <x v="1"/>
    <x v="3"/>
  </r>
  <r>
    <s v="Oct"/>
    <s v="2024-10-03"/>
    <n v="1089.9000000000001"/>
    <n v="222.4"/>
    <x v="0"/>
    <x v="1"/>
  </r>
  <r>
    <s v="Aug"/>
    <s v="2024-08-31"/>
    <n v="904.8"/>
    <n v="84.67"/>
    <x v="3"/>
    <x v="4"/>
  </r>
  <r>
    <s v="Jul"/>
    <s v="2024-07-01"/>
    <n v="1201.2"/>
    <n v="329.23"/>
    <x v="2"/>
    <x v="1"/>
  </r>
  <r>
    <s v="Oct"/>
    <s v="2024-10-19"/>
    <n v="406.8"/>
    <n v="82.52"/>
    <x v="4"/>
    <x v="1"/>
  </r>
  <r>
    <s v="Oct"/>
    <s v="2024-10-02"/>
    <n v="642.25"/>
    <n v="166.65"/>
    <x v="1"/>
    <x v="1"/>
  </r>
  <r>
    <s v="Jun"/>
    <s v="2024-06-16"/>
    <n v="1104.3900000000001"/>
    <n v="312.33"/>
    <x v="4"/>
    <x v="0"/>
  </r>
  <r>
    <s v="Sep"/>
    <s v="2024-09-03"/>
    <n v="442"/>
    <n v="143.55000000000001"/>
    <x v="3"/>
    <x v="3"/>
  </r>
  <r>
    <s v="Dec"/>
    <s v="2024-12-09"/>
    <n v="669.9"/>
    <n v="258.62"/>
    <x v="3"/>
    <x v="0"/>
  </r>
  <r>
    <s v="Sep"/>
    <s v="2024-09-10"/>
    <n v="580.32000000000005"/>
    <n v="203.74"/>
    <x v="3"/>
    <x v="1"/>
  </r>
  <r>
    <s v="Jan"/>
    <s v="2025-01-23"/>
    <n v="1926.94"/>
    <n v="541.54999999999995"/>
    <x v="3"/>
    <x v="3"/>
  </r>
  <r>
    <s v="Oct"/>
    <s v="2024-10-27"/>
    <n v="913.32"/>
    <n v="314.75"/>
    <x v="1"/>
    <x v="1"/>
  </r>
  <r>
    <s v="Mar"/>
    <s v="2024-03-09"/>
    <n v="943.6"/>
    <n v="293.43"/>
    <x v="1"/>
    <x v="3"/>
  </r>
  <r>
    <s v="Aug"/>
    <s v="2024-08-15"/>
    <n v="1752.34"/>
    <n v="225.25"/>
    <x v="3"/>
    <x v="0"/>
  </r>
  <r>
    <s v="Sep"/>
    <s v="2024-09-24"/>
    <n v="724.32"/>
    <n v="199.35"/>
    <x v="1"/>
    <x v="1"/>
  </r>
  <r>
    <s v="Feb"/>
    <s v="2025-02-04"/>
    <n v="880.88"/>
    <n v="138.61000000000001"/>
    <x v="3"/>
    <x v="3"/>
  </r>
  <r>
    <s v="Aug"/>
    <s v="2024-08-18"/>
    <n v="329.4"/>
    <n v="76.180000000000007"/>
    <x v="1"/>
    <x v="1"/>
  </r>
  <r>
    <s v="Nov"/>
    <s v="2024-11-18"/>
    <n v="794.82"/>
    <n v="255.37"/>
    <x v="4"/>
    <x v="1"/>
  </r>
  <r>
    <s v="Sep"/>
    <s v="2024-09-04"/>
    <n v="1480.74"/>
    <n v="219.61"/>
    <x v="3"/>
    <x v="4"/>
  </r>
  <r>
    <s v="Mar"/>
    <s v="2025-03-18"/>
    <n v="635.79999999999995"/>
    <n v="237.37"/>
    <x v="3"/>
    <x v="0"/>
  </r>
  <r>
    <s v="Mar"/>
    <s v="2025-03-19"/>
    <n v="231.52"/>
    <n v="80.52"/>
    <x v="5"/>
    <x v="0"/>
  </r>
  <r>
    <s v="Oct"/>
    <s v="2024-10-12"/>
    <n v="1226.4000000000001"/>
    <n v="421.16"/>
    <x v="1"/>
    <x v="0"/>
  </r>
  <r>
    <s v="Mar"/>
    <s v="2025-03-08"/>
    <n v="2379.96"/>
    <n v="865.57"/>
    <x v="5"/>
    <x v="1"/>
  </r>
  <r>
    <s v="Feb"/>
    <s v="2025-02-19"/>
    <n v="2204.48"/>
    <n v="772.43"/>
    <x v="3"/>
    <x v="2"/>
  </r>
  <r>
    <s v="May"/>
    <s v="2024-05-11"/>
    <n v="1907.4"/>
    <n v="268.35000000000002"/>
    <x v="3"/>
    <x v="0"/>
  </r>
  <r>
    <s v="Jul"/>
    <s v="2024-07-17"/>
    <n v="816"/>
    <n v="101.85"/>
    <x v="0"/>
    <x v="3"/>
  </r>
  <r>
    <s v="Feb"/>
    <s v="2024-02-25"/>
    <n v="1240.25"/>
    <n v="409.39"/>
    <x v="3"/>
    <x v="0"/>
  </r>
  <r>
    <s v="Mar"/>
    <s v="2025-03-24"/>
    <n v="355.65"/>
    <n v="115.93"/>
    <x v="4"/>
    <x v="3"/>
  </r>
  <r>
    <s v="Aug"/>
    <s v="2024-08-14"/>
    <n v="1605.12"/>
    <n v="450.41"/>
    <x v="3"/>
    <x v="1"/>
  </r>
  <r>
    <s v="Apr"/>
    <s v="2024-04-05"/>
    <n v="356.58"/>
    <n v="100.39"/>
    <x v="1"/>
    <x v="0"/>
  </r>
  <r>
    <s v="Jan"/>
    <s v="2025-01-12"/>
    <n v="31.4"/>
    <n v="10.26"/>
    <x v="5"/>
    <x v="1"/>
  </r>
  <r>
    <s v="Jul"/>
    <s v="2024-07-11"/>
    <n v="520.52"/>
    <n v="149.44"/>
    <x v="1"/>
    <x v="1"/>
  </r>
  <r>
    <s v="Mar"/>
    <s v="2025-03-06"/>
    <n v="1033"/>
    <n v="223.87"/>
    <x v="1"/>
    <x v="3"/>
  </r>
  <r>
    <s v="Jan"/>
    <s v="2025-01-28"/>
    <n v="186.48"/>
    <n v="33.19"/>
    <x v="3"/>
    <x v="0"/>
  </r>
  <r>
    <s v="Jan"/>
    <s v="2025-01-28"/>
    <n v="806.97"/>
    <n v="213.84"/>
    <x v="4"/>
    <x v="3"/>
  </r>
  <r>
    <s v="Apr"/>
    <s v="2024-04-29"/>
    <n v="1280.6400000000001"/>
    <n v="481.28"/>
    <x v="3"/>
    <x v="3"/>
  </r>
  <r>
    <s v="May"/>
    <s v="2025-05-08"/>
    <n v="1027.68"/>
    <n v="357.73"/>
    <x v="2"/>
    <x v="4"/>
  </r>
  <r>
    <s v="Jan"/>
    <s v="2025-01-11"/>
    <n v="894.4"/>
    <n v="268.98"/>
    <x v="5"/>
    <x v="3"/>
  </r>
  <r>
    <s v="Jun"/>
    <s v="2024-06-11"/>
    <n v="2109.83"/>
    <n v="418.92"/>
    <x v="1"/>
    <x v="0"/>
  </r>
  <r>
    <s v="Dec"/>
    <s v="2024-12-30"/>
    <n v="18.739999999999998"/>
    <n v="2.74"/>
    <x v="3"/>
    <x v="3"/>
  </r>
  <r>
    <s v="Dec"/>
    <s v="2024-12-22"/>
    <n v="979.29"/>
    <n v="317.20999999999998"/>
    <x v="3"/>
    <x v="3"/>
  </r>
  <r>
    <s v="Oct"/>
    <s v="2024-10-14"/>
    <n v="244.66"/>
    <n v="72.42"/>
    <x v="1"/>
    <x v="1"/>
  </r>
  <r>
    <s v="Feb"/>
    <s v="2025-02-27"/>
    <n v="1770.79"/>
    <n v="539.51"/>
    <x v="5"/>
    <x v="3"/>
  </r>
  <r>
    <s v="Mar"/>
    <s v="2024-03-17"/>
    <n v="1692.4"/>
    <n v="453.81"/>
    <x v="3"/>
    <x v="3"/>
  </r>
  <r>
    <s v="May"/>
    <s v="2025-05-05"/>
    <n v="57.15"/>
    <n v="21.04"/>
    <x v="3"/>
    <x v="1"/>
  </r>
  <r>
    <s v="May"/>
    <s v="2024-05-02"/>
    <n v="450.45"/>
    <n v="120.46"/>
    <x v="0"/>
    <x v="1"/>
  </r>
  <r>
    <s v="May"/>
    <s v="2024-05-25"/>
    <n v="1483.68"/>
    <n v="438.18"/>
    <x v="2"/>
    <x v="1"/>
  </r>
  <r>
    <s v="Jan"/>
    <s v="2024-01-01"/>
    <n v="257.52"/>
    <n v="65.67"/>
    <x v="0"/>
    <x v="3"/>
  </r>
  <r>
    <s v="Aug"/>
    <s v="2024-08-07"/>
    <n v="1336.5"/>
    <n v="418.16"/>
    <x v="3"/>
    <x v="2"/>
  </r>
  <r>
    <s v="Mar"/>
    <s v="2025-03-15"/>
    <n v="2510.2800000000002"/>
    <n v="939.91"/>
    <x v="1"/>
    <x v="2"/>
  </r>
  <r>
    <s v="Sep"/>
    <s v="2024-09-07"/>
    <n v="1679.04"/>
    <n v="462.56"/>
    <x v="0"/>
    <x v="0"/>
  </r>
  <r>
    <s v="Jul"/>
    <s v="2024-07-14"/>
    <n v="1689.52"/>
    <n v="264.45999999999998"/>
    <x v="3"/>
    <x v="3"/>
  </r>
  <r>
    <s v="Jan"/>
    <s v="2024-01-20"/>
    <n v="788.33"/>
    <n v="110.52"/>
    <x v="3"/>
    <x v="1"/>
  </r>
  <r>
    <s v="Feb"/>
    <s v="2024-02-01"/>
    <n v="918.72"/>
    <n v="316.5"/>
    <x v="1"/>
    <x v="1"/>
  </r>
  <r>
    <s v="Mar"/>
    <s v="2025-03-02"/>
    <n v="1423.38"/>
    <n v="161.97999999999999"/>
    <x v="3"/>
    <x v="3"/>
  </r>
  <r>
    <s v="Sep"/>
    <s v="2024-09-25"/>
    <n v="282.75"/>
    <n v="36.25"/>
    <x v="3"/>
    <x v="0"/>
  </r>
  <r>
    <s v="Mar"/>
    <s v="2024-03-14"/>
    <n v="939.5"/>
    <n v="328.56"/>
    <x v="3"/>
    <x v="3"/>
  </r>
  <r>
    <s v="Feb"/>
    <s v="2025-02-16"/>
    <n v="404"/>
    <n v="65.25"/>
    <x v="1"/>
    <x v="1"/>
  </r>
  <r>
    <s v="Sep"/>
    <s v="2024-09-29"/>
    <n v="956.45"/>
    <n v="351.25"/>
    <x v="3"/>
    <x v="3"/>
  </r>
  <r>
    <s v="Jan"/>
    <s v="2025-01-14"/>
    <n v="25.72"/>
    <n v="3.68"/>
    <x v="3"/>
    <x v="1"/>
  </r>
  <r>
    <s v="Nov"/>
    <s v="2024-11-03"/>
    <n v="2258.4"/>
    <n v="734.96"/>
    <x v="3"/>
    <x v="3"/>
  </r>
  <r>
    <s v="Mar"/>
    <s v="2024-03-12"/>
    <n v="1437.12"/>
    <n v="446.98"/>
    <x v="2"/>
    <x v="1"/>
  </r>
  <r>
    <s v="Aug"/>
    <s v="2024-08-29"/>
    <n v="428.16"/>
    <n v="145.09"/>
    <x v="1"/>
    <x v="3"/>
  </r>
  <r>
    <s v="Sep"/>
    <s v="2024-09-27"/>
    <n v="1479.6"/>
    <n v="413.63"/>
    <x v="0"/>
    <x v="1"/>
  </r>
  <r>
    <s v="Jan"/>
    <s v="2024-01-15"/>
    <n v="1017.36"/>
    <n v="180.62"/>
    <x v="1"/>
    <x v="3"/>
  </r>
  <r>
    <s v="Mar"/>
    <s v="2025-03-16"/>
    <n v="1417.26"/>
    <n v="375.26"/>
    <x v="1"/>
    <x v="4"/>
  </r>
  <r>
    <s v="May"/>
    <s v="2024-05-16"/>
    <n v="389.28"/>
    <n v="118.95"/>
    <x v="3"/>
    <x v="3"/>
  </r>
  <r>
    <s v="Jan"/>
    <s v="2025-01-28"/>
    <n v="891.2"/>
    <n v="238.47"/>
    <x v="3"/>
    <x v="3"/>
  </r>
  <r>
    <s v="Aug"/>
    <s v="2024-08-02"/>
    <n v="976.95"/>
    <n v="351.6"/>
    <x v="3"/>
    <x v="1"/>
  </r>
  <r>
    <s v="Aug"/>
    <s v="2024-08-21"/>
    <n v="248.56"/>
    <n v="37.590000000000003"/>
    <x v="1"/>
    <x v="4"/>
  </r>
  <r>
    <s v="Feb"/>
    <s v="2024-02-17"/>
    <n v="1030.71"/>
    <n v="360.47"/>
    <x v="1"/>
    <x v="1"/>
  </r>
  <r>
    <s v="Jul"/>
    <s v="2024-07-13"/>
    <n v="987.16"/>
    <n v="379.02"/>
    <x v="1"/>
    <x v="1"/>
  </r>
  <r>
    <s v="Feb"/>
    <s v="2025-02-13"/>
    <n v="2119.5"/>
    <n v="739.34"/>
    <x v="0"/>
    <x v="3"/>
  </r>
  <r>
    <s v="Mar"/>
    <s v="2025-03-15"/>
    <n v="116.64"/>
    <n v="37.65"/>
    <x v="3"/>
    <x v="0"/>
  </r>
  <r>
    <s v="Feb"/>
    <s v="2024-02-16"/>
    <n v="1901.54"/>
    <n v="669.11"/>
    <x v="1"/>
    <x v="0"/>
  </r>
  <r>
    <s v="Mar"/>
    <s v="2024-03-08"/>
    <n v="658.5"/>
    <n v="247.02"/>
    <x v="0"/>
    <x v="4"/>
  </r>
  <r>
    <s v="Nov"/>
    <s v="2024-11-30"/>
    <n v="82.12"/>
    <n v="27.07"/>
    <x v="1"/>
    <x v="1"/>
  </r>
  <r>
    <s v="Jul"/>
    <s v="2024-07-19"/>
    <n v="148.19999999999999"/>
    <n v="24.44"/>
    <x v="5"/>
    <x v="1"/>
  </r>
  <r>
    <s v="Dec"/>
    <s v="2024-12-19"/>
    <n v="364.23"/>
    <n v="106.82"/>
    <x v="2"/>
    <x v="1"/>
  </r>
  <r>
    <s v="May"/>
    <s v="2024-05-13"/>
    <n v="110.56"/>
    <n v="25.19"/>
    <x v="3"/>
    <x v="2"/>
  </r>
  <r>
    <s v="Jun"/>
    <s v="2024-06-01"/>
    <n v="2151.59"/>
    <n v="863.04"/>
    <x v="2"/>
    <x v="4"/>
  </r>
  <r>
    <s v="Apr"/>
    <s v="2024-04-25"/>
    <n v="1213.3599999999999"/>
    <n v="431.53"/>
    <x v="2"/>
    <x v="4"/>
  </r>
  <r>
    <s v="Jun"/>
    <s v="2024-06-11"/>
    <n v="1178.6300000000001"/>
    <n v="456.31"/>
    <x v="4"/>
    <x v="3"/>
  </r>
  <r>
    <s v="Aug"/>
    <s v="2024-08-28"/>
    <n v="891.52"/>
    <n v="277.27999999999997"/>
    <x v="0"/>
    <x v="1"/>
  </r>
  <r>
    <s v="Dec"/>
    <s v="2024-12-27"/>
    <n v="1505.28"/>
    <n v="394.63"/>
    <x v="3"/>
    <x v="4"/>
  </r>
  <r>
    <s v="Sep"/>
    <s v="2024-09-19"/>
    <n v="672.1"/>
    <n v="130.30000000000001"/>
    <x v="3"/>
    <x v="3"/>
  </r>
  <r>
    <s v="Apr"/>
    <s v="2025-04-05"/>
    <n v="587.08000000000004"/>
    <n v="193.4"/>
    <x v="3"/>
    <x v="3"/>
  </r>
  <r>
    <s v="Jun"/>
    <s v="2024-06-22"/>
    <n v="1809.2"/>
    <n v="272.95"/>
    <x v="5"/>
    <x v="0"/>
  </r>
  <r>
    <s v="Jan"/>
    <s v="2024-01-19"/>
    <n v="933.98"/>
    <n v="157.61000000000001"/>
    <x v="3"/>
    <x v="0"/>
  </r>
  <r>
    <s v="Jul"/>
    <s v="2024-07-25"/>
    <n v="823.14"/>
    <n v="237.89"/>
    <x v="1"/>
    <x v="3"/>
  </r>
  <r>
    <s v="Apr"/>
    <s v="2025-04-15"/>
    <n v="1593.44"/>
    <n v="627.51"/>
    <x v="1"/>
    <x v="1"/>
  </r>
  <r>
    <s v="Jan"/>
    <s v="2024-01-17"/>
    <n v="270.60000000000002"/>
    <n v="55.25"/>
    <x v="0"/>
    <x v="1"/>
  </r>
  <r>
    <s v="Oct"/>
    <s v="2024-10-10"/>
    <n v="305.14"/>
    <n v="96.33"/>
    <x v="1"/>
    <x v="0"/>
  </r>
  <r>
    <s v="Jan"/>
    <s v="2024-01-14"/>
    <n v="1104.32"/>
    <n v="266.69"/>
    <x v="0"/>
    <x v="3"/>
  </r>
  <r>
    <s v="Apr"/>
    <s v="2025-04-02"/>
    <n v="785.7"/>
    <n v="227.18"/>
    <x v="0"/>
    <x v="3"/>
  </r>
  <r>
    <s v="Feb"/>
    <s v="2024-02-13"/>
    <n v="2546.5300000000002"/>
    <n v="719.27"/>
    <x v="1"/>
    <x v="0"/>
  </r>
  <r>
    <s v="Jan"/>
    <s v="2025-01-23"/>
    <n v="479.05"/>
    <n v="143.9"/>
    <x v="3"/>
    <x v="4"/>
  </r>
  <r>
    <s v="May"/>
    <s v="2024-05-31"/>
    <n v="1271.1600000000001"/>
    <n v="133.69999999999999"/>
    <x v="0"/>
    <x v="1"/>
  </r>
  <r>
    <s v="Apr"/>
    <s v="2025-04-22"/>
    <n v="1106.18"/>
    <n v="418.91"/>
    <x v="3"/>
    <x v="3"/>
  </r>
  <r>
    <s v="Feb"/>
    <s v="2024-02-25"/>
    <n v="94.24"/>
    <n v="25.21"/>
    <x v="1"/>
    <x v="3"/>
  </r>
  <r>
    <s v="Jul"/>
    <s v="2024-07-21"/>
    <n v="971.38"/>
    <n v="357.37"/>
    <x v="3"/>
    <x v="1"/>
  </r>
  <r>
    <s v="Feb"/>
    <s v="2025-02-17"/>
    <n v="1678.16"/>
    <n v="453.67"/>
    <x v="5"/>
    <x v="4"/>
  </r>
  <r>
    <s v="Jul"/>
    <s v="2024-07-09"/>
    <n v="336"/>
    <n v="61.12"/>
    <x v="4"/>
    <x v="0"/>
  </r>
  <r>
    <s v="Feb"/>
    <s v="2024-02-24"/>
    <n v="1345.5"/>
    <n v="478.8"/>
    <x v="3"/>
    <x v="3"/>
  </r>
  <r>
    <s v="May"/>
    <s v="2025-05-13"/>
    <n v="415.87"/>
    <n v="110.36"/>
    <x v="1"/>
    <x v="2"/>
  </r>
  <r>
    <s v="Jan"/>
    <s v="2024-01-10"/>
    <n v="1790.88"/>
    <n v="523.42999999999995"/>
    <x v="3"/>
    <x v="4"/>
  </r>
  <r>
    <s v="Jul"/>
    <s v="2024-07-03"/>
    <n v="2010.58"/>
    <n v="396.36"/>
    <x v="3"/>
    <x v="2"/>
  </r>
  <r>
    <s v="May"/>
    <s v="2025-05-15"/>
    <n v="379.26"/>
    <n v="112.84"/>
    <x v="1"/>
    <x v="0"/>
  </r>
  <r>
    <s v="Feb"/>
    <s v="2024-02-28"/>
    <n v="1251.32"/>
    <n v="271.94"/>
    <x v="3"/>
    <x v="3"/>
  </r>
  <r>
    <s v="May"/>
    <s v="2024-05-12"/>
    <n v="941.62"/>
    <n v="225.96"/>
    <x v="0"/>
    <x v="3"/>
  </r>
  <r>
    <s v="Jun"/>
    <s v="2024-06-14"/>
    <n v="1420.18"/>
    <n v="355.73"/>
    <x v="1"/>
    <x v="3"/>
  </r>
  <r>
    <s v="Aug"/>
    <s v="2024-08-25"/>
    <n v="2239.36"/>
    <n v="825.85"/>
    <x v="3"/>
    <x v="2"/>
  </r>
  <r>
    <s v="Jan"/>
    <s v="2024-01-01"/>
    <n v="1072.75"/>
    <n v="117.73"/>
    <x v="1"/>
    <x v="0"/>
  </r>
  <r>
    <s v="Dec"/>
    <s v="2024-12-18"/>
    <n v="158.19999999999999"/>
    <n v="61.91"/>
    <x v="0"/>
    <x v="1"/>
  </r>
  <r>
    <s v="Jun"/>
    <s v="2024-06-27"/>
    <n v="936"/>
    <n v="253.93"/>
    <x v="0"/>
    <x v="1"/>
  </r>
  <r>
    <s v="Sep"/>
    <s v="2024-09-11"/>
    <n v="1599.04"/>
    <n v="275.94"/>
    <x v="5"/>
    <x v="2"/>
  </r>
  <r>
    <s v="Jan"/>
    <s v="2025-01-04"/>
    <n v="1050.42"/>
    <n v="335.72"/>
    <x v="1"/>
    <x v="3"/>
  </r>
  <r>
    <s v="Feb"/>
    <s v="2024-02-17"/>
    <n v="771.88"/>
    <n v="167.34"/>
    <x v="0"/>
    <x v="1"/>
  </r>
  <r>
    <s v="Feb"/>
    <s v="2024-02-03"/>
    <n v="674.88"/>
    <n v="143.78"/>
    <x v="1"/>
    <x v="1"/>
  </r>
  <r>
    <s v="Aug"/>
    <s v="2024-08-14"/>
    <n v="419.64"/>
    <n v="91.16"/>
    <x v="1"/>
    <x v="4"/>
  </r>
  <r>
    <s v="Dec"/>
    <s v="2024-12-23"/>
    <n v="1042.22"/>
    <n v="395.89"/>
    <x v="2"/>
    <x v="1"/>
  </r>
  <r>
    <s v="Nov"/>
    <s v="2024-11-18"/>
    <n v="1222.4000000000001"/>
    <n v="295.98"/>
    <x v="3"/>
    <x v="3"/>
  </r>
  <r>
    <s v="Jan"/>
    <s v="2025-01-22"/>
    <n v="928.95"/>
    <n v="378.27"/>
    <x v="1"/>
    <x v="0"/>
  </r>
  <r>
    <s v="Jan"/>
    <s v="2024-01-07"/>
    <n v="715.4"/>
    <n v="276.17"/>
    <x v="3"/>
    <x v="1"/>
  </r>
  <r>
    <s v="Jun"/>
    <s v="2024-06-01"/>
    <n v="472.08"/>
    <n v="191.37"/>
    <x v="1"/>
    <x v="1"/>
  </r>
  <r>
    <s v="Jan"/>
    <s v="2025-01-24"/>
    <n v="220.24"/>
    <n v="63.58"/>
    <x v="3"/>
    <x v="0"/>
  </r>
  <r>
    <s v="Sep"/>
    <s v="2024-09-28"/>
    <n v="1387.75"/>
    <n v="539.29999999999995"/>
    <x v="3"/>
    <x v="3"/>
  </r>
  <r>
    <s v="Feb"/>
    <s v="2024-02-18"/>
    <n v="1184"/>
    <n v="362.38"/>
    <x v="4"/>
    <x v="3"/>
  </r>
  <r>
    <s v="Feb"/>
    <s v="2025-02-10"/>
    <n v="99.05"/>
    <n v="29.39"/>
    <x v="3"/>
    <x v="1"/>
  </r>
  <r>
    <s v="May"/>
    <s v="2024-05-13"/>
    <n v="486.81"/>
    <n v="105.93"/>
    <x v="2"/>
    <x v="1"/>
  </r>
  <r>
    <s v="Apr"/>
    <s v="2024-04-04"/>
    <n v="1211.8499999999999"/>
    <n v="339"/>
    <x v="4"/>
    <x v="0"/>
  </r>
  <r>
    <s v="Jun"/>
    <s v="2024-06-12"/>
    <n v="1301.5999999999999"/>
    <n v="454.54"/>
    <x v="1"/>
    <x v="1"/>
  </r>
  <r>
    <s v="May"/>
    <s v="2025-05-13"/>
    <n v="918.32"/>
    <n v="273.3"/>
    <x v="3"/>
    <x v="3"/>
  </r>
  <r>
    <s v="Jan"/>
    <s v="2025-01-24"/>
    <n v="263.04000000000002"/>
    <n v="41.4"/>
    <x v="2"/>
    <x v="1"/>
  </r>
  <r>
    <s v="Mar"/>
    <s v="2025-03-15"/>
    <n v="1804.53"/>
    <n v="673.96"/>
    <x v="1"/>
    <x v="3"/>
  </r>
  <r>
    <s v="Oct"/>
    <s v="2024-10-19"/>
    <n v="498.3"/>
    <n v="86.45"/>
    <x v="1"/>
    <x v="4"/>
  </r>
  <r>
    <s v="Jun"/>
    <s v="2024-06-16"/>
    <n v="2485.6999999999998"/>
    <n v="948.48"/>
    <x v="4"/>
    <x v="2"/>
  </r>
  <r>
    <s v="Sep"/>
    <s v="2024-09-20"/>
    <n v="84.62"/>
    <n v="24.34"/>
    <x v="3"/>
    <x v="3"/>
  </r>
  <r>
    <s v="Apr"/>
    <s v="2025-04-24"/>
    <n v="330.88"/>
    <n v="119.1"/>
    <x v="3"/>
    <x v="4"/>
  </r>
  <r>
    <s v="Sep"/>
    <s v="2024-09-16"/>
    <n v="94.17"/>
    <n v="37.65"/>
    <x v="0"/>
    <x v="0"/>
  </r>
  <r>
    <s v="Jan"/>
    <s v="2025-01-03"/>
    <n v="1613.28"/>
    <n v="423.36"/>
    <x v="1"/>
    <x v="3"/>
  </r>
  <r>
    <s v="Feb"/>
    <s v="2024-02-06"/>
    <n v="452.61"/>
    <n v="131.68"/>
    <x v="1"/>
    <x v="1"/>
  </r>
  <r>
    <s v="Oct"/>
    <s v="2024-10-20"/>
    <n v="419.52"/>
    <n v="134.09"/>
    <x v="0"/>
    <x v="3"/>
  </r>
  <r>
    <s v="Feb"/>
    <s v="2025-02-22"/>
    <n v="1528.88"/>
    <n v="416.97"/>
    <x v="5"/>
    <x v="0"/>
  </r>
  <r>
    <s v="Feb"/>
    <s v="2025-02-04"/>
    <n v="865.02"/>
    <n v="234.29"/>
    <x v="0"/>
    <x v="3"/>
  </r>
  <r>
    <s v="Feb"/>
    <s v="2025-02-28"/>
    <n v="235.4"/>
    <n v="53.26"/>
    <x v="3"/>
    <x v="3"/>
  </r>
  <r>
    <s v="Apr"/>
    <s v="2024-04-15"/>
    <n v="761.46"/>
    <n v="179.47"/>
    <x v="3"/>
    <x v="4"/>
  </r>
  <r>
    <s v="Oct"/>
    <s v="2024-10-17"/>
    <n v="1380.99"/>
    <n v="418.93"/>
    <x v="3"/>
    <x v="3"/>
  </r>
  <r>
    <s v="Apr"/>
    <s v="2024-04-14"/>
    <n v="355.55"/>
    <n v="95.32"/>
    <x v="3"/>
    <x v="0"/>
  </r>
  <r>
    <s v="Jan"/>
    <s v="2024-01-30"/>
    <n v="843.2"/>
    <n v="266.39"/>
    <x v="2"/>
    <x v="1"/>
  </r>
  <r>
    <s v="Oct"/>
    <s v="2024-10-03"/>
    <n v="1294.3800000000001"/>
    <n v="503.1"/>
    <x v="0"/>
    <x v="3"/>
  </r>
  <r>
    <s v="Mar"/>
    <s v="2024-03-05"/>
    <n v="721.28"/>
    <n v="187.67"/>
    <x v="3"/>
    <x v="1"/>
  </r>
  <r>
    <s v="Apr"/>
    <s v="2025-04-17"/>
    <n v="1228.4000000000001"/>
    <n v="354.56"/>
    <x v="3"/>
    <x v="3"/>
  </r>
  <r>
    <s v="Dec"/>
    <s v="2024-12-12"/>
    <n v="218.48"/>
    <n v="64.97"/>
    <x v="3"/>
    <x v="0"/>
  </r>
  <r>
    <s v="Apr"/>
    <s v="2024-04-23"/>
    <n v="553.66"/>
    <n v="191.96"/>
    <x v="4"/>
    <x v="0"/>
  </r>
  <r>
    <s v="Sep"/>
    <s v="2024-09-28"/>
    <n v="332.46"/>
    <n v="106.89"/>
    <x v="3"/>
    <x v="0"/>
  </r>
  <r>
    <s v="Apr"/>
    <s v="2025-04-16"/>
    <n v="1395.36"/>
    <n v="460.98"/>
    <x v="3"/>
    <x v="0"/>
  </r>
  <r>
    <s v="May"/>
    <s v="2024-05-07"/>
    <n v="706.42"/>
    <n v="87.48"/>
    <x v="2"/>
    <x v="3"/>
  </r>
  <r>
    <s v="May"/>
    <s v="2024-05-13"/>
    <n v="438.84"/>
    <n v="106.93"/>
    <x v="3"/>
    <x v="0"/>
  </r>
  <r>
    <s v="Jan"/>
    <s v="2024-01-30"/>
    <n v="1228.77"/>
    <n v="300.14999999999998"/>
    <x v="1"/>
    <x v="3"/>
  </r>
  <r>
    <s v="Jun"/>
    <s v="2024-06-17"/>
    <n v="479.66"/>
    <n v="79.680000000000007"/>
    <x v="2"/>
    <x v="1"/>
  </r>
  <r>
    <s v="Apr"/>
    <s v="2025-04-20"/>
    <n v="490.16"/>
    <n v="191.19"/>
    <x v="5"/>
    <x v="4"/>
  </r>
  <r>
    <s v="Nov"/>
    <s v="2024-11-13"/>
    <n v="2239"/>
    <n v="469.03"/>
    <x v="0"/>
    <x v="1"/>
  </r>
  <r>
    <s v="Dec"/>
    <s v="2024-12-07"/>
    <n v="675.3"/>
    <n v="109.04"/>
    <x v="0"/>
    <x v="0"/>
  </r>
  <r>
    <s v="Mar"/>
    <s v="2024-03-04"/>
    <n v="1359"/>
    <n v="538.33000000000004"/>
    <x v="5"/>
    <x v="3"/>
  </r>
  <r>
    <s v="Sep"/>
    <s v="2024-09-27"/>
    <n v="1050.28"/>
    <n v="220.45"/>
    <x v="1"/>
    <x v="3"/>
  </r>
  <r>
    <s v="Mar"/>
    <s v="2024-03-11"/>
    <n v="2685.5"/>
    <n v="487.61"/>
    <x v="5"/>
    <x v="2"/>
  </r>
  <r>
    <s v="Dec"/>
    <s v="2024-12-26"/>
    <n v="446.88"/>
    <n v="47.97"/>
    <x v="4"/>
    <x v="3"/>
  </r>
  <r>
    <s v="Jan"/>
    <s v="2025-01-06"/>
    <n v="491.5"/>
    <n v="78.2"/>
    <x v="3"/>
    <x v="2"/>
  </r>
  <r>
    <s v="Dec"/>
    <s v="2024-12-05"/>
    <n v="2140.3200000000002"/>
    <n v="332.47"/>
    <x v="3"/>
    <x v="2"/>
  </r>
  <r>
    <s v="Jan"/>
    <s v="2024-01-21"/>
    <n v="1460.94"/>
    <n v="403.69"/>
    <x v="3"/>
    <x v="4"/>
  </r>
  <r>
    <s v="May"/>
    <s v="2025-05-10"/>
    <n v="141.4"/>
    <n v="47.8"/>
    <x v="1"/>
    <x v="1"/>
  </r>
  <r>
    <s v="Sep"/>
    <s v="2024-09-15"/>
    <n v="335.34"/>
    <n v="79.66"/>
    <x v="0"/>
    <x v="1"/>
  </r>
  <r>
    <s v="May"/>
    <s v="2024-05-27"/>
    <n v="324.95999999999998"/>
    <n v="39.369999999999997"/>
    <x v="5"/>
    <x v="3"/>
  </r>
  <r>
    <s v="Apr"/>
    <s v="2025-04-24"/>
    <n v="1610.5"/>
    <n v="327.82"/>
    <x v="1"/>
    <x v="4"/>
  </r>
  <r>
    <s v="Mar"/>
    <s v="2025-03-18"/>
    <n v="1008.91"/>
    <n v="306.13"/>
    <x v="4"/>
    <x v="1"/>
  </r>
  <r>
    <s v="Apr"/>
    <s v="2024-04-17"/>
    <n v="629.86"/>
    <n v="160.78"/>
    <x v="1"/>
    <x v="1"/>
  </r>
  <r>
    <s v="Feb"/>
    <s v="2025-02-18"/>
    <n v="617.32000000000005"/>
    <n v="139.06"/>
    <x v="3"/>
    <x v="2"/>
  </r>
  <r>
    <s v="Apr"/>
    <s v="2024-04-13"/>
    <n v="61.76"/>
    <n v="7.34"/>
    <x v="0"/>
    <x v="4"/>
  </r>
  <r>
    <s v="Jul"/>
    <s v="2024-07-04"/>
    <n v="2169.1999999999998"/>
    <n v="739.55"/>
    <x v="5"/>
    <x v="2"/>
  </r>
  <r>
    <s v="Dec"/>
    <s v="2024-12-25"/>
    <n v="2230.5"/>
    <n v="739.18"/>
    <x v="0"/>
    <x v="3"/>
  </r>
  <r>
    <s v="Sep"/>
    <s v="2024-09-02"/>
    <n v="260.54000000000002"/>
    <n v="76.650000000000006"/>
    <x v="3"/>
    <x v="1"/>
  </r>
  <r>
    <s v="Jul"/>
    <s v="2024-07-14"/>
    <n v="172.27"/>
    <n v="54.13"/>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0D6F61-31CF-42CA-A6A3-59589659CC4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K30" firstHeaderRow="1" firstDataRow="3" firstDataCol="1"/>
  <pivotFields count="21">
    <pivotField showAll="0"/>
    <pivotField numFmtId="164" showAll="0">
      <items count="11">
        <item x="2"/>
        <item x="6"/>
        <item x="9"/>
        <item x="8"/>
        <item x="3"/>
        <item x="0"/>
        <item x="1"/>
        <item x="4"/>
        <item x="5"/>
        <item x="7"/>
        <item t="default"/>
      </items>
    </pivotField>
    <pivotField showAll="0"/>
    <pivotField showAll="0"/>
    <pivotField showAll="0"/>
    <pivotField multipleItemSelectionAllowed="1" showAll="0">
      <items count="6">
        <item x="0"/>
        <item x="2"/>
        <item x="1"/>
        <item x="3"/>
        <item x="4"/>
        <item t="default"/>
      </items>
    </pivotField>
    <pivotField showAll="0"/>
    <pivotField showAll="0"/>
    <pivotField dataField="1" showAll="0">
      <items count="11">
        <item x="6"/>
        <item x="3"/>
        <item x="5"/>
        <item x="7"/>
        <item x="9"/>
        <item x="2"/>
        <item x="1"/>
        <item x="0"/>
        <item x="8"/>
        <item x="4"/>
        <item t="default"/>
      </items>
    </pivotField>
    <pivotField showAll="0"/>
    <pivotField dataField="1" showAll="0">
      <items count="11">
        <item x="6"/>
        <item x="7"/>
        <item x="5"/>
        <item x="3"/>
        <item x="9"/>
        <item x="2"/>
        <item x="0"/>
        <item x="8"/>
        <item x="1"/>
        <item x="4"/>
        <item t="default"/>
      </items>
    </pivotField>
    <pivotField showAll="0"/>
    <pivotField showAll="0">
      <items count="4">
        <item x="2"/>
        <item x="0"/>
        <item x="1"/>
        <item t="default"/>
      </items>
    </pivotField>
    <pivotField axis="axisCol" showAll="0">
      <items count="5">
        <item x="3"/>
        <item x="1"/>
        <item x="2"/>
        <item x="0"/>
        <item t="default"/>
      </items>
    </pivotField>
    <pivotField showAll="0"/>
    <pivotField showAll="0"/>
    <pivotField showAll="0"/>
    <pivotField axis="axisRow" showAll="0">
      <items count="9">
        <item x="2"/>
        <item x="4"/>
        <item x="7"/>
        <item x="6"/>
        <item x="3"/>
        <item x="0"/>
        <item x="1"/>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x="2"/>
        <item sd="0" x="3"/>
        <item sd="0" x="4"/>
        <item sd="0" x="5"/>
        <item t="default"/>
      </items>
    </pivotField>
    <pivotField showAll="0">
      <items count="5">
        <item sd="0" x="0"/>
        <item sd="0" x="1"/>
        <item sd="0" x="2"/>
        <item sd="0" x="3"/>
        <item t="default"/>
      </items>
    </pivotField>
  </pivotFields>
  <rowFields count="1">
    <field x="17"/>
  </rowFields>
  <rowItems count="9">
    <i>
      <x/>
    </i>
    <i>
      <x v="1"/>
    </i>
    <i>
      <x v="2"/>
    </i>
    <i>
      <x v="3"/>
    </i>
    <i>
      <x v="4"/>
    </i>
    <i>
      <x v="5"/>
    </i>
    <i>
      <x v="6"/>
    </i>
    <i>
      <x v="7"/>
    </i>
    <i t="grand">
      <x/>
    </i>
  </rowItems>
  <colFields count="2">
    <field x="-2"/>
    <field x="13"/>
  </colFields>
  <colItems count="10">
    <i>
      <x/>
      <x/>
    </i>
    <i r="1">
      <x v="1"/>
    </i>
    <i r="1">
      <x v="2"/>
    </i>
    <i r="1">
      <x v="3"/>
    </i>
    <i i="1">
      <x v="1"/>
      <x/>
    </i>
    <i r="1" i="1">
      <x v="1"/>
    </i>
    <i r="1" i="1">
      <x v="2"/>
    </i>
    <i r="1" i="1">
      <x v="3"/>
    </i>
    <i t="grand">
      <x/>
    </i>
    <i t="grand" i="1">
      <x/>
    </i>
  </colItems>
  <dataFields count="2">
    <dataField name="Sum of Profit" fld="10" baseField="0" baseItem="0"/>
    <dataField name="Sum of Total_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A97FDC-7C03-44F1-AEAC-5361F42253B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C17" firstHeaderRow="0" firstDataRow="1" firstDataCol="1"/>
  <pivotFields count="4">
    <pivotField axis="axisRow" showAll="0">
      <items count="13">
        <item x="0"/>
        <item x="1"/>
        <item x="9"/>
        <item x="2"/>
        <item x="5"/>
        <item x="4"/>
        <item x="10"/>
        <item x="7"/>
        <item x="6"/>
        <item x="3"/>
        <item x="11"/>
        <item x="8"/>
        <item t="default"/>
      </items>
    </pivotField>
    <pivotField showAll="0"/>
    <pivotField dataField="1" showAll="0"/>
    <pivotField dataField="1" showAl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Profit" fld="3" baseField="0" baseItem="0"/>
    <dataField name="Sum of Total_Sales"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3584D2-1274-4A6C-A1EF-501A608C76EB}"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0:G28" firstHeaderRow="1" firstDataRow="2" firstDataCol="1"/>
  <pivotFields count="6">
    <pivotField showAll="0"/>
    <pivotField showAll="0"/>
    <pivotField dataField="1" showAll="0"/>
    <pivotField showAll="0"/>
    <pivotField axis="axisRow" showAll="0">
      <items count="7">
        <item x="4"/>
        <item x="3"/>
        <item x="1"/>
        <item x="0"/>
        <item x="5"/>
        <item x="2"/>
        <item t="default"/>
      </items>
    </pivotField>
    <pivotField axis="axisCol" showAll="0">
      <items count="6">
        <item x="0"/>
        <item x="2"/>
        <item x="1"/>
        <item x="3"/>
        <item x="4"/>
        <item t="default"/>
      </items>
    </pivotField>
  </pivotFields>
  <rowFields count="1">
    <field x="4"/>
  </rowFields>
  <rowItems count="7">
    <i>
      <x/>
    </i>
    <i>
      <x v="1"/>
    </i>
    <i>
      <x v="2"/>
    </i>
    <i>
      <x v="3"/>
    </i>
    <i>
      <x v="4"/>
    </i>
    <i>
      <x v="5"/>
    </i>
    <i t="grand">
      <x/>
    </i>
  </rowItems>
  <colFields count="1">
    <field x="5"/>
  </colFields>
  <colItems count="6">
    <i>
      <x/>
    </i>
    <i>
      <x v="1"/>
    </i>
    <i>
      <x v="2"/>
    </i>
    <i>
      <x v="3"/>
    </i>
    <i>
      <x v="4"/>
    </i>
    <i t="grand">
      <x/>
    </i>
  </colItems>
  <dataFields count="1">
    <dataField name="Sum of Total_Sales" fld="2" baseField="0" baseItem="0"/>
  </dataFields>
  <chartFormats count="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F561748-3FE4-4CC1-BBDD-03E00EDC1095}" sourceName="Category">
  <pivotTables>
    <pivotTable tabId="7" name="PivotTable1"/>
  </pivotTables>
  <data>
    <tabular pivotCacheId="1424737273">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906D8C44-3075-43EA-A2C8-4BBAEDA4539F}" sourceName="Order_Priority">
  <pivotTables>
    <pivotTable tabId="7" name="PivotTable1"/>
  </pivotTables>
  <data>
    <tabular pivotCacheId="142473727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FEEFA26-11BC-4114-B86A-30632E1CF317}" cache="Slicer_Category" caption="Category" rowHeight="234950"/>
  <slicer name="Order_Priority" xr10:uid="{20E7A81C-823A-4A10-B6F1-2215022C7AF2}" cache="Slicer_Order_Priority" caption="Order_Prior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154945-A6B3-44FA-9B40-1B073F1B4694}" name="Table3" displayName="Table3" ref="A4:N504" totalsRowShown="0" headerRowDxfId="67" headerRowBorderDxfId="66" tableBorderDxfId="65">
  <autoFilter ref="A4:N504" xr:uid="{CE154945-A6B3-44FA-9B40-1B073F1B469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F0623645-E2B7-4846-BEAB-3FC7E619CE0C}" name="Order_ID"/>
    <tableColumn id="2" xr3:uid="{728C53C9-3CA7-469D-947B-367FF225CD85}" name="Order_Date"/>
    <tableColumn id="3" xr3:uid="{7B424490-7E9C-440B-85D9-11280E7832FD}" name="Customer_Name"/>
    <tableColumn id="4" xr3:uid="{E0C2BEA7-15BA-47A1-A5A5-9EB39B7651C9}" name="Country"/>
    <tableColumn id="5" xr3:uid="{1AB8DE4C-C0A7-4B3A-8AE8-10394CCA8E8F}" name="Product"/>
    <tableColumn id="6" xr3:uid="{EFF1A5FE-3581-41ED-BC0C-4D2BB6C78B12}" name="Category"/>
    <tableColumn id="7" xr3:uid="{58E80E56-A9AC-4636-995B-96BAF54848C0}" name="Quantity"/>
    <tableColumn id="8" xr3:uid="{9B537B93-FCB8-42B2-880B-9E95C4C96020}" name="Unit_Price"/>
    <tableColumn id="9" xr3:uid="{F099C450-E2EC-4E33-A626-768209990A17}" name="Total_Sales"/>
    <tableColumn id="10" xr3:uid="{96D86F10-CFB2-4B94-84BA-7E7CA291B0A9}" name="Shipping_Cost"/>
    <tableColumn id="11" xr3:uid="{F504CA9A-FB11-4127-8510-B96B9BDBBF0B}" name="Profit"/>
    <tableColumn id="12" xr3:uid="{15E6E571-6A7B-4016-9DDE-1C0A59D598EC}" name="Ship_Mode"/>
    <tableColumn id="13" xr3:uid="{1F6B161E-2EAE-44C8-B374-0BFB2545D85A}" name="Order_Priority"/>
    <tableColumn id="14" xr3:uid="{4A3A64AF-A711-4B0D-B447-01A820E4A5FD}" name="Region_Code"/>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CFA3E2E-6CFE-423E-9C9B-B2796510D4B8}" name="Table4" displayName="Table4" ref="A5:P505" totalsRowShown="0" headerRowDxfId="64" headerRowBorderDxfId="63" tableBorderDxfId="62">
  <autoFilter ref="A5:P505" xr:uid="{9CFA3E2E-6CFE-423E-9C9B-B2796510D4B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86DA3B8-E1D7-4474-ABB6-2612503BA506}" name="Column1"/>
    <tableColumn id="2" xr3:uid="{0A82F032-9DB0-4D1B-AD54-6ED7745A7071}" name="Order_Date"/>
    <tableColumn id="3" xr3:uid="{A1F53821-DB3B-49DF-9DC5-744EE690F889}" name="Customer_Name"/>
    <tableColumn id="4" xr3:uid="{652E4C2B-E260-4A0E-9030-8537FAAC7C97}" name="Country"/>
    <tableColumn id="5" xr3:uid="{22B92748-09B5-4E9E-A50F-910191A83872}" name="Product"/>
    <tableColumn id="6" xr3:uid="{835BC24D-363A-4D07-B3BD-4B9D6E87B49C}" name="Category"/>
    <tableColumn id="7" xr3:uid="{9E0A0CB7-C04E-4442-81D0-D50167E8E7CB}" name="Quantity"/>
    <tableColumn id="8" xr3:uid="{E2D3BD1B-F85B-47C6-8AC6-4E191C6C20A8}" name="Unit_Price"/>
    <tableColumn id="9" xr3:uid="{182C9275-D93A-4D95-B37F-72ABA921D355}" name="Total_Sales"/>
    <tableColumn id="10" xr3:uid="{8AE4573A-CD47-4F93-A573-15FE0F4026A2}" name="Shipping_Cost"/>
    <tableColumn id="11" xr3:uid="{181C2C75-0D8C-4A8F-BA87-B3613AC89748}" name="Profit"/>
    <tableColumn id="12" xr3:uid="{775D7C30-7D3F-48E0-A5DD-42B30ECA4406}" name="Ship_Mode"/>
    <tableColumn id="13" xr3:uid="{9ECF333B-96E7-48FD-BCAA-5DA474F25768}" name="Order_Priority"/>
    <tableColumn id="14" xr3:uid="{D3FA436F-11B9-4F77-86A8-B1958BC7AA3C}" name="Region_Code"/>
    <tableColumn id="15" xr3:uid="{4752C00D-9FA5-483A-A828-2A98F2010FF9}" name="COGS" dataDxfId="61"/>
    <tableColumn id="16" xr3:uid="{EC36D35B-9C86-45F3-924B-30CE732D0676}" name="PROFIT_MARGIN" dataDxfId="60" dataCellStyle="Percent">
      <calculatedColumnFormula>K6/I6</calculatedColumnFormula>
    </tableColumn>
  </tableColumns>
  <tableStyleInfo name="TableStyleMedium2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9B112A3-A20E-400F-8234-A4146A4B113D}" name="Table5" displayName="Table5" ref="Q6:R9" totalsRowShown="0" headerRowDxfId="59">
  <autoFilter ref="Q6:R9" xr:uid="{F9B112A3-A20E-400F-8234-A4146A4B113D}">
    <filterColumn colId="0" hiddenButton="1"/>
    <filterColumn colId="1" hiddenButton="1"/>
  </autoFilter>
  <tableColumns count="2">
    <tableColumn id="1" xr3:uid="{283713A2-956E-47EC-8138-8771D6632EF3}" name="Profit margin"/>
    <tableColumn id="2" xr3:uid="{787C3FCC-4D44-4089-A58D-AB02B966DE1F}" name="Column1" dataDxfId="58"/>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14826FD-AE12-44A5-BAE1-8202D3D14C5F}" name="Table6" displayName="Table6" ref="A5:N505" totalsRowShown="0" headerRowDxfId="57" dataDxfId="55" headerRowBorderDxfId="56" tableBorderDxfId="54">
  <autoFilter ref="A5:N505" xr:uid="{B14826FD-AE12-44A5-BAE1-8202D3D14C5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625CAC7D-179A-4C84-98C5-7BA436314D5F}" name="Order_ID" dataDxfId="53"/>
    <tableColumn id="2" xr3:uid="{66FEDC97-5753-431C-B5B4-2C5DA3FB365F}" name="Order_Date" dataDxfId="52"/>
    <tableColumn id="3" xr3:uid="{38ACB065-FC77-460C-AFFE-18680DA98A20}" name="Customer_Name" dataDxfId="51"/>
    <tableColumn id="4" xr3:uid="{7C13A466-6929-4947-8487-A29A0D700CD9}" name="Country" dataDxfId="50"/>
    <tableColumn id="5" xr3:uid="{3C50DEC7-CF5B-4302-8D94-743B21D03809}" name="Product" dataDxfId="49"/>
    <tableColumn id="6" xr3:uid="{98D9058C-CC2D-470D-9D6F-2C7047A1F29A}" name="Category" dataDxfId="48"/>
    <tableColumn id="7" xr3:uid="{D9197226-06CB-4600-B00E-FC10FBA09740}" name="Quantity" dataDxfId="47"/>
    <tableColumn id="8" xr3:uid="{2D866F21-CDCC-4C87-9E46-0BADC1769449}" name="Unit_Price" dataDxfId="46"/>
    <tableColumn id="9" xr3:uid="{7AED6853-06E0-40BF-A0F6-57634964FF4E}" name="Total_Sales" dataDxfId="45"/>
    <tableColumn id="10" xr3:uid="{45EC49A6-140F-4413-9AFF-37D3478DA956}" name="Shipping_Cost" dataDxfId="44"/>
    <tableColumn id="11" xr3:uid="{5749DA27-E32A-4F1C-9301-3326B3F90087}" name="Profit" dataDxfId="43"/>
    <tableColumn id="12" xr3:uid="{EA3A48AE-5E59-4CA9-93F2-7E0D051C9FEA}" name="Ship_Mode" dataDxfId="42"/>
    <tableColumn id="13" xr3:uid="{04EE60E5-F3F9-4CE4-80E8-30082812EFD5}" name="Order_Priority" dataDxfId="41"/>
    <tableColumn id="14" xr3:uid="{2DFB0547-18BA-4C88-BA9F-4CBA1ADD2C82}" name="Region_Code" dataDxfId="4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6534220-8C09-40AA-A1F5-9B8005DB8047}" name="Table7" displayName="Table7" ref="P5:R505" totalsRowShown="0" headerRowDxfId="39">
  <autoFilter ref="P5:R505" xr:uid="{36534220-8C09-40AA-A1F5-9B8005DB8047}">
    <filterColumn colId="0" hiddenButton="1"/>
    <filterColumn colId="1" hiddenButton="1"/>
    <filterColumn colId="2" hiddenButton="1"/>
  </autoFilter>
  <tableColumns count="3">
    <tableColumn id="1" xr3:uid="{A612B5F5-3537-45A6-AEC6-63FFC227943F}" name="FIRST_NAME">
      <calculatedColumnFormula>TRIM(MID(C6,FIND(",",C6)+1,LEN(C6)))</calculatedColumnFormula>
    </tableColumn>
    <tableColumn id="2" xr3:uid="{95F1F32A-A898-46BC-927E-841A341C9B4F}" name="LAST_NAME">
      <calculatedColumnFormula>LEFT(C6,FIND(",",C6)-1)</calculatedColumnFormula>
    </tableColumn>
    <tableColumn id="3" xr3:uid="{85023E65-BE13-4B4A-9226-2BB41E43B87C}" name="CUSTOMER_CODE">
      <calculatedColumnFormula>LEFT(P6,2)&amp;LEFT(Q6,2)&amp;ROW()</calculatedColumnFormula>
    </tableColumn>
  </tableColumns>
  <tableStyleInfo name="TableStyleMedium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6571529-A386-4CB3-81DC-DFC3FC2515ED}" name="Table10" displayName="Table10" ref="B4:P504" totalsRowShown="0" headerRowDxfId="38" dataDxfId="37">
  <autoFilter ref="B4:P504" xr:uid="{56571529-A386-4CB3-81DC-DFC3FC2515E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AF69A456-B0EE-4CC4-ABA6-29A65DB95DE8}" name="Order_Date" dataDxfId="36"/>
    <tableColumn id="2" xr3:uid="{09224F77-C902-4736-A13F-992F62C49746}" name="Customer_Name" dataDxfId="35"/>
    <tableColumn id="3" xr3:uid="{E8086560-BE0E-4C75-9A4F-033177133A54}" name="Country" dataDxfId="34"/>
    <tableColumn id="4" xr3:uid="{F7D2F8DF-1AF3-4F22-94F7-F0881F6EAC94}" name="Product" dataDxfId="33"/>
    <tableColumn id="5" xr3:uid="{B864C5D0-A1A5-4D5D-A5E7-39A0692B4893}" name="Category" dataDxfId="32"/>
    <tableColumn id="6" xr3:uid="{BDBE7278-FE26-459F-A259-9BB41E3E124E}" name="Quantity" dataDxfId="31"/>
    <tableColumn id="7" xr3:uid="{7352DAB4-85DD-4C91-9987-BDD2BA75F0A3}" name="Unit_Price" dataDxfId="30"/>
    <tableColumn id="8" xr3:uid="{D8D17872-7AC0-4D88-9CDB-FD5ABD6EF9F3}" name="Total_Sales" dataDxfId="29"/>
    <tableColumn id="9" xr3:uid="{9CB6119B-C239-4C5D-8F8F-7231454592F0}" name="Shipping_Cost" dataDxfId="28"/>
    <tableColumn id="10" xr3:uid="{82DED2E5-4692-4AD7-84A0-572437A4B369}" name="Profit" dataDxfId="27"/>
    <tableColumn id="11" xr3:uid="{74F58F50-364A-49C3-B9DB-55531D4BF6AA}" name="Ship_Mode" dataDxfId="26"/>
    <tableColumn id="12" xr3:uid="{750A1F1F-0206-4F89-82B2-683FB9D85DA9}" name="Order_Priority" dataDxfId="25"/>
    <tableColumn id="13" xr3:uid="{B725CA5E-0179-4CF1-B06F-31FEE5743697}" name="Region_Code" dataDxfId="24"/>
    <tableColumn id="14" xr3:uid="{33C4E3D4-9B54-4529-99B3-FAC02ADDB3A8}" name="PROFIT_MARGIN" dataDxfId="23" dataCellStyle="Percent">
      <calculatedColumnFormula>K5/I5</calculatedColumnFormula>
    </tableColumn>
    <tableColumn id="15" xr3:uid="{2F62C25F-F37A-4B5A-A2B0-2B3288B84DD4}" name="FLAG_CONDITION" dataDxfId="22">
      <calculatedColumnFormula>IF(AND(O5&gt;20%,I5&gt;2000),"excellent",IF(AND(O5&gt;=10%,O5&lt;=20%),"good","need improvement"))</calculatedColumnFormula>
    </tableColumn>
  </tableColumns>
  <tableStyleInfo name="TableStyleMedium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3A75CB4-1E21-4C53-8985-A0C0AA06DFDA}" name="Table11" displayName="Table11" ref="A4:A504" totalsRowShown="0" headerRowDxfId="21" headerRowBorderDxfId="20" tableBorderDxfId="19">
  <autoFilter ref="A4:A504" xr:uid="{03A75CB4-1E21-4C53-8985-A0C0AA06DFDA}">
    <filterColumn colId="0" hiddenButton="1"/>
  </autoFilter>
  <tableColumns count="1">
    <tableColumn id="1" xr3:uid="{436C5855-E07D-47FA-82A4-106AEB29EEB9}" name="Order_ID"/>
  </tableColumns>
  <tableStyleInfo name="TableStyleMedium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38AB06-362D-40FF-AB20-EFCEF736C9B3}" name="Table2" displayName="Table2" ref="A4:C14" totalsRowShown="0" headerRowBorderDxfId="18" tableBorderDxfId="17" totalsRowBorderDxfId="16">
  <autoFilter ref="A4:C14" xr:uid="{6E38AB06-362D-40FF-AB20-EFCEF736C9B3}">
    <filterColumn colId="0" hiddenButton="1"/>
    <filterColumn colId="1" hiddenButton="1"/>
    <filterColumn colId="2" hiddenButton="1"/>
  </autoFilter>
  <tableColumns count="3">
    <tableColumn id="1" xr3:uid="{CA2965AB-DF22-41AE-BCBA-0D7280C2E462}" name="Product" dataDxfId="15"/>
    <tableColumn id="2" xr3:uid="{3D878DBF-9E9F-4E16-B946-14D0786D1EF9}" name="Supplier" dataDxfId="14">
      <calculatedColumnFormula>IFERROR(INDEX([1]Products!$D:$D,MATCH(A5,[1]Products!$B:$B,0)),"NOT FOUND")</calculatedColumnFormula>
    </tableColumn>
    <tableColumn id="3" xr3:uid="{3A32F31B-EDBB-4EBE-BADB-F9D5828D0277}" name="Origin" dataDxfId="13">
      <calculatedColumnFormula>IFERROR(INDEX([1]Products!$E:$E,MATCH(A5,[1]Products!$B:$B,0)),"NOT FOUND")</calculatedColumnFormula>
    </tableColumn>
  </tableColumns>
  <tableStyleInfo name="TableStyleMedium1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9CEED13-D2C8-4A35-B246-5C41D5CB21AD}" name="Table9" displayName="Table9" ref="A17:B23" totalsRowShown="0" tableBorderDxfId="12">
  <autoFilter ref="A17:B23" xr:uid="{B9CEED13-D2C8-4A35-B246-5C41D5CB21AD}">
    <filterColumn colId="0" hiddenButton="1"/>
    <filterColumn colId="1" hiddenButton="1"/>
  </autoFilter>
  <tableColumns count="2">
    <tableColumn id="1" xr3:uid="{4A44A500-DE19-4947-A440-5B72BF300C28}" name="Region_Code" dataDxfId="11"/>
    <tableColumn id="2" xr3:uid="{4DA7326A-A23C-462A-A94A-52293C3E79F6}" name="Region_Name" dataDxfId="10">
      <calculatedColumnFormula>IFERROR(VLOOKUP(A19,[2]Regions!$A:$D,2,FALSE),"NOT FOUND")</calculatedColumnFormula>
    </tableColumn>
  </tableColumns>
  <tableStyleInfo name="TableStyleMedium10"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C4C57DC-C9D5-4AD7-AE86-FBF0CA75234B}" name="Table8" displayName="Table8" ref="A5:R507" totalsRowShown="0" headerRowDxfId="9" headerRowBorderDxfId="8" tableBorderDxfId="7">
  <autoFilter ref="A5:R507" xr:uid="{2C4C57DC-C9D5-4AD7-AE86-FBF0CA75234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99D860F0-2035-495A-9B4F-D788D77B5017}" name="Order_ID"/>
    <tableColumn id="2" xr3:uid="{DC42FA8A-24EC-4977-B173-FAF10FC83C2B}" name="Order_Date"/>
    <tableColumn id="3" xr3:uid="{F10DFB38-9D3E-49D7-8324-78301C5D92BB}" name="Customer_Name"/>
    <tableColumn id="4" xr3:uid="{D7E0C839-01A0-4507-B150-320CF7593B42}" name="Country"/>
    <tableColumn id="5" xr3:uid="{BBF1C307-0BE2-436C-86A1-1CCDF4AD29EE}" name="Product"/>
    <tableColumn id="6" xr3:uid="{886D7CEB-AD0C-4C77-BA2D-9A0AEDCFD967}" name="Category"/>
    <tableColumn id="7" xr3:uid="{8E36B2FE-45A2-4E3C-B586-1B6D255EE8F5}" name="Quantity"/>
    <tableColumn id="8" xr3:uid="{E0A6DFBA-C206-4BE7-ABE0-592C94DFBB56}" name="Unit_Price"/>
    <tableColumn id="9" xr3:uid="{D07950C7-D8E0-425C-B5CE-6ED808B86AAF}" name="Total_Sales"/>
    <tableColumn id="10" xr3:uid="{CEBDA379-78B8-4B92-96EC-3BA98DAE56A0}" name="Shipping_Cost"/>
    <tableColumn id="11" xr3:uid="{6CEADACA-431E-4E17-BF3C-81B230209C4E}" name="Profit"/>
    <tableColumn id="12" xr3:uid="{A325F657-5E8E-4754-BF87-3F9A29D58A15}" name="Ship_Mode"/>
    <tableColumn id="13" xr3:uid="{E3C73247-470E-4915-9820-7396608D685D}" name="Order_Priority"/>
    <tableColumn id="14" xr3:uid="{D5696D08-E522-417C-8092-130091FE8694}" name="Region_Code"/>
    <tableColumn id="15" xr3:uid="{5C28EBD1-C8D5-4B92-8B27-EF249FD747FD}" name="Total_sales2" dataDxfId="6">
      <calculatedColumnFormula>SUMIFS($I$6:$I$1000, $N$6:$N$1000, $A2, $F$6:$F$1000, B$1)</calculatedColumnFormula>
    </tableColumn>
    <tableColumn id="16" xr3:uid="{C379EA5F-C0F4-4A67-A85D-72D478C5E4A1}" name="Total_profit"/>
    <tableColumn id="17" xr3:uid="{91ECD978-DF87-499C-802B-8A5E8C2B74F6}" name="Average_sales"/>
    <tableColumn id="18" xr3:uid="{9945160C-01B2-4A73-9BCB-48C6DBB53497}" name="Average_profit"/>
  </tableColumns>
  <tableStyleInfo name="TableStyleMedium10"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06D7A4-2AAF-44A7-A0AD-D82D134B6188}" name="Table1" displayName="Table1" ref="R5:W505" totalsRowShown="0" headerRowDxfId="5" headerRowBorderDxfId="4" tableBorderDxfId="3">
  <autoFilter ref="R5:W505" xr:uid="{3806D7A4-2AAF-44A7-A0AD-D82D134B6188}">
    <filterColumn colId="0" hiddenButton="1"/>
    <filterColumn colId="1" hiddenButton="1"/>
    <filterColumn colId="2" hiddenButton="1"/>
    <filterColumn colId="3" hiddenButton="1"/>
    <filterColumn colId="4" hiddenButton="1"/>
    <filterColumn colId="5" hiddenButton="1"/>
  </autoFilter>
  <tableColumns count="6">
    <tableColumn id="1" xr3:uid="{66E0F3E6-95C3-41A3-AAA1-93AC389CAA32}" name="MONTHS">
      <calculatedColumnFormula>TEXT(S6,"MMM")</calculatedColumnFormula>
    </tableColumn>
    <tableColumn id="2" xr3:uid="{3EF68C55-520B-42AE-B5F5-9EB0C143EC0F}" name="Order_Date"/>
    <tableColumn id="3" xr3:uid="{138D203A-28FA-4D16-B87D-06B1CD078DAD}" name="Total_Sales"/>
    <tableColumn id="4" xr3:uid="{6F6A6734-CA5F-4A91-9045-DFE46730E9C1}" name="Profit"/>
    <tableColumn id="5" xr3:uid="{AB67B375-6146-4233-97D3-CEFFA8F8AE97}" name="Region_Code"/>
    <tableColumn id="6" xr3:uid="{B3EF5E6C-7777-40CF-AF6D-F0FD830FF5BA}" name="Category"/>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506"/>
  <sheetViews>
    <sheetView zoomScale="58" workbookViewId="0">
      <selection activeCell="N470" sqref="N470"/>
    </sheetView>
  </sheetViews>
  <sheetFormatPr defaultRowHeight="14.4" x14ac:dyDescent="0.3"/>
  <cols>
    <col min="1" max="1" width="15" bestFit="1" customWidth="1"/>
    <col min="2" max="2" width="15" customWidth="1"/>
    <col min="3" max="3" width="17.33203125" bestFit="1" customWidth="1"/>
    <col min="4" max="4" width="9.77734375" customWidth="1"/>
    <col min="5" max="5" width="17.6640625" bestFit="1" customWidth="1"/>
    <col min="6" max="6" width="11.88671875" bestFit="1" customWidth="1"/>
    <col min="7" max="7" width="10.21875" customWidth="1"/>
    <col min="8" max="8" width="11.5546875" customWidth="1"/>
    <col min="9" max="9" width="12.33203125" customWidth="1"/>
    <col min="10" max="10" width="14.88671875" customWidth="1"/>
    <col min="11" max="11" width="9.33203125" customWidth="1"/>
    <col min="12" max="12" width="13.5546875" customWidth="1"/>
    <col min="13" max="13" width="14.77734375" customWidth="1"/>
    <col min="14" max="14" width="14" customWidth="1"/>
    <col min="15" max="15" width="9" bestFit="1" customWidth="1"/>
    <col min="16" max="16" width="14.33203125" bestFit="1" customWidth="1"/>
    <col min="17" max="17" width="11.109375" bestFit="1" customWidth="1"/>
    <col min="18" max="18" width="7.6640625" bestFit="1" customWidth="1"/>
  </cols>
  <sheetData>
    <row r="1" spans="1:18" ht="14.4" customHeight="1" x14ac:dyDescent="0.3">
      <c r="A1" s="35" t="s">
        <v>0</v>
      </c>
      <c r="B1" s="35"/>
      <c r="C1" s="35"/>
      <c r="D1" s="35"/>
      <c r="E1" s="35"/>
      <c r="F1" s="35"/>
      <c r="G1" s="35"/>
      <c r="H1" s="35"/>
      <c r="I1" s="35"/>
      <c r="J1" s="35"/>
      <c r="K1" s="35"/>
      <c r="L1" s="35"/>
      <c r="M1" s="35"/>
      <c r="N1" s="35"/>
      <c r="O1" s="35"/>
      <c r="P1" s="35"/>
      <c r="Q1" s="35"/>
      <c r="R1" s="35"/>
    </row>
    <row r="2" spans="1:18" x14ac:dyDescent="0.3">
      <c r="A2" s="35"/>
      <c r="B2" s="35"/>
      <c r="C2" s="35"/>
      <c r="D2" s="35"/>
      <c r="E2" s="35"/>
      <c r="F2" s="35"/>
      <c r="G2" s="35"/>
      <c r="H2" s="35"/>
      <c r="I2" s="35"/>
      <c r="J2" s="35"/>
      <c r="K2" s="35"/>
      <c r="L2" s="35"/>
      <c r="M2" s="35"/>
      <c r="N2" s="35"/>
      <c r="O2" s="35"/>
      <c r="P2" s="35"/>
      <c r="Q2" s="35"/>
      <c r="R2" s="35"/>
    </row>
    <row r="3" spans="1:18" ht="132.75" customHeight="1" x14ac:dyDescent="0.3">
      <c r="A3" s="35"/>
      <c r="B3" s="35"/>
      <c r="C3" s="35"/>
      <c r="D3" s="35"/>
      <c r="E3" s="35"/>
      <c r="F3" s="35"/>
      <c r="G3" s="35"/>
      <c r="H3" s="35"/>
      <c r="I3" s="35"/>
      <c r="J3" s="35"/>
      <c r="K3" s="35"/>
      <c r="L3" s="35"/>
      <c r="M3" s="35"/>
      <c r="N3" s="35"/>
      <c r="O3" s="35"/>
      <c r="P3" s="35"/>
      <c r="Q3" s="35"/>
      <c r="R3" s="35"/>
    </row>
    <row r="4" spans="1:18" x14ac:dyDescent="0.3">
      <c r="A4" s="3" t="s">
        <v>1</v>
      </c>
      <c r="B4" s="3" t="s">
        <v>2</v>
      </c>
      <c r="C4" s="3" t="s">
        <v>3</v>
      </c>
      <c r="D4" s="3" t="s">
        <v>4</v>
      </c>
      <c r="E4" s="3" t="s">
        <v>5</v>
      </c>
      <c r="F4" s="3" t="s">
        <v>6</v>
      </c>
      <c r="G4" s="3" t="s">
        <v>7</v>
      </c>
      <c r="H4" s="3" t="s">
        <v>8</v>
      </c>
      <c r="I4" s="3" t="s">
        <v>9</v>
      </c>
      <c r="J4" s="3" t="s">
        <v>10</v>
      </c>
      <c r="K4" s="3" t="s">
        <v>11</v>
      </c>
      <c r="L4" s="3" t="s">
        <v>12</v>
      </c>
      <c r="M4" s="3" t="s">
        <v>13</v>
      </c>
      <c r="N4" s="3" t="s">
        <v>14</v>
      </c>
    </row>
    <row r="5" spans="1:18" x14ac:dyDescent="0.3">
      <c r="A5" t="s">
        <v>19</v>
      </c>
      <c r="B5" t="s">
        <v>1007</v>
      </c>
      <c r="C5" t="s">
        <v>20</v>
      </c>
      <c r="D5" t="s">
        <v>1003</v>
      </c>
      <c r="E5" t="s">
        <v>22</v>
      </c>
      <c r="F5" t="s">
        <v>23</v>
      </c>
      <c r="G5">
        <v>20</v>
      </c>
      <c r="H5">
        <v>55.22</v>
      </c>
      <c r="I5">
        <v>1104.4000000000001</v>
      </c>
      <c r="J5">
        <v>49.36</v>
      </c>
      <c r="K5">
        <v>355.04</v>
      </c>
      <c r="L5" t="s">
        <v>24</v>
      </c>
      <c r="M5" t="s">
        <v>25</v>
      </c>
      <c r="N5" t="s">
        <v>98</v>
      </c>
    </row>
    <row r="6" spans="1:18" x14ac:dyDescent="0.3">
      <c r="A6" t="s">
        <v>29</v>
      </c>
      <c r="B6" t="s">
        <v>1008</v>
      </c>
      <c r="C6" t="s">
        <v>30</v>
      </c>
      <c r="D6" t="s">
        <v>1004</v>
      </c>
      <c r="E6" t="s">
        <v>32</v>
      </c>
      <c r="F6" t="s">
        <v>23</v>
      </c>
      <c r="G6">
        <v>33</v>
      </c>
      <c r="H6">
        <v>32.03</v>
      </c>
      <c r="I6">
        <v>1056.99</v>
      </c>
      <c r="J6">
        <v>59.59</v>
      </c>
      <c r="K6">
        <v>403.4</v>
      </c>
      <c r="L6" t="s">
        <v>33</v>
      </c>
      <c r="M6" t="s">
        <v>34</v>
      </c>
      <c r="N6" t="s">
        <v>35</v>
      </c>
    </row>
    <row r="7" spans="1:18" x14ac:dyDescent="0.3">
      <c r="A7" t="s">
        <v>39</v>
      </c>
      <c r="B7" t="s">
        <v>1009</v>
      </c>
      <c r="C7" t="s">
        <v>40</v>
      </c>
      <c r="D7" t="s">
        <v>37</v>
      </c>
      <c r="E7" t="s">
        <v>32</v>
      </c>
      <c r="F7" t="s">
        <v>23</v>
      </c>
      <c r="G7">
        <v>34</v>
      </c>
      <c r="H7">
        <v>28.48</v>
      </c>
      <c r="I7">
        <v>968.32</v>
      </c>
      <c r="J7">
        <v>73.95</v>
      </c>
      <c r="K7">
        <v>282.37</v>
      </c>
      <c r="L7" t="s">
        <v>24</v>
      </c>
      <c r="M7" t="s">
        <v>41</v>
      </c>
      <c r="N7" t="s">
        <v>35</v>
      </c>
    </row>
    <row r="8" spans="1:18" x14ac:dyDescent="0.3">
      <c r="A8" t="s">
        <v>43</v>
      </c>
      <c r="B8" t="s">
        <v>1010</v>
      </c>
      <c r="C8" t="s">
        <v>44</v>
      </c>
      <c r="D8" t="s">
        <v>45</v>
      </c>
      <c r="E8" t="s">
        <v>46</v>
      </c>
      <c r="F8" t="s">
        <v>47</v>
      </c>
      <c r="G8">
        <v>6</v>
      </c>
      <c r="H8">
        <v>56.36</v>
      </c>
      <c r="I8">
        <v>338.16</v>
      </c>
      <c r="J8">
        <v>11.39</v>
      </c>
      <c r="K8">
        <v>134.77000000000001</v>
      </c>
      <c r="L8" t="s">
        <v>48</v>
      </c>
      <c r="M8" t="s">
        <v>34</v>
      </c>
      <c r="N8" t="s">
        <v>49</v>
      </c>
    </row>
    <row r="9" spans="1:18" x14ac:dyDescent="0.3">
      <c r="A9" t="s">
        <v>53</v>
      </c>
      <c r="B9" t="s">
        <v>1008</v>
      </c>
      <c r="C9" t="s">
        <v>54</v>
      </c>
      <c r="D9" t="s">
        <v>55</v>
      </c>
      <c r="E9" t="s">
        <v>56</v>
      </c>
      <c r="F9" t="s">
        <v>57</v>
      </c>
      <c r="G9">
        <v>17</v>
      </c>
      <c r="H9">
        <v>69.22</v>
      </c>
      <c r="I9">
        <v>1176.74</v>
      </c>
      <c r="J9">
        <v>65.94</v>
      </c>
      <c r="K9">
        <v>430.8</v>
      </c>
      <c r="L9" t="s">
        <v>33</v>
      </c>
      <c r="M9" t="s">
        <v>25</v>
      </c>
      <c r="N9" t="s">
        <v>98</v>
      </c>
    </row>
    <row r="10" spans="1:18" x14ac:dyDescent="0.3">
      <c r="A10" t="s">
        <v>60</v>
      </c>
      <c r="B10" t="s">
        <v>1008</v>
      </c>
      <c r="C10" t="s">
        <v>61</v>
      </c>
      <c r="D10" t="s">
        <v>62</v>
      </c>
      <c r="E10" t="s">
        <v>63</v>
      </c>
      <c r="F10" t="s">
        <v>47</v>
      </c>
      <c r="G10">
        <v>13</v>
      </c>
      <c r="H10">
        <v>27.94</v>
      </c>
      <c r="I10">
        <v>363.22</v>
      </c>
      <c r="J10">
        <v>15.36</v>
      </c>
      <c r="K10">
        <v>87.86</v>
      </c>
      <c r="L10" t="s">
        <v>33</v>
      </c>
      <c r="M10" t="s">
        <v>25</v>
      </c>
      <c r="N10" t="s">
        <v>98</v>
      </c>
    </row>
    <row r="11" spans="1:18" x14ac:dyDescent="0.3">
      <c r="A11" t="s">
        <v>65</v>
      </c>
      <c r="B11" t="s">
        <v>1011</v>
      </c>
      <c r="C11" t="s">
        <v>66</v>
      </c>
      <c r="D11" t="s">
        <v>1004</v>
      </c>
      <c r="E11" t="s">
        <v>67</v>
      </c>
      <c r="F11" t="s">
        <v>68</v>
      </c>
      <c r="G11">
        <v>3</v>
      </c>
      <c r="H11">
        <v>31.52</v>
      </c>
      <c r="I11">
        <v>94.56</v>
      </c>
      <c r="J11">
        <v>6.98</v>
      </c>
      <c r="K11">
        <v>20.079999999999998</v>
      </c>
      <c r="L11" t="s">
        <v>24</v>
      </c>
      <c r="M11" t="s">
        <v>41</v>
      </c>
      <c r="N11" t="s">
        <v>35</v>
      </c>
    </row>
    <row r="12" spans="1:18" x14ac:dyDescent="0.3">
      <c r="A12" t="s">
        <v>72</v>
      </c>
      <c r="B12" t="s">
        <v>1012</v>
      </c>
      <c r="C12" t="s">
        <v>73</v>
      </c>
      <c r="D12" t="s">
        <v>51</v>
      </c>
      <c r="E12" t="s">
        <v>74</v>
      </c>
      <c r="F12" t="s">
        <v>75</v>
      </c>
      <c r="G12">
        <v>14</v>
      </c>
      <c r="H12">
        <v>30.71</v>
      </c>
      <c r="I12">
        <v>429.94</v>
      </c>
      <c r="J12">
        <v>13.03</v>
      </c>
      <c r="K12">
        <v>66.91</v>
      </c>
      <c r="L12" t="s">
        <v>33</v>
      </c>
      <c r="M12" t="s">
        <v>25</v>
      </c>
      <c r="N12" t="s">
        <v>76</v>
      </c>
    </row>
    <row r="13" spans="1:18" x14ac:dyDescent="0.3">
      <c r="A13" t="s">
        <v>80</v>
      </c>
      <c r="B13" t="s">
        <v>1013</v>
      </c>
      <c r="C13" t="s">
        <v>40</v>
      </c>
      <c r="D13" t="s">
        <v>1003</v>
      </c>
      <c r="E13" t="s">
        <v>81</v>
      </c>
      <c r="F13" t="s">
        <v>68</v>
      </c>
      <c r="G13">
        <v>47</v>
      </c>
      <c r="H13">
        <v>24.47</v>
      </c>
      <c r="I13">
        <v>1150.0899999999999</v>
      </c>
      <c r="J13">
        <v>61.3</v>
      </c>
      <c r="K13">
        <v>360.29</v>
      </c>
      <c r="L13" t="s">
        <v>33</v>
      </c>
      <c r="M13" t="s">
        <v>25</v>
      </c>
      <c r="N13" t="s">
        <v>98</v>
      </c>
    </row>
    <row r="14" spans="1:18" x14ac:dyDescent="0.3">
      <c r="A14" t="s">
        <v>84</v>
      </c>
      <c r="B14" t="s">
        <v>1014</v>
      </c>
      <c r="C14" t="s">
        <v>85</v>
      </c>
      <c r="D14" t="s">
        <v>37</v>
      </c>
      <c r="E14" t="s">
        <v>86</v>
      </c>
      <c r="F14" t="s">
        <v>47</v>
      </c>
      <c r="G14">
        <v>27</v>
      </c>
      <c r="H14">
        <v>18.98</v>
      </c>
      <c r="I14">
        <v>512.46</v>
      </c>
      <c r="J14">
        <v>28.89</v>
      </c>
      <c r="K14">
        <v>139.32</v>
      </c>
      <c r="L14" t="s">
        <v>33</v>
      </c>
      <c r="M14" t="s">
        <v>41</v>
      </c>
      <c r="N14" t="s">
        <v>35</v>
      </c>
    </row>
    <row r="15" spans="1:18" x14ac:dyDescent="0.3">
      <c r="A15" t="s">
        <v>108</v>
      </c>
      <c r="B15" t="s">
        <v>1015</v>
      </c>
      <c r="C15" t="s">
        <v>110</v>
      </c>
      <c r="D15" t="s">
        <v>51</v>
      </c>
      <c r="E15" t="s">
        <v>22</v>
      </c>
      <c r="F15" t="s">
        <v>23</v>
      </c>
      <c r="G15">
        <v>32</v>
      </c>
      <c r="H15">
        <v>57.84</v>
      </c>
      <c r="I15">
        <v>1850.88</v>
      </c>
      <c r="J15">
        <v>55.15</v>
      </c>
      <c r="K15">
        <v>675.73</v>
      </c>
      <c r="L15" t="s">
        <v>24</v>
      </c>
      <c r="M15" t="s">
        <v>25</v>
      </c>
      <c r="N15" t="s">
        <v>76</v>
      </c>
    </row>
    <row r="16" spans="1:18" x14ac:dyDescent="0.3">
      <c r="A16" t="s">
        <v>111</v>
      </c>
      <c r="B16" t="s">
        <v>1016</v>
      </c>
      <c r="C16" t="s">
        <v>113</v>
      </c>
      <c r="D16" t="s">
        <v>55</v>
      </c>
      <c r="E16" t="s">
        <v>56</v>
      </c>
      <c r="F16" t="s">
        <v>57</v>
      </c>
      <c r="G16">
        <v>49</v>
      </c>
      <c r="H16">
        <v>58.77</v>
      </c>
      <c r="I16">
        <v>2879.73</v>
      </c>
      <c r="J16">
        <v>140.29</v>
      </c>
      <c r="K16">
        <v>779.44</v>
      </c>
      <c r="L16" t="s">
        <v>48</v>
      </c>
      <c r="M16" t="s">
        <v>41</v>
      </c>
      <c r="N16" t="s">
        <v>98</v>
      </c>
    </row>
    <row r="17" spans="1:14" x14ac:dyDescent="0.3">
      <c r="A17" t="s">
        <v>114</v>
      </c>
      <c r="B17" t="s">
        <v>1013</v>
      </c>
      <c r="C17" t="s">
        <v>110</v>
      </c>
      <c r="D17" t="s">
        <v>116</v>
      </c>
      <c r="E17" t="s">
        <v>22</v>
      </c>
      <c r="F17" t="s">
        <v>23</v>
      </c>
      <c r="G17">
        <v>43</v>
      </c>
      <c r="H17">
        <v>56.92</v>
      </c>
      <c r="I17">
        <v>2447.56</v>
      </c>
      <c r="J17">
        <v>140.4</v>
      </c>
      <c r="K17">
        <v>802.16</v>
      </c>
      <c r="L17" t="s">
        <v>24</v>
      </c>
      <c r="M17" t="s">
        <v>34</v>
      </c>
      <c r="N17" t="s">
        <v>76</v>
      </c>
    </row>
    <row r="18" spans="1:14" x14ac:dyDescent="0.3">
      <c r="A18" t="s">
        <v>117</v>
      </c>
      <c r="B18" t="s">
        <v>1017</v>
      </c>
      <c r="C18" t="s">
        <v>119</v>
      </c>
      <c r="D18" t="s">
        <v>37</v>
      </c>
      <c r="E18" t="s">
        <v>74</v>
      </c>
      <c r="F18" t="s">
        <v>75</v>
      </c>
      <c r="G18">
        <v>32</v>
      </c>
      <c r="H18">
        <v>43.45</v>
      </c>
      <c r="I18">
        <v>1390.4</v>
      </c>
      <c r="J18">
        <v>30.04</v>
      </c>
      <c r="K18">
        <v>560.36</v>
      </c>
      <c r="L18" t="s">
        <v>24</v>
      </c>
      <c r="M18" t="s">
        <v>41</v>
      </c>
      <c r="N18" t="s">
        <v>35</v>
      </c>
    </row>
    <row r="19" spans="1:14" x14ac:dyDescent="0.3">
      <c r="A19" t="s">
        <v>120</v>
      </c>
      <c r="B19" t="s">
        <v>1018</v>
      </c>
      <c r="C19" t="s">
        <v>122</v>
      </c>
      <c r="D19" t="s">
        <v>1005</v>
      </c>
      <c r="E19" t="s">
        <v>74</v>
      </c>
      <c r="F19" t="s">
        <v>75</v>
      </c>
      <c r="G19">
        <v>22</v>
      </c>
      <c r="H19">
        <v>42.59</v>
      </c>
      <c r="I19">
        <v>936.98</v>
      </c>
      <c r="J19">
        <v>29.87</v>
      </c>
      <c r="K19">
        <v>357.11</v>
      </c>
      <c r="L19" t="s">
        <v>33</v>
      </c>
      <c r="M19" t="s">
        <v>41</v>
      </c>
      <c r="N19" t="s">
        <v>76</v>
      </c>
    </row>
    <row r="20" spans="1:14" x14ac:dyDescent="0.3">
      <c r="A20" t="s">
        <v>124</v>
      </c>
      <c r="B20" t="s">
        <v>1013</v>
      </c>
      <c r="C20" t="s">
        <v>126</v>
      </c>
      <c r="D20" t="s">
        <v>127</v>
      </c>
      <c r="E20" t="s">
        <v>63</v>
      </c>
      <c r="F20" t="s">
        <v>47</v>
      </c>
      <c r="G20">
        <v>48</v>
      </c>
      <c r="H20">
        <v>25.36</v>
      </c>
      <c r="I20">
        <v>1217.28</v>
      </c>
      <c r="J20">
        <v>49.68</v>
      </c>
      <c r="K20">
        <v>207.6</v>
      </c>
      <c r="L20" t="s">
        <v>33</v>
      </c>
      <c r="M20" t="s">
        <v>25</v>
      </c>
      <c r="N20" t="s">
        <v>76</v>
      </c>
    </row>
    <row r="21" spans="1:14" x14ac:dyDescent="0.3">
      <c r="A21" t="s">
        <v>128</v>
      </c>
      <c r="B21" t="s">
        <v>1014</v>
      </c>
      <c r="C21" t="s">
        <v>110</v>
      </c>
      <c r="D21" t="s">
        <v>1005</v>
      </c>
      <c r="E21" t="s">
        <v>32</v>
      </c>
      <c r="F21" t="s">
        <v>23</v>
      </c>
      <c r="G21">
        <v>48</v>
      </c>
      <c r="H21">
        <v>30.07</v>
      </c>
      <c r="I21">
        <v>1443.36</v>
      </c>
      <c r="J21">
        <v>102.31</v>
      </c>
      <c r="K21">
        <v>477.05</v>
      </c>
      <c r="L21" t="s">
        <v>48</v>
      </c>
      <c r="M21" t="s">
        <v>25</v>
      </c>
      <c r="N21" t="s">
        <v>76</v>
      </c>
    </row>
    <row r="22" spans="1:14" x14ac:dyDescent="0.3">
      <c r="A22" t="s">
        <v>130</v>
      </c>
      <c r="B22" t="s">
        <v>1013</v>
      </c>
      <c r="C22" t="s">
        <v>61</v>
      </c>
      <c r="D22" t="s">
        <v>1005</v>
      </c>
      <c r="E22" t="s">
        <v>63</v>
      </c>
      <c r="F22" t="s">
        <v>47</v>
      </c>
      <c r="G22">
        <v>6</v>
      </c>
      <c r="H22">
        <v>32.17</v>
      </c>
      <c r="I22">
        <v>193.02</v>
      </c>
      <c r="J22">
        <v>14.45</v>
      </c>
      <c r="K22">
        <v>58.57</v>
      </c>
      <c r="L22" t="s">
        <v>48</v>
      </c>
      <c r="M22" t="s">
        <v>25</v>
      </c>
      <c r="N22" t="s">
        <v>76</v>
      </c>
    </row>
    <row r="23" spans="1:14" x14ac:dyDescent="0.3">
      <c r="A23" t="s">
        <v>132</v>
      </c>
      <c r="B23" t="s">
        <v>1019</v>
      </c>
      <c r="C23" t="s">
        <v>134</v>
      </c>
      <c r="D23" t="s">
        <v>116</v>
      </c>
      <c r="E23" t="s">
        <v>32</v>
      </c>
      <c r="F23" t="s">
        <v>23</v>
      </c>
      <c r="G23">
        <v>37</v>
      </c>
      <c r="H23">
        <v>24.14</v>
      </c>
      <c r="I23">
        <v>893.18</v>
      </c>
      <c r="J23">
        <v>31.39</v>
      </c>
      <c r="K23">
        <v>195.79</v>
      </c>
      <c r="L23" t="s">
        <v>33</v>
      </c>
      <c r="M23" t="s">
        <v>34</v>
      </c>
      <c r="N23" t="s">
        <v>76</v>
      </c>
    </row>
    <row r="24" spans="1:14" x14ac:dyDescent="0.3">
      <c r="A24" t="s">
        <v>135</v>
      </c>
      <c r="B24" t="s">
        <v>1015</v>
      </c>
      <c r="C24" t="s">
        <v>54</v>
      </c>
      <c r="D24" t="s">
        <v>1004</v>
      </c>
      <c r="E24" t="s">
        <v>137</v>
      </c>
      <c r="F24" t="s">
        <v>68</v>
      </c>
      <c r="G24">
        <v>39</v>
      </c>
      <c r="H24">
        <v>37.840000000000003</v>
      </c>
      <c r="I24">
        <v>1475.76</v>
      </c>
      <c r="J24">
        <v>73.400000000000006</v>
      </c>
      <c r="K24">
        <v>310.36</v>
      </c>
      <c r="L24" t="s">
        <v>33</v>
      </c>
      <c r="M24" t="s">
        <v>41</v>
      </c>
      <c r="N24" t="s">
        <v>35</v>
      </c>
    </row>
    <row r="25" spans="1:14" x14ac:dyDescent="0.3">
      <c r="A25" t="s">
        <v>138</v>
      </c>
      <c r="B25" t="s">
        <v>1008</v>
      </c>
      <c r="C25" t="s">
        <v>140</v>
      </c>
      <c r="D25" t="s">
        <v>141</v>
      </c>
      <c r="E25" t="s">
        <v>56</v>
      </c>
      <c r="F25" t="s">
        <v>57</v>
      </c>
      <c r="G25">
        <v>6</v>
      </c>
      <c r="H25">
        <v>68.77</v>
      </c>
      <c r="I25">
        <v>412.62</v>
      </c>
      <c r="J25">
        <v>17.18</v>
      </c>
      <c r="K25">
        <v>155.44</v>
      </c>
      <c r="L25" t="s">
        <v>33</v>
      </c>
      <c r="M25" t="s">
        <v>25</v>
      </c>
      <c r="N25" t="s">
        <v>142</v>
      </c>
    </row>
    <row r="26" spans="1:14" x14ac:dyDescent="0.3">
      <c r="A26" t="s">
        <v>143</v>
      </c>
      <c r="B26" t="s">
        <v>1020</v>
      </c>
      <c r="C26" t="s">
        <v>145</v>
      </c>
      <c r="D26" t="s">
        <v>55</v>
      </c>
      <c r="E26" t="s">
        <v>86</v>
      </c>
      <c r="F26" t="s">
        <v>47</v>
      </c>
      <c r="G26">
        <v>6</v>
      </c>
      <c r="H26">
        <v>18.5</v>
      </c>
      <c r="I26">
        <v>111</v>
      </c>
      <c r="J26">
        <v>5.26</v>
      </c>
      <c r="K26">
        <v>29.24</v>
      </c>
      <c r="L26" t="s">
        <v>48</v>
      </c>
      <c r="M26" t="s">
        <v>34</v>
      </c>
      <c r="N26" t="s">
        <v>98</v>
      </c>
    </row>
    <row r="27" spans="1:14" x14ac:dyDescent="0.3">
      <c r="A27" t="s">
        <v>146</v>
      </c>
      <c r="B27" t="s">
        <v>1021</v>
      </c>
      <c r="C27" t="s">
        <v>148</v>
      </c>
      <c r="D27" t="s">
        <v>37</v>
      </c>
      <c r="E27" t="s">
        <v>67</v>
      </c>
      <c r="F27" t="s">
        <v>68</v>
      </c>
      <c r="G27">
        <v>33</v>
      </c>
      <c r="H27">
        <v>28.96</v>
      </c>
      <c r="I27">
        <v>955.68</v>
      </c>
      <c r="J27">
        <v>49.07</v>
      </c>
      <c r="K27">
        <v>164.11</v>
      </c>
      <c r="L27" t="s">
        <v>33</v>
      </c>
      <c r="M27" t="s">
        <v>25</v>
      </c>
      <c r="N27" t="s">
        <v>35</v>
      </c>
    </row>
    <row r="28" spans="1:14" x14ac:dyDescent="0.3">
      <c r="A28" t="s">
        <v>149</v>
      </c>
      <c r="B28" t="s">
        <v>1017</v>
      </c>
      <c r="C28" t="s">
        <v>151</v>
      </c>
      <c r="D28" t="s">
        <v>55</v>
      </c>
      <c r="E28" t="s">
        <v>67</v>
      </c>
      <c r="F28" t="s">
        <v>68</v>
      </c>
      <c r="G28">
        <v>31</v>
      </c>
      <c r="H28">
        <v>35.020000000000003</v>
      </c>
      <c r="I28">
        <v>1085.6199999999999</v>
      </c>
      <c r="J28">
        <v>74.650000000000006</v>
      </c>
      <c r="K28">
        <v>313.47000000000003</v>
      </c>
      <c r="L28" t="s">
        <v>48</v>
      </c>
      <c r="M28" t="s">
        <v>25</v>
      </c>
      <c r="N28" t="s">
        <v>98</v>
      </c>
    </row>
    <row r="29" spans="1:14" x14ac:dyDescent="0.3">
      <c r="A29" t="s">
        <v>152</v>
      </c>
      <c r="B29" t="s">
        <v>1015</v>
      </c>
      <c r="C29" t="s">
        <v>154</v>
      </c>
      <c r="D29" t="s">
        <v>55</v>
      </c>
      <c r="E29" t="s">
        <v>63</v>
      </c>
      <c r="F29" t="s">
        <v>47</v>
      </c>
      <c r="G29">
        <v>25</v>
      </c>
      <c r="H29">
        <v>31.57</v>
      </c>
      <c r="I29">
        <v>789.25</v>
      </c>
      <c r="J29">
        <v>56.47</v>
      </c>
      <c r="K29">
        <v>232.78</v>
      </c>
      <c r="L29" t="s">
        <v>33</v>
      </c>
      <c r="M29" t="s">
        <v>34</v>
      </c>
      <c r="N29" t="s">
        <v>98</v>
      </c>
    </row>
    <row r="30" spans="1:14" x14ac:dyDescent="0.3">
      <c r="A30" t="s">
        <v>155</v>
      </c>
      <c r="B30" t="s">
        <v>1016</v>
      </c>
      <c r="C30" t="s">
        <v>157</v>
      </c>
      <c r="D30" t="s">
        <v>37</v>
      </c>
      <c r="E30" t="s">
        <v>81</v>
      </c>
      <c r="F30" t="s">
        <v>68</v>
      </c>
      <c r="G30">
        <v>14</v>
      </c>
      <c r="H30">
        <v>27.08</v>
      </c>
      <c r="I30">
        <v>379.12</v>
      </c>
      <c r="J30">
        <v>11.12</v>
      </c>
      <c r="K30">
        <v>151</v>
      </c>
      <c r="L30" t="s">
        <v>33</v>
      </c>
      <c r="M30" t="s">
        <v>41</v>
      </c>
      <c r="N30" t="s">
        <v>35</v>
      </c>
    </row>
    <row r="31" spans="1:14" x14ac:dyDescent="0.3">
      <c r="A31" t="s">
        <v>158</v>
      </c>
      <c r="B31" t="s">
        <v>1011</v>
      </c>
      <c r="C31" t="s">
        <v>44</v>
      </c>
      <c r="D31" t="s">
        <v>37</v>
      </c>
      <c r="E31" t="s">
        <v>137</v>
      </c>
      <c r="F31" t="s">
        <v>68</v>
      </c>
      <c r="G31">
        <v>39</v>
      </c>
      <c r="H31">
        <v>35.32</v>
      </c>
      <c r="I31">
        <v>1377.48</v>
      </c>
      <c r="J31">
        <v>63.72</v>
      </c>
      <c r="K31">
        <v>221.76</v>
      </c>
      <c r="L31" t="s">
        <v>33</v>
      </c>
      <c r="M31" t="s">
        <v>34</v>
      </c>
      <c r="N31" t="s">
        <v>35</v>
      </c>
    </row>
    <row r="32" spans="1:14" x14ac:dyDescent="0.3">
      <c r="A32" t="s">
        <v>160</v>
      </c>
      <c r="B32" t="s">
        <v>1014</v>
      </c>
      <c r="C32" t="s">
        <v>162</v>
      </c>
      <c r="D32" t="s">
        <v>51</v>
      </c>
      <c r="E32" t="s">
        <v>67</v>
      </c>
      <c r="F32" t="s">
        <v>68</v>
      </c>
      <c r="G32">
        <v>6</v>
      </c>
      <c r="H32">
        <v>39.630000000000003</v>
      </c>
      <c r="I32">
        <v>237.78</v>
      </c>
      <c r="J32">
        <v>8.08</v>
      </c>
      <c r="K32">
        <v>94.7</v>
      </c>
      <c r="L32" t="s">
        <v>24</v>
      </c>
      <c r="M32" t="s">
        <v>41</v>
      </c>
      <c r="N32" t="s">
        <v>76</v>
      </c>
    </row>
    <row r="33" spans="1:14" x14ac:dyDescent="0.3">
      <c r="A33" t="s">
        <v>163</v>
      </c>
      <c r="B33" t="s">
        <v>1007</v>
      </c>
      <c r="C33" t="s">
        <v>165</v>
      </c>
      <c r="D33" t="s">
        <v>141</v>
      </c>
      <c r="E33" t="s">
        <v>56</v>
      </c>
      <c r="F33" t="s">
        <v>57</v>
      </c>
      <c r="G33">
        <v>36</v>
      </c>
      <c r="H33">
        <v>68.400000000000006</v>
      </c>
      <c r="I33">
        <v>2462.4</v>
      </c>
      <c r="J33">
        <v>150.83000000000001</v>
      </c>
      <c r="K33">
        <v>871.57</v>
      </c>
      <c r="L33" t="s">
        <v>33</v>
      </c>
      <c r="M33" t="s">
        <v>25</v>
      </c>
      <c r="N33" t="s">
        <v>142</v>
      </c>
    </row>
    <row r="34" spans="1:14" x14ac:dyDescent="0.3">
      <c r="A34" t="s">
        <v>166</v>
      </c>
      <c r="B34" t="s">
        <v>1019</v>
      </c>
      <c r="C34" t="s">
        <v>126</v>
      </c>
      <c r="D34" t="s">
        <v>37</v>
      </c>
      <c r="E34" t="s">
        <v>74</v>
      </c>
      <c r="F34" t="s">
        <v>75</v>
      </c>
      <c r="G34">
        <v>1</v>
      </c>
      <c r="H34">
        <v>44.98</v>
      </c>
      <c r="I34">
        <v>44.98</v>
      </c>
      <c r="J34">
        <v>2.81</v>
      </c>
      <c r="K34">
        <v>17.170000000000002</v>
      </c>
      <c r="L34" t="s">
        <v>33</v>
      </c>
      <c r="M34" t="s">
        <v>34</v>
      </c>
      <c r="N34" t="s">
        <v>35</v>
      </c>
    </row>
    <row r="35" spans="1:14" x14ac:dyDescent="0.3">
      <c r="A35" t="s">
        <v>168</v>
      </c>
      <c r="B35" t="s">
        <v>1015</v>
      </c>
      <c r="C35" t="s">
        <v>170</v>
      </c>
      <c r="D35" t="s">
        <v>171</v>
      </c>
      <c r="E35" t="s">
        <v>137</v>
      </c>
      <c r="F35" t="s">
        <v>68</v>
      </c>
      <c r="G35">
        <v>3</v>
      </c>
      <c r="H35">
        <v>37.74</v>
      </c>
      <c r="I35">
        <v>113.22</v>
      </c>
      <c r="J35">
        <v>4.04</v>
      </c>
      <c r="K35">
        <v>25.18</v>
      </c>
      <c r="L35" t="s">
        <v>33</v>
      </c>
      <c r="M35" t="s">
        <v>34</v>
      </c>
      <c r="N35" t="s">
        <v>35</v>
      </c>
    </row>
    <row r="36" spans="1:14" x14ac:dyDescent="0.3">
      <c r="A36" t="s">
        <v>172</v>
      </c>
      <c r="B36" t="s">
        <v>1021</v>
      </c>
      <c r="C36" t="s">
        <v>174</v>
      </c>
      <c r="D36" t="s">
        <v>171</v>
      </c>
      <c r="E36" t="s">
        <v>74</v>
      </c>
      <c r="F36" t="s">
        <v>75</v>
      </c>
      <c r="G36">
        <v>12</v>
      </c>
      <c r="H36">
        <v>39.799999999999997</v>
      </c>
      <c r="I36">
        <v>477.6</v>
      </c>
      <c r="J36">
        <v>20.54</v>
      </c>
      <c r="K36">
        <v>157.06</v>
      </c>
      <c r="L36" t="s">
        <v>48</v>
      </c>
      <c r="M36" t="s">
        <v>34</v>
      </c>
      <c r="N36" t="s">
        <v>35</v>
      </c>
    </row>
    <row r="37" spans="1:14" x14ac:dyDescent="0.3">
      <c r="A37" t="s">
        <v>175</v>
      </c>
      <c r="B37" t="s">
        <v>1009</v>
      </c>
      <c r="C37" t="s">
        <v>177</v>
      </c>
      <c r="D37" t="s">
        <v>51</v>
      </c>
      <c r="E37" t="s">
        <v>46</v>
      </c>
      <c r="F37" t="s">
        <v>47</v>
      </c>
      <c r="G37">
        <v>26</v>
      </c>
      <c r="H37">
        <v>43.23</v>
      </c>
      <c r="I37">
        <v>1123.98</v>
      </c>
      <c r="J37">
        <v>57.2</v>
      </c>
      <c r="K37">
        <v>234.78</v>
      </c>
      <c r="L37" t="s">
        <v>33</v>
      </c>
      <c r="M37" t="s">
        <v>41</v>
      </c>
      <c r="N37" t="s">
        <v>76</v>
      </c>
    </row>
    <row r="38" spans="1:14" x14ac:dyDescent="0.3">
      <c r="A38" t="s">
        <v>178</v>
      </c>
      <c r="B38" t="s">
        <v>1007</v>
      </c>
      <c r="C38" t="s">
        <v>44</v>
      </c>
      <c r="D38" t="s">
        <v>37</v>
      </c>
      <c r="E38" t="s">
        <v>56</v>
      </c>
      <c r="F38" t="s">
        <v>57</v>
      </c>
      <c r="G38">
        <v>17</v>
      </c>
      <c r="H38">
        <v>66.34</v>
      </c>
      <c r="I38">
        <v>1127.78</v>
      </c>
      <c r="J38">
        <v>81.150000000000006</v>
      </c>
      <c r="K38">
        <v>366.63</v>
      </c>
      <c r="L38" t="s">
        <v>33</v>
      </c>
      <c r="M38" t="s">
        <v>41</v>
      </c>
      <c r="N38" t="s">
        <v>35</v>
      </c>
    </row>
    <row r="39" spans="1:14" x14ac:dyDescent="0.3">
      <c r="A39" t="s">
        <v>180</v>
      </c>
      <c r="B39" t="s">
        <v>1010</v>
      </c>
      <c r="C39" t="s">
        <v>182</v>
      </c>
      <c r="D39" t="s">
        <v>116</v>
      </c>
      <c r="E39" t="s">
        <v>74</v>
      </c>
      <c r="F39" t="s">
        <v>75</v>
      </c>
      <c r="G39">
        <v>4</v>
      </c>
      <c r="H39">
        <v>33.869999999999997</v>
      </c>
      <c r="I39">
        <v>135.47999999999999</v>
      </c>
      <c r="J39">
        <v>6.59</v>
      </c>
      <c r="K39">
        <v>28.89</v>
      </c>
      <c r="L39" t="s">
        <v>24</v>
      </c>
      <c r="M39" t="s">
        <v>41</v>
      </c>
      <c r="N39" t="s">
        <v>76</v>
      </c>
    </row>
    <row r="40" spans="1:14" x14ac:dyDescent="0.3">
      <c r="A40" t="s">
        <v>183</v>
      </c>
      <c r="B40" t="s">
        <v>1022</v>
      </c>
      <c r="C40" t="s">
        <v>185</v>
      </c>
      <c r="D40" t="s">
        <v>37</v>
      </c>
      <c r="E40" t="s">
        <v>56</v>
      </c>
      <c r="F40" t="s">
        <v>57</v>
      </c>
      <c r="G40">
        <v>10</v>
      </c>
      <c r="H40">
        <v>64.650000000000006</v>
      </c>
      <c r="I40">
        <v>646.5</v>
      </c>
      <c r="J40">
        <v>17.89</v>
      </c>
      <c r="K40">
        <v>228.61</v>
      </c>
      <c r="L40" t="s">
        <v>48</v>
      </c>
      <c r="M40" t="s">
        <v>25</v>
      </c>
      <c r="N40" t="s">
        <v>35</v>
      </c>
    </row>
    <row r="41" spans="1:14" x14ac:dyDescent="0.3">
      <c r="A41" t="s">
        <v>186</v>
      </c>
      <c r="B41" t="s">
        <v>1016</v>
      </c>
      <c r="C41" t="s">
        <v>188</v>
      </c>
      <c r="D41" t="s">
        <v>141</v>
      </c>
      <c r="E41" t="s">
        <v>67</v>
      </c>
      <c r="F41" t="s">
        <v>68</v>
      </c>
      <c r="G41">
        <v>12</v>
      </c>
      <c r="H41">
        <v>29.56</v>
      </c>
      <c r="I41">
        <v>354.72</v>
      </c>
      <c r="J41">
        <v>21.4</v>
      </c>
      <c r="K41">
        <v>63.32</v>
      </c>
      <c r="L41" t="s">
        <v>33</v>
      </c>
      <c r="M41" t="s">
        <v>25</v>
      </c>
      <c r="N41" t="s">
        <v>142</v>
      </c>
    </row>
    <row r="42" spans="1:14" x14ac:dyDescent="0.3">
      <c r="A42" t="s">
        <v>189</v>
      </c>
      <c r="B42" t="s">
        <v>1021</v>
      </c>
      <c r="C42" t="s">
        <v>191</v>
      </c>
      <c r="D42" t="s">
        <v>1003</v>
      </c>
      <c r="E42" t="s">
        <v>74</v>
      </c>
      <c r="F42" t="s">
        <v>75</v>
      </c>
      <c r="G42">
        <v>4</v>
      </c>
      <c r="H42">
        <v>35.36</v>
      </c>
      <c r="I42">
        <v>141.44</v>
      </c>
      <c r="J42">
        <v>8.66</v>
      </c>
      <c r="K42">
        <v>32.78</v>
      </c>
      <c r="L42" t="s">
        <v>48</v>
      </c>
      <c r="M42" t="s">
        <v>34</v>
      </c>
      <c r="N42" t="s">
        <v>98</v>
      </c>
    </row>
    <row r="43" spans="1:14" x14ac:dyDescent="0.3">
      <c r="A43" t="s">
        <v>192</v>
      </c>
      <c r="B43" t="s">
        <v>1007</v>
      </c>
      <c r="C43" t="s">
        <v>194</v>
      </c>
      <c r="D43" t="s">
        <v>37</v>
      </c>
      <c r="E43" t="s">
        <v>63</v>
      </c>
      <c r="F43" t="s">
        <v>47</v>
      </c>
      <c r="G43">
        <v>28</v>
      </c>
      <c r="H43">
        <v>31.42</v>
      </c>
      <c r="I43">
        <v>879.76</v>
      </c>
      <c r="J43">
        <v>69.319999999999993</v>
      </c>
      <c r="K43">
        <v>250.44</v>
      </c>
      <c r="L43" t="s">
        <v>24</v>
      </c>
      <c r="M43" t="s">
        <v>41</v>
      </c>
      <c r="N43" t="s">
        <v>35</v>
      </c>
    </row>
    <row r="44" spans="1:14" x14ac:dyDescent="0.3">
      <c r="A44" t="s">
        <v>195</v>
      </c>
      <c r="B44" t="s">
        <v>1021</v>
      </c>
      <c r="C44" t="s">
        <v>197</v>
      </c>
      <c r="D44" t="s">
        <v>1003</v>
      </c>
      <c r="E44" t="s">
        <v>22</v>
      </c>
      <c r="F44" t="s">
        <v>23</v>
      </c>
      <c r="G44">
        <v>35</v>
      </c>
      <c r="H44">
        <v>55.12</v>
      </c>
      <c r="I44">
        <v>1929.2</v>
      </c>
      <c r="J44">
        <v>58.22</v>
      </c>
      <c r="K44">
        <v>645.98</v>
      </c>
      <c r="L44" t="s">
        <v>24</v>
      </c>
      <c r="M44" t="s">
        <v>25</v>
      </c>
      <c r="N44" t="s">
        <v>98</v>
      </c>
    </row>
    <row r="45" spans="1:14" x14ac:dyDescent="0.3">
      <c r="A45" t="s">
        <v>198</v>
      </c>
      <c r="B45" t="s">
        <v>1015</v>
      </c>
      <c r="C45" t="s">
        <v>200</v>
      </c>
      <c r="D45" t="s">
        <v>1005</v>
      </c>
      <c r="E45" t="s">
        <v>67</v>
      </c>
      <c r="F45" t="s">
        <v>68</v>
      </c>
      <c r="G45">
        <v>41</v>
      </c>
      <c r="H45">
        <v>33.94</v>
      </c>
      <c r="I45">
        <v>1391.54</v>
      </c>
      <c r="J45">
        <v>33.26</v>
      </c>
      <c r="K45">
        <v>435.78</v>
      </c>
      <c r="L45" t="s">
        <v>24</v>
      </c>
      <c r="M45" t="s">
        <v>41</v>
      </c>
      <c r="N45" t="s">
        <v>76</v>
      </c>
    </row>
    <row r="46" spans="1:14" x14ac:dyDescent="0.3">
      <c r="A46" t="s">
        <v>201</v>
      </c>
      <c r="B46" t="s">
        <v>1014</v>
      </c>
      <c r="C46" t="s">
        <v>119</v>
      </c>
      <c r="D46" t="s">
        <v>116</v>
      </c>
      <c r="E46" t="s">
        <v>67</v>
      </c>
      <c r="F46" t="s">
        <v>68</v>
      </c>
      <c r="G46">
        <v>20</v>
      </c>
      <c r="H46">
        <v>38.43</v>
      </c>
      <c r="I46">
        <v>768.6</v>
      </c>
      <c r="J46">
        <v>60.07</v>
      </c>
      <c r="K46">
        <v>258.52999999999997</v>
      </c>
      <c r="L46" t="s">
        <v>48</v>
      </c>
      <c r="M46" t="s">
        <v>41</v>
      </c>
      <c r="N46" t="s">
        <v>76</v>
      </c>
    </row>
    <row r="47" spans="1:14" x14ac:dyDescent="0.3">
      <c r="A47" t="s">
        <v>202</v>
      </c>
      <c r="B47" t="s">
        <v>1021</v>
      </c>
      <c r="C47" t="s">
        <v>122</v>
      </c>
      <c r="D47" t="s">
        <v>45</v>
      </c>
      <c r="E47" t="s">
        <v>74</v>
      </c>
      <c r="F47" t="s">
        <v>75</v>
      </c>
      <c r="G47">
        <v>23</v>
      </c>
      <c r="H47">
        <v>35.07</v>
      </c>
      <c r="I47">
        <v>806.61</v>
      </c>
      <c r="J47">
        <v>21.23</v>
      </c>
      <c r="K47">
        <v>210.38</v>
      </c>
      <c r="L47" t="s">
        <v>24</v>
      </c>
      <c r="M47" t="s">
        <v>41</v>
      </c>
      <c r="N47" t="s">
        <v>49</v>
      </c>
    </row>
    <row r="48" spans="1:14" x14ac:dyDescent="0.3">
      <c r="A48" t="s">
        <v>204</v>
      </c>
      <c r="B48" t="s">
        <v>1020</v>
      </c>
      <c r="C48" t="s">
        <v>113</v>
      </c>
      <c r="D48" t="s">
        <v>206</v>
      </c>
      <c r="E48" t="s">
        <v>56</v>
      </c>
      <c r="F48" t="s">
        <v>57</v>
      </c>
      <c r="G48">
        <v>35</v>
      </c>
      <c r="H48">
        <v>71.44</v>
      </c>
      <c r="I48">
        <v>2500.4</v>
      </c>
      <c r="J48">
        <v>166.81</v>
      </c>
      <c r="K48">
        <v>933.59</v>
      </c>
      <c r="L48" t="s">
        <v>33</v>
      </c>
      <c r="M48" t="s">
        <v>34</v>
      </c>
      <c r="N48" t="s">
        <v>207</v>
      </c>
    </row>
    <row r="49" spans="1:14" x14ac:dyDescent="0.3">
      <c r="A49" t="s">
        <v>208</v>
      </c>
      <c r="B49" t="s">
        <v>1016</v>
      </c>
      <c r="C49" t="s">
        <v>185</v>
      </c>
      <c r="D49" t="s">
        <v>55</v>
      </c>
      <c r="E49" t="s">
        <v>32</v>
      </c>
      <c r="F49" t="s">
        <v>23</v>
      </c>
      <c r="G49">
        <v>11</v>
      </c>
      <c r="H49">
        <v>26.05</v>
      </c>
      <c r="I49">
        <v>286.55</v>
      </c>
      <c r="J49">
        <v>13.39</v>
      </c>
      <c r="K49">
        <v>75.16</v>
      </c>
      <c r="L49" t="s">
        <v>33</v>
      </c>
      <c r="M49" t="s">
        <v>25</v>
      </c>
      <c r="N49" t="s">
        <v>98</v>
      </c>
    </row>
    <row r="50" spans="1:14" x14ac:dyDescent="0.3">
      <c r="A50" t="s">
        <v>210</v>
      </c>
      <c r="B50" t="s">
        <v>1017</v>
      </c>
      <c r="C50" t="s">
        <v>54</v>
      </c>
      <c r="D50" t="s">
        <v>1004</v>
      </c>
      <c r="E50" t="s">
        <v>81</v>
      </c>
      <c r="F50" t="s">
        <v>68</v>
      </c>
      <c r="G50">
        <v>46</v>
      </c>
      <c r="H50">
        <v>26.67</v>
      </c>
      <c r="I50">
        <v>1226.82</v>
      </c>
      <c r="J50">
        <v>83.55</v>
      </c>
      <c r="K50">
        <v>430.27</v>
      </c>
      <c r="L50" t="s">
        <v>24</v>
      </c>
      <c r="M50" t="s">
        <v>41</v>
      </c>
      <c r="N50" t="s">
        <v>35</v>
      </c>
    </row>
    <row r="51" spans="1:14" x14ac:dyDescent="0.3">
      <c r="A51" t="s">
        <v>212</v>
      </c>
      <c r="B51" t="s">
        <v>1022</v>
      </c>
      <c r="C51" t="s">
        <v>148</v>
      </c>
      <c r="D51" t="s">
        <v>1004</v>
      </c>
      <c r="E51" t="s">
        <v>137</v>
      </c>
      <c r="F51" t="s">
        <v>68</v>
      </c>
      <c r="G51">
        <v>12</v>
      </c>
      <c r="H51">
        <v>42.84</v>
      </c>
      <c r="I51">
        <v>514.08000000000004</v>
      </c>
      <c r="J51">
        <v>22.74</v>
      </c>
      <c r="K51">
        <v>155.34</v>
      </c>
      <c r="L51" t="s">
        <v>48</v>
      </c>
      <c r="M51" t="s">
        <v>25</v>
      </c>
      <c r="N51" t="s">
        <v>35</v>
      </c>
    </row>
    <row r="52" spans="1:14" x14ac:dyDescent="0.3">
      <c r="A52" t="s">
        <v>214</v>
      </c>
      <c r="B52" t="s">
        <v>1019</v>
      </c>
      <c r="C52" t="s">
        <v>216</v>
      </c>
      <c r="D52" t="s">
        <v>116</v>
      </c>
      <c r="E52" t="s">
        <v>32</v>
      </c>
      <c r="F52" t="s">
        <v>23</v>
      </c>
      <c r="G52">
        <v>18</v>
      </c>
      <c r="H52">
        <v>30.89</v>
      </c>
      <c r="I52">
        <v>556.02</v>
      </c>
      <c r="J52">
        <v>12</v>
      </c>
      <c r="K52">
        <v>220.02</v>
      </c>
      <c r="L52" t="s">
        <v>33</v>
      </c>
      <c r="M52" t="s">
        <v>25</v>
      </c>
      <c r="N52" t="s">
        <v>76</v>
      </c>
    </row>
    <row r="53" spans="1:14" x14ac:dyDescent="0.3">
      <c r="A53" t="s">
        <v>217</v>
      </c>
      <c r="B53" t="s">
        <v>1016</v>
      </c>
      <c r="C53" t="s">
        <v>219</v>
      </c>
      <c r="D53" t="s">
        <v>55</v>
      </c>
      <c r="E53" t="s">
        <v>22</v>
      </c>
      <c r="F53" t="s">
        <v>23</v>
      </c>
      <c r="G53">
        <v>21</v>
      </c>
      <c r="H53">
        <v>52.41</v>
      </c>
      <c r="I53">
        <v>1100.6099999999999</v>
      </c>
      <c r="J53">
        <v>81.099999999999994</v>
      </c>
      <c r="K53">
        <v>284.51</v>
      </c>
      <c r="L53" t="s">
        <v>48</v>
      </c>
      <c r="M53" t="s">
        <v>34</v>
      </c>
      <c r="N53" t="s">
        <v>98</v>
      </c>
    </row>
    <row r="54" spans="1:14" x14ac:dyDescent="0.3">
      <c r="A54" t="s">
        <v>220</v>
      </c>
      <c r="B54" t="s">
        <v>1023</v>
      </c>
      <c r="C54" t="s">
        <v>222</v>
      </c>
      <c r="D54" t="s">
        <v>206</v>
      </c>
      <c r="E54" t="s">
        <v>137</v>
      </c>
      <c r="F54" t="s">
        <v>68</v>
      </c>
      <c r="G54">
        <v>17</v>
      </c>
      <c r="H54">
        <v>38.64</v>
      </c>
      <c r="I54">
        <v>656.88</v>
      </c>
      <c r="J54">
        <v>13.86</v>
      </c>
      <c r="K54">
        <v>167.02</v>
      </c>
      <c r="L54" t="s">
        <v>33</v>
      </c>
      <c r="M54" t="s">
        <v>25</v>
      </c>
      <c r="N54" t="s">
        <v>207</v>
      </c>
    </row>
    <row r="55" spans="1:14" x14ac:dyDescent="0.3">
      <c r="A55" t="s">
        <v>223</v>
      </c>
      <c r="B55" t="s">
        <v>1015</v>
      </c>
      <c r="C55" t="s">
        <v>191</v>
      </c>
      <c r="D55" t="s">
        <v>127</v>
      </c>
      <c r="E55" t="s">
        <v>32</v>
      </c>
      <c r="F55" t="s">
        <v>23</v>
      </c>
      <c r="G55">
        <v>41</v>
      </c>
      <c r="H55">
        <v>25.79</v>
      </c>
      <c r="I55">
        <v>1057.3900000000001</v>
      </c>
      <c r="J55">
        <v>71.22</v>
      </c>
      <c r="K55">
        <v>248.17</v>
      </c>
      <c r="L55" t="s">
        <v>33</v>
      </c>
      <c r="M55" t="s">
        <v>34</v>
      </c>
      <c r="N55" t="s">
        <v>76</v>
      </c>
    </row>
    <row r="56" spans="1:14" x14ac:dyDescent="0.3">
      <c r="A56" t="s">
        <v>225</v>
      </c>
      <c r="B56" t="s">
        <v>1019</v>
      </c>
      <c r="C56" t="s">
        <v>227</v>
      </c>
      <c r="D56" t="s">
        <v>127</v>
      </c>
      <c r="E56" t="s">
        <v>137</v>
      </c>
      <c r="F56" t="s">
        <v>68</v>
      </c>
      <c r="G56">
        <v>41</v>
      </c>
      <c r="H56">
        <v>41.13</v>
      </c>
      <c r="I56">
        <v>1686.33</v>
      </c>
      <c r="J56">
        <v>80.12</v>
      </c>
      <c r="K56">
        <v>458.21</v>
      </c>
      <c r="L56" t="s">
        <v>33</v>
      </c>
      <c r="M56" t="s">
        <v>41</v>
      </c>
      <c r="N56" t="s">
        <v>76</v>
      </c>
    </row>
    <row r="57" spans="1:14" x14ac:dyDescent="0.3">
      <c r="A57" t="s">
        <v>228</v>
      </c>
      <c r="B57" t="s">
        <v>1022</v>
      </c>
      <c r="C57" t="s">
        <v>113</v>
      </c>
      <c r="D57" t="s">
        <v>51</v>
      </c>
      <c r="E57" t="s">
        <v>56</v>
      </c>
      <c r="F57" t="s">
        <v>57</v>
      </c>
      <c r="G57">
        <v>33</v>
      </c>
      <c r="H57">
        <v>55.67</v>
      </c>
      <c r="I57">
        <v>1837.11</v>
      </c>
      <c r="J57">
        <v>144.32</v>
      </c>
      <c r="K57">
        <v>372.79</v>
      </c>
      <c r="L57" t="s">
        <v>24</v>
      </c>
      <c r="M57" t="s">
        <v>25</v>
      </c>
      <c r="N57" t="s">
        <v>76</v>
      </c>
    </row>
    <row r="58" spans="1:14" x14ac:dyDescent="0.3">
      <c r="A58" t="s">
        <v>230</v>
      </c>
      <c r="B58" t="s">
        <v>1022</v>
      </c>
      <c r="C58" t="s">
        <v>232</v>
      </c>
      <c r="D58" t="s">
        <v>127</v>
      </c>
      <c r="E58" t="s">
        <v>56</v>
      </c>
      <c r="F58" t="s">
        <v>57</v>
      </c>
      <c r="G58">
        <v>18</v>
      </c>
      <c r="H58">
        <v>50.87</v>
      </c>
      <c r="I58">
        <v>915.66</v>
      </c>
      <c r="J58">
        <v>49.93</v>
      </c>
      <c r="K58">
        <v>145.72999999999999</v>
      </c>
      <c r="L58" t="s">
        <v>24</v>
      </c>
      <c r="M58" t="s">
        <v>34</v>
      </c>
      <c r="N58" t="s">
        <v>76</v>
      </c>
    </row>
    <row r="59" spans="1:14" x14ac:dyDescent="0.3">
      <c r="A59" t="s">
        <v>233</v>
      </c>
      <c r="B59" t="s">
        <v>1015</v>
      </c>
      <c r="C59" t="s">
        <v>235</v>
      </c>
      <c r="D59" t="s">
        <v>141</v>
      </c>
      <c r="E59" t="s">
        <v>81</v>
      </c>
      <c r="F59" t="s">
        <v>68</v>
      </c>
      <c r="G59">
        <v>14</v>
      </c>
      <c r="H59">
        <v>26.7</v>
      </c>
      <c r="I59">
        <v>373.8</v>
      </c>
      <c r="J59">
        <v>11.84</v>
      </c>
      <c r="K59">
        <v>144.96</v>
      </c>
      <c r="L59" t="s">
        <v>48</v>
      </c>
      <c r="M59" t="s">
        <v>25</v>
      </c>
      <c r="N59" t="s">
        <v>142</v>
      </c>
    </row>
    <row r="60" spans="1:14" x14ac:dyDescent="0.3">
      <c r="A60" t="s">
        <v>236</v>
      </c>
      <c r="B60" t="s">
        <v>1013</v>
      </c>
      <c r="C60" t="s">
        <v>238</v>
      </c>
      <c r="D60" t="s">
        <v>1003</v>
      </c>
      <c r="E60" t="s">
        <v>32</v>
      </c>
      <c r="F60" t="s">
        <v>23</v>
      </c>
      <c r="G60">
        <v>16</v>
      </c>
      <c r="H60">
        <v>28.96</v>
      </c>
      <c r="I60">
        <v>463.36</v>
      </c>
      <c r="J60">
        <v>35.65</v>
      </c>
      <c r="K60">
        <v>139.71</v>
      </c>
      <c r="L60" t="s">
        <v>24</v>
      </c>
      <c r="M60" t="s">
        <v>41</v>
      </c>
      <c r="N60" t="s">
        <v>98</v>
      </c>
    </row>
    <row r="61" spans="1:14" x14ac:dyDescent="0.3">
      <c r="A61" t="s">
        <v>239</v>
      </c>
      <c r="B61" t="s">
        <v>1021</v>
      </c>
      <c r="C61" t="s">
        <v>113</v>
      </c>
      <c r="D61" t="s">
        <v>241</v>
      </c>
      <c r="E61" t="s">
        <v>32</v>
      </c>
      <c r="F61" t="s">
        <v>23</v>
      </c>
      <c r="G61">
        <v>47</v>
      </c>
      <c r="H61">
        <v>23.03</v>
      </c>
      <c r="I61">
        <v>1082.4100000000001</v>
      </c>
      <c r="J61">
        <v>50.12</v>
      </c>
      <c r="K61">
        <v>186.29</v>
      </c>
      <c r="L61" t="s">
        <v>48</v>
      </c>
      <c r="M61" t="s">
        <v>25</v>
      </c>
      <c r="N61" t="s">
        <v>35</v>
      </c>
    </row>
    <row r="62" spans="1:14" x14ac:dyDescent="0.3">
      <c r="A62" t="s">
        <v>242</v>
      </c>
      <c r="B62" t="s">
        <v>1021</v>
      </c>
      <c r="C62" t="s">
        <v>238</v>
      </c>
      <c r="D62" t="s">
        <v>206</v>
      </c>
      <c r="E62" t="s">
        <v>22</v>
      </c>
      <c r="F62" t="s">
        <v>23</v>
      </c>
      <c r="G62">
        <v>18</v>
      </c>
      <c r="H62">
        <v>50.03</v>
      </c>
      <c r="I62">
        <v>900.54</v>
      </c>
      <c r="J62">
        <v>68.44</v>
      </c>
      <c r="K62">
        <v>202.1</v>
      </c>
      <c r="L62" t="s">
        <v>48</v>
      </c>
      <c r="M62" t="s">
        <v>25</v>
      </c>
      <c r="N62" t="s">
        <v>207</v>
      </c>
    </row>
    <row r="63" spans="1:14" x14ac:dyDescent="0.3">
      <c r="A63" t="s">
        <v>244</v>
      </c>
      <c r="B63" t="s">
        <v>1019</v>
      </c>
      <c r="C63" t="s">
        <v>246</v>
      </c>
      <c r="D63" t="s">
        <v>1004</v>
      </c>
      <c r="E63" t="s">
        <v>74</v>
      </c>
      <c r="F63" t="s">
        <v>75</v>
      </c>
      <c r="G63">
        <v>38</v>
      </c>
      <c r="H63">
        <v>32.07</v>
      </c>
      <c r="I63">
        <v>1218.6600000000001</v>
      </c>
      <c r="J63">
        <v>54.49</v>
      </c>
      <c r="K63">
        <v>214.17</v>
      </c>
      <c r="L63" t="s">
        <v>48</v>
      </c>
      <c r="M63" t="s">
        <v>41</v>
      </c>
      <c r="N63" t="s">
        <v>35</v>
      </c>
    </row>
    <row r="64" spans="1:14" x14ac:dyDescent="0.3">
      <c r="A64" t="s">
        <v>247</v>
      </c>
      <c r="B64" t="s">
        <v>1015</v>
      </c>
      <c r="C64" t="s">
        <v>249</v>
      </c>
      <c r="D64" t="s">
        <v>45</v>
      </c>
      <c r="E64" t="s">
        <v>46</v>
      </c>
      <c r="F64" t="s">
        <v>47</v>
      </c>
      <c r="G64">
        <v>23</v>
      </c>
      <c r="H64">
        <v>50.96</v>
      </c>
      <c r="I64">
        <v>1172.08</v>
      </c>
      <c r="J64">
        <v>61</v>
      </c>
      <c r="K64">
        <v>375.08</v>
      </c>
      <c r="L64" t="s">
        <v>48</v>
      </c>
      <c r="M64" t="s">
        <v>34</v>
      </c>
      <c r="N64" t="s">
        <v>49</v>
      </c>
    </row>
    <row r="65" spans="1:14" x14ac:dyDescent="0.3">
      <c r="A65" t="s">
        <v>250</v>
      </c>
      <c r="B65" t="s">
        <v>1020</v>
      </c>
      <c r="C65" t="s">
        <v>252</v>
      </c>
      <c r="D65" t="s">
        <v>127</v>
      </c>
      <c r="E65" t="s">
        <v>56</v>
      </c>
      <c r="F65" t="s">
        <v>57</v>
      </c>
      <c r="G65">
        <v>46</v>
      </c>
      <c r="H65">
        <v>70.599999999999994</v>
      </c>
      <c r="I65">
        <v>3247.6</v>
      </c>
      <c r="J65">
        <v>166.91</v>
      </c>
      <c r="K65">
        <v>1240.69</v>
      </c>
      <c r="L65" t="s">
        <v>48</v>
      </c>
      <c r="M65" t="s">
        <v>34</v>
      </c>
      <c r="N65" t="s">
        <v>76</v>
      </c>
    </row>
    <row r="66" spans="1:14" x14ac:dyDescent="0.3">
      <c r="A66" t="s">
        <v>253</v>
      </c>
      <c r="B66" t="s">
        <v>1014</v>
      </c>
      <c r="C66" t="s">
        <v>148</v>
      </c>
      <c r="D66" t="s">
        <v>127</v>
      </c>
      <c r="E66" t="s">
        <v>56</v>
      </c>
      <c r="F66" t="s">
        <v>57</v>
      </c>
      <c r="G66">
        <v>15</v>
      </c>
      <c r="H66">
        <v>53.36</v>
      </c>
      <c r="I66">
        <v>800.4</v>
      </c>
      <c r="J66">
        <v>56.29</v>
      </c>
      <c r="K66">
        <v>144.11000000000001</v>
      </c>
      <c r="L66" t="s">
        <v>24</v>
      </c>
      <c r="M66" t="s">
        <v>25</v>
      </c>
      <c r="N66" t="s">
        <v>76</v>
      </c>
    </row>
    <row r="67" spans="1:14" x14ac:dyDescent="0.3">
      <c r="A67" t="s">
        <v>255</v>
      </c>
      <c r="B67" t="s">
        <v>1018</v>
      </c>
      <c r="C67" t="s">
        <v>257</v>
      </c>
      <c r="D67" t="s">
        <v>206</v>
      </c>
      <c r="E67" t="s">
        <v>46</v>
      </c>
      <c r="F67" t="s">
        <v>47</v>
      </c>
      <c r="G67">
        <v>42</v>
      </c>
      <c r="H67">
        <v>39.840000000000003</v>
      </c>
      <c r="I67">
        <v>1673.28</v>
      </c>
      <c r="J67">
        <v>132.74</v>
      </c>
      <c r="K67">
        <v>196.54</v>
      </c>
      <c r="L67" t="s">
        <v>24</v>
      </c>
      <c r="M67" t="s">
        <v>41</v>
      </c>
      <c r="N67" t="s">
        <v>207</v>
      </c>
    </row>
    <row r="68" spans="1:14" x14ac:dyDescent="0.3">
      <c r="A68" t="s">
        <v>258</v>
      </c>
      <c r="B68" t="s">
        <v>1015</v>
      </c>
      <c r="C68" t="s">
        <v>232</v>
      </c>
      <c r="D68" t="s">
        <v>127</v>
      </c>
      <c r="E68" t="s">
        <v>74</v>
      </c>
      <c r="F68" t="s">
        <v>75</v>
      </c>
      <c r="G68">
        <v>31</v>
      </c>
      <c r="H68">
        <v>38.26</v>
      </c>
      <c r="I68">
        <v>1186.06</v>
      </c>
      <c r="J68">
        <v>69.33</v>
      </c>
      <c r="K68">
        <v>341.73</v>
      </c>
      <c r="L68" t="s">
        <v>33</v>
      </c>
      <c r="M68" t="s">
        <v>25</v>
      </c>
      <c r="N68" t="s">
        <v>76</v>
      </c>
    </row>
    <row r="69" spans="1:14" x14ac:dyDescent="0.3">
      <c r="A69" t="s">
        <v>260</v>
      </c>
      <c r="B69" t="s">
        <v>1010</v>
      </c>
      <c r="C69" t="s">
        <v>235</v>
      </c>
      <c r="D69" t="s">
        <v>171</v>
      </c>
      <c r="E69" t="s">
        <v>81</v>
      </c>
      <c r="F69" t="s">
        <v>68</v>
      </c>
      <c r="G69">
        <v>2</v>
      </c>
      <c r="H69">
        <v>23.09</v>
      </c>
      <c r="I69">
        <v>46.18</v>
      </c>
      <c r="J69">
        <v>2.52</v>
      </c>
      <c r="K69">
        <v>12.66</v>
      </c>
      <c r="L69" t="s">
        <v>33</v>
      </c>
      <c r="M69" t="s">
        <v>34</v>
      </c>
      <c r="N69" t="s">
        <v>35</v>
      </c>
    </row>
    <row r="70" spans="1:14" x14ac:dyDescent="0.3">
      <c r="A70" t="s">
        <v>262</v>
      </c>
      <c r="B70" t="s">
        <v>1016</v>
      </c>
      <c r="C70" t="s">
        <v>66</v>
      </c>
      <c r="D70" t="s">
        <v>1005</v>
      </c>
      <c r="E70" t="s">
        <v>46</v>
      </c>
      <c r="F70" t="s">
        <v>47</v>
      </c>
      <c r="G70">
        <v>40</v>
      </c>
      <c r="H70">
        <v>46.81</v>
      </c>
      <c r="I70">
        <v>1872.4</v>
      </c>
      <c r="J70">
        <v>43.01</v>
      </c>
      <c r="K70">
        <v>549.39</v>
      </c>
      <c r="L70" t="s">
        <v>24</v>
      </c>
      <c r="M70" t="s">
        <v>41</v>
      </c>
      <c r="N70" t="s">
        <v>76</v>
      </c>
    </row>
    <row r="71" spans="1:14" x14ac:dyDescent="0.3">
      <c r="A71" t="s">
        <v>264</v>
      </c>
      <c r="B71" t="s">
        <v>1020</v>
      </c>
      <c r="C71" t="s">
        <v>266</v>
      </c>
      <c r="D71" t="s">
        <v>51</v>
      </c>
      <c r="E71" t="s">
        <v>46</v>
      </c>
      <c r="F71" t="s">
        <v>47</v>
      </c>
      <c r="G71">
        <v>43</v>
      </c>
      <c r="H71">
        <v>57.01</v>
      </c>
      <c r="I71">
        <v>2451.4299999999998</v>
      </c>
      <c r="J71">
        <v>115.04</v>
      </c>
      <c r="K71">
        <v>960.39</v>
      </c>
      <c r="L71" t="s">
        <v>33</v>
      </c>
      <c r="M71" t="s">
        <v>25</v>
      </c>
      <c r="N71" t="s">
        <v>76</v>
      </c>
    </row>
    <row r="72" spans="1:14" x14ac:dyDescent="0.3">
      <c r="A72" t="s">
        <v>267</v>
      </c>
      <c r="B72" t="s">
        <v>1018</v>
      </c>
      <c r="C72" t="s">
        <v>269</v>
      </c>
      <c r="D72" t="s">
        <v>62</v>
      </c>
      <c r="E72" t="s">
        <v>86</v>
      </c>
      <c r="F72" t="s">
        <v>47</v>
      </c>
      <c r="G72">
        <v>15</v>
      </c>
      <c r="H72">
        <v>22.23</v>
      </c>
      <c r="I72">
        <v>333.45</v>
      </c>
      <c r="J72">
        <v>16.89</v>
      </c>
      <c r="K72">
        <v>125.31</v>
      </c>
      <c r="L72" t="s">
        <v>48</v>
      </c>
      <c r="M72" t="s">
        <v>34</v>
      </c>
      <c r="N72" t="s">
        <v>98</v>
      </c>
    </row>
    <row r="73" spans="1:14" x14ac:dyDescent="0.3">
      <c r="A73" t="s">
        <v>270</v>
      </c>
      <c r="B73" t="s">
        <v>1014</v>
      </c>
      <c r="C73" t="s">
        <v>272</v>
      </c>
      <c r="D73" t="s">
        <v>171</v>
      </c>
      <c r="E73" t="s">
        <v>81</v>
      </c>
      <c r="F73" t="s">
        <v>68</v>
      </c>
      <c r="G73">
        <v>15</v>
      </c>
      <c r="H73">
        <v>19.23</v>
      </c>
      <c r="I73">
        <v>288.45</v>
      </c>
      <c r="J73">
        <v>20.22</v>
      </c>
      <c r="K73">
        <v>35.729999999999997</v>
      </c>
      <c r="L73" t="s">
        <v>24</v>
      </c>
      <c r="M73" t="s">
        <v>25</v>
      </c>
      <c r="N73" t="s">
        <v>35</v>
      </c>
    </row>
    <row r="74" spans="1:14" x14ac:dyDescent="0.3">
      <c r="A74" t="s">
        <v>273</v>
      </c>
      <c r="B74" t="s">
        <v>1011</v>
      </c>
      <c r="C74" t="s">
        <v>151</v>
      </c>
      <c r="D74" t="s">
        <v>37</v>
      </c>
      <c r="E74" t="s">
        <v>137</v>
      </c>
      <c r="F74" t="s">
        <v>68</v>
      </c>
      <c r="G74">
        <v>34</v>
      </c>
      <c r="H74">
        <v>45.54</v>
      </c>
      <c r="I74">
        <v>1548.36</v>
      </c>
      <c r="J74">
        <v>36.76</v>
      </c>
      <c r="K74">
        <v>559.6</v>
      </c>
      <c r="L74" t="s">
        <v>24</v>
      </c>
      <c r="M74" t="s">
        <v>25</v>
      </c>
      <c r="N74" t="s">
        <v>35</v>
      </c>
    </row>
    <row r="75" spans="1:14" x14ac:dyDescent="0.3">
      <c r="A75" t="s">
        <v>275</v>
      </c>
      <c r="B75" t="s">
        <v>1014</v>
      </c>
      <c r="C75" t="s">
        <v>277</v>
      </c>
      <c r="D75" t="s">
        <v>171</v>
      </c>
      <c r="E75" t="s">
        <v>56</v>
      </c>
      <c r="F75" t="s">
        <v>57</v>
      </c>
      <c r="G75">
        <v>33</v>
      </c>
      <c r="H75">
        <v>63.88</v>
      </c>
      <c r="I75">
        <v>2108.04</v>
      </c>
      <c r="J75">
        <v>111.7</v>
      </c>
      <c r="K75">
        <v>676.34</v>
      </c>
      <c r="L75" t="s">
        <v>24</v>
      </c>
      <c r="M75" t="s">
        <v>41</v>
      </c>
      <c r="N75" t="s">
        <v>35</v>
      </c>
    </row>
    <row r="76" spans="1:14" x14ac:dyDescent="0.3">
      <c r="A76" t="s">
        <v>278</v>
      </c>
      <c r="B76" t="s">
        <v>1011</v>
      </c>
      <c r="C76" t="s">
        <v>148</v>
      </c>
      <c r="D76" t="s">
        <v>241</v>
      </c>
      <c r="E76" t="s">
        <v>32</v>
      </c>
      <c r="F76" t="s">
        <v>23</v>
      </c>
      <c r="G76">
        <v>39</v>
      </c>
      <c r="H76">
        <v>25.38</v>
      </c>
      <c r="I76">
        <v>989.82</v>
      </c>
      <c r="J76">
        <v>50.82</v>
      </c>
      <c r="K76">
        <v>237</v>
      </c>
      <c r="L76" t="s">
        <v>33</v>
      </c>
      <c r="M76" t="s">
        <v>34</v>
      </c>
      <c r="N76" t="s">
        <v>35</v>
      </c>
    </row>
    <row r="77" spans="1:14" x14ac:dyDescent="0.3">
      <c r="A77" t="s">
        <v>280</v>
      </c>
      <c r="B77" t="s">
        <v>1011</v>
      </c>
      <c r="C77" t="s">
        <v>282</v>
      </c>
      <c r="D77" t="s">
        <v>70</v>
      </c>
      <c r="E77" t="s">
        <v>74</v>
      </c>
      <c r="F77" t="s">
        <v>75</v>
      </c>
      <c r="G77">
        <v>9</v>
      </c>
      <c r="H77">
        <v>38.979999999999997</v>
      </c>
      <c r="I77">
        <v>350.82</v>
      </c>
      <c r="J77">
        <v>25.56</v>
      </c>
      <c r="K77">
        <v>100.26</v>
      </c>
      <c r="L77" t="s">
        <v>24</v>
      </c>
      <c r="M77" t="s">
        <v>25</v>
      </c>
      <c r="N77" t="s">
        <v>76</v>
      </c>
    </row>
    <row r="78" spans="1:14" x14ac:dyDescent="0.3">
      <c r="A78" t="s">
        <v>283</v>
      </c>
      <c r="B78" t="s">
        <v>1010</v>
      </c>
      <c r="C78" t="s">
        <v>285</v>
      </c>
      <c r="D78" t="s">
        <v>141</v>
      </c>
      <c r="E78" t="s">
        <v>63</v>
      </c>
      <c r="F78" t="s">
        <v>47</v>
      </c>
      <c r="G78">
        <v>14</v>
      </c>
      <c r="H78">
        <v>35.86</v>
      </c>
      <c r="I78">
        <v>502.04</v>
      </c>
      <c r="J78">
        <v>40.130000000000003</v>
      </c>
      <c r="K78">
        <v>181.91</v>
      </c>
      <c r="L78" t="s">
        <v>48</v>
      </c>
      <c r="M78" t="s">
        <v>41</v>
      </c>
      <c r="N78" t="s">
        <v>142</v>
      </c>
    </row>
    <row r="79" spans="1:14" x14ac:dyDescent="0.3">
      <c r="A79" t="s">
        <v>286</v>
      </c>
      <c r="B79" t="s">
        <v>1023</v>
      </c>
      <c r="C79" t="s">
        <v>288</v>
      </c>
      <c r="D79" t="s">
        <v>127</v>
      </c>
      <c r="E79" t="s">
        <v>81</v>
      </c>
      <c r="F79" t="s">
        <v>68</v>
      </c>
      <c r="G79">
        <v>49</v>
      </c>
      <c r="H79">
        <v>21.37</v>
      </c>
      <c r="I79">
        <v>1047.1300000000001</v>
      </c>
      <c r="J79">
        <v>65.98</v>
      </c>
      <c r="K79">
        <v>221.65</v>
      </c>
      <c r="L79" t="s">
        <v>48</v>
      </c>
      <c r="M79" t="s">
        <v>41</v>
      </c>
      <c r="N79" t="s">
        <v>76</v>
      </c>
    </row>
    <row r="80" spans="1:14" x14ac:dyDescent="0.3">
      <c r="A80" t="s">
        <v>289</v>
      </c>
      <c r="B80" t="s">
        <v>1020</v>
      </c>
      <c r="C80" t="s">
        <v>290</v>
      </c>
      <c r="D80" t="s">
        <v>62</v>
      </c>
      <c r="E80" t="s">
        <v>32</v>
      </c>
      <c r="F80" t="s">
        <v>23</v>
      </c>
      <c r="G80">
        <v>42</v>
      </c>
      <c r="H80">
        <v>24.57</v>
      </c>
      <c r="I80">
        <v>1031.94</v>
      </c>
      <c r="J80">
        <v>56.45</v>
      </c>
      <c r="K80">
        <v>219.49</v>
      </c>
      <c r="L80" t="s">
        <v>33</v>
      </c>
      <c r="M80" t="s">
        <v>25</v>
      </c>
      <c r="N80" t="s">
        <v>98</v>
      </c>
    </row>
    <row r="81" spans="1:14" x14ac:dyDescent="0.3">
      <c r="A81" t="s">
        <v>291</v>
      </c>
      <c r="B81" t="s">
        <v>1022</v>
      </c>
      <c r="C81" t="s">
        <v>290</v>
      </c>
      <c r="D81" t="s">
        <v>116</v>
      </c>
      <c r="E81" t="s">
        <v>32</v>
      </c>
      <c r="F81" t="s">
        <v>23</v>
      </c>
      <c r="G81">
        <v>42</v>
      </c>
      <c r="H81">
        <v>26.39</v>
      </c>
      <c r="I81">
        <v>1108.3800000000001</v>
      </c>
      <c r="J81">
        <v>44.56</v>
      </c>
      <c r="K81">
        <v>307.82</v>
      </c>
      <c r="L81" t="s">
        <v>33</v>
      </c>
      <c r="M81" t="s">
        <v>25</v>
      </c>
      <c r="N81" t="s">
        <v>76</v>
      </c>
    </row>
    <row r="82" spans="1:14" x14ac:dyDescent="0.3">
      <c r="A82" t="s">
        <v>293</v>
      </c>
      <c r="B82" t="s">
        <v>1022</v>
      </c>
      <c r="C82" t="s">
        <v>288</v>
      </c>
      <c r="D82" t="s">
        <v>55</v>
      </c>
      <c r="E82" t="s">
        <v>63</v>
      </c>
      <c r="F82" t="s">
        <v>47</v>
      </c>
      <c r="G82">
        <v>50</v>
      </c>
      <c r="H82">
        <v>29.73</v>
      </c>
      <c r="I82">
        <v>1486.5</v>
      </c>
      <c r="J82">
        <v>96.77</v>
      </c>
      <c r="K82">
        <v>389.73</v>
      </c>
      <c r="L82" t="s">
        <v>48</v>
      </c>
      <c r="M82" t="s">
        <v>25</v>
      </c>
      <c r="N82" t="s">
        <v>98</v>
      </c>
    </row>
    <row r="83" spans="1:14" x14ac:dyDescent="0.3">
      <c r="A83" t="s">
        <v>295</v>
      </c>
      <c r="B83" t="s">
        <v>1020</v>
      </c>
      <c r="C83" t="s">
        <v>285</v>
      </c>
      <c r="D83" t="s">
        <v>51</v>
      </c>
      <c r="E83" t="s">
        <v>81</v>
      </c>
      <c r="F83" t="s">
        <v>68</v>
      </c>
      <c r="G83">
        <v>39</v>
      </c>
      <c r="H83">
        <v>20.56</v>
      </c>
      <c r="I83">
        <v>801.84</v>
      </c>
      <c r="J83">
        <v>43.55</v>
      </c>
      <c r="K83">
        <v>153.79</v>
      </c>
      <c r="L83" t="s">
        <v>24</v>
      </c>
      <c r="M83" t="s">
        <v>25</v>
      </c>
      <c r="N83" t="s">
        <v>76</v>
      </c>
    </row>
    <row r="84" spans="1:14" x14ac:dyDescent="0.3">
      <c r="A84" t="s">
        <v>297</v>
      </c>
      <c r="B84" t="s">
        <v>1023</v>
      </c>
      <c r="C84" t="s">
        <v>30</v>
      </c>
      <c r="D84" t="s">
        <v>51</v>
      </c>
      <c r="E84" t="s">
        <v>81</v>
      </c>
      <c r="F84" t="s">
        <v>68</v>
      </c>
      <c r="G84">
        <v>48</v>
      </c>
      <c r="H84">
        <v>24.36</v>
      </c>
      <c r="I84">
        <v>1169.28</v>
      </c>
      <c r="J84">
        <v>81.599999999999994</v>
      </c>
      <c r="K84">
        <v>343.68</v>
      </c>
      <c r="L84" t="s">
        <v>48</v>
      </c>
      <c r="M84" t="s">
        <v>41</v>
      </c>
      <c r="N84" t="s">
        <v>76</v>
      </c>
    </row>
    <row r="85" spans="1:14" x14ac:dyDescent="0.3">
      <c r="A85" t="s">
        <v>299</v>
      </c>
      <c r="B85" t="s">
        <v>1013</v>
      </c>
      <c r="C85" t="s">
        <v>301</v>
      </c>
      <c r="D85" t="s">
        <v>241</v>
      </c>
      <c r="E85" t="s">
        <v>67</v>
      </c>
      <c r="F85" t="s">
        <v>68</v>
      </c>
      <c r="G85">
        <v>40</v>
      </c>
      <c r="H85">
        <v>27.95</v>
      </c>
      <c r="I85">
        <v>1118</v>
      </c>
      <c r="J85">
        <v>37.590000000000003</v>
      </c>
      <c r="K85">
        <v>180.41</v>
      </c>
      <c r="L85" t="s">
        <v>48</v>
      </c>
      <c r="M85" t="s">
        <v>41</v>
      </c>
      <c r="N85" t="s">
        <v>35</v>
      </c>
    </row>
    <row r="86" spans="1:14" x14ac:dyDescent="0.3">
      <c r="A86" t="s">
        <v>302</v>
      </c>
      <c r="B86" t="s">
        <v>1008</v>
      </c>
      <c r="C86" t="s">
        <v>191</v>
      </c>
      <c r="D86" t="s">
        <v>70</v>
      </c>
      <c r="E86" t="s">
        <v>137</v>
      </c>
      <c r="F86" t="s">
        <v>68</v>
      </c>
      <c r="G86">
        <v>21</v>
      </c>
      <c r="H86">
        <v>40.19</v>
      </c>
      <c r="I86">
        <v>843.99</v>
      </c>
      <c r="J86">
        <v>32.4</v>
      </c>
      <c r="K86">
        <v>223.59</v>
      </c>
      <c r="L86" t="s">
        <v>33</v>
      </c>
      <c r="M86" t="s">
        <v>34</v>
      </c>
      <c r="N86" t="s">
        <v>76</v>
      </c>
    </row>
    <row r="87" spans="1:14" x14ac:dyDescent="0.3">
      <c r="A87" t="s">
        <v>304</v>
      </c>
      <c r="B87" t="s">
        <v>1011</v>
      </c>
      <c r="C87" t="s">
        <v>145</v>
      </c>
      <c r="D87" t="s">
        <v>116</v>
      </c>
      <c r="E87" t="s">
        <v>86</v>
      </c>
      <c r="F87" t="s">
        <v>47</v>
      </c>
      <c r="G87">
        <v>26</v>
      </c>
      <c r="H87">
        <v>16.670000000000002</v>
      </c>
      <c r="I87">
        <v>433.42</v>
      </c>
      <c r="J87">
        <v>32.79</v>
      </c>
      <c r="K87">
        <v>69.13</v>
      </c>
      <c r="L87" t="s">
        <v>48</v>
      </c>
      <c r="M87" t="s">
        <v>34</v>
      </c>
      <c r="N87" t="s">
        <v>76</v>
      </c>
    </row>
    <row r="88" spans="1:14" x14ac:dyDescent="0.3">
      <c r="A88" t="s">
        <v>305</v>
      </c>
      <c r="B88" t="s">
        <v>1022</v>
      </c>
      <c r="C88" t="s">
        <v>307</v>
      </c>
      <c r="D88" t="s">
        <v>45</v>
      </c>
      <c r="E88" t="s">
        <v>46</v>
      </c>
      <c r="F88" t="s">
        <v>47</v>
      </c>
      <c r="G88">
        <v>28</v>
      </c>
      <c r="H88">
        <v>39.85</v>
      </c>
      <c r="I88">
        <v>1115.8</v>
      </c>
      <c r="J88">
        <v>43.87</v>
      </c>
      <c r="K88">
        <v>175.93</v>
      </c>
      <c r="L88" t="s">
        <v>48</v>
      </c>
      <c r="M88" t="s">
        <v>25</v>
      </c>
      <c r="N88" t="s">
        <v>49</v>
      </c>
    </row>
    <row r="89" spans="1:14" x14ac:dyDescent="0.3">
      <c r="A89" t="s">
        <v>308</v>
      </c>
      <c r="B89" t="s">
        <v>1022</v>
      </c>
      <c r="C89" t="s">
        <v>307</v>
      </c>
      <c r="D89" t="s">
        <v>62</v>
      </c>
      <c r="E89" t="s">
        <v>86</v>
      </c>
      <c r="F89" t="s">
        <v>47</v>
      </c>
      <c r="G89">
        <v>47</v>
      </c>
      <c r="H89">
        <v>15.97</v>
      </c>
      <c r="I89">
        <v>750.59</v>
      </c>
      <c r="J89">
        <v>48.55</v>
      </c>
      <c r="K89">
        <v>102.79</v>
      </c>
      <c r="L89" t="s">
        <v>48</v>
      </c>
      <c r="M89" t="s">
        <v>41</v>
      </c>
      <c r="N89" t="s">
        <v>98</v>
      </c>
    </row>
    <row r="90" spans="1:14" x14ac:dyDescent="0.3">
      <c r="A90" t="s">
        <v>310</v>
      </c>
      <c r="B90" t="s">
        <v>1022</v>
      </c>
      <c r="C90" t="s">
        <v>216</v>
      </c>
      <c r="D90" t="s">
        <v>51</v>
      </c>
      <c r="E90" t="s">
        <v>56</v>
      </c>
      <c r="F90" t="s">
        <v>57</v>
      </c>
      <c r="G90">
        <v>28</v>
      </c>
      <c r="H90">
        <v>53.6</v>
      </c>
      <c r="I90">
        <v>1500.8</v>
      </c>
      <c r="J90">
        <v>68.55</v>
      </c>
      <c r="K90">
        <v>312.25</v>
      </c>
      <c r="L90" t="s">
        <v>33</v>
      </c>
      <c r="M90" t="s">
        <v>34</v>
      </c>
      <c r="N90" t="s">
        <v>76</v>
      </c>
    </row>
    <row r="91" spans="1:14" x14ac:dyDescent="0.3">
      <c r="A91" t="s">
        <v>312</v>
      </c>
      <c r="B91" t="s">
        <v>1016</v>
      </c>
      <c r="C91" t="s">
        <v>174</v>
      </c>
      <c r="D91" t="s">
        <v>70</v>
      </c>
      <c r="E91" t="s">
        <v>137</v>
      </c>
      <c r="F91" t="s">
        <v>68</v>
      </c>
      <c r="G91">
        <v>37</v>
      </c>
      <c r="H91">
        <v>40.049999999999997</v>
      </c>
      <c r="I91">
        <v>1481.85</v>
      </c>
      <c r="J91">
        <v>45.6</v>
      </c>
      <c r="K91">
        <v>400.25</v>
      </c>
      <c r="L91" t="s">
        <v>24</v>
      </c>
      <c r="M91" t="s">
        <v>41</v>
      </c>
      <c r="N91" t="s">
        <v>76</v>
      </c>
    </row>
    <row r="92" spans="1:14" x14ac:dyDescent="0.3">
      <c r="A92" t="s">
        <v>313</v>
      </c>
      <c r="B92" t="s">
        <v>1008</v>
      </c>
      <c r="C92" t="s">
        <v>222</v>
      </c>
      <c r="D92" t="s">
        <v>37</v>
      </c>
      <c r="E92" t="s">
        <v>22</v>
      </c>
      <c r="F92" t="s">
        <v>23</v>
      </c>
      <c r="G92">
        <v>45</v>
      </c>
      <c r="H92">
        <v>43.74</v>
      </c>
      <c r="I92">
        <v>1968.3</v>
      </c>
      <c r="J92">
        <v>80.55</v>
      </c>
      <c r="K92">
        <v>312.75</v>
      </c>
      <c r="L92" t="s">
        <v>33</v>
      </c>
      <c r="M92" t="s">
        <v>41</v>
      </c>
      <c r="N92" t="s">
        <v>35</v>
      </c>
    </row>
    <row r="93" spans="1:14" x14ac:dyDescent="0.3">
      <c r="A93" t="s">
        <v>315</v>
      </c>
      <c r="B93" t="s">
        <v>1020</v>
      </c>
      <c r="C93" t="s">
        <v>317</v>
      </c>
      <c r="D93" t="s">
        <v>1004</v>
      </c>
      <c r="E93" t="s">
        <v>81</v>
      </c>
      <c r="F93" t="s">
        <v>68</v>
      </c>
      <c r="G93">
        <v>9</v>
      </c>
      <c r="H93">
        <v>24.63</v>
      </c>
      <c r="I93">
        <v>221.67</v>
      </c>
      <c r="J93">
        <v>13.53</v>
      </c>
      <c r="K93">
        <v>68.64</v>
      </c>
      <c r="L93" t="s">
        <v>33</v>
      </c>
      <c r="M93" t="s">
        <v>41</v>
      </c>
      <c r="N93" t="s">
        <v>35</v>
      </c>
    </row>
    <row r="94" spans="1:14" x14ac:dyDescent="0.3">
      <c r="A94" t="s">
        <v>318</v>
      </c>
      <c r="B94" t="s">
        <v>1020</v>
      </c>
      <c r="C94" t="s">
        <v>54</v>
      </c>
      <c r="D94" t="s">
        <v>141</v>
      </c>
      <c r="E94" t="s">
        <v>81</v>
      </c>
      <c r="F94" t="s">
        <v>68</v>
      </c>
      <c r="G94">
        <v>6</v>
      </c>
      <c r="H94">
        <v>21.79</v>
      </c>
      <c r="I94">
        <v>130.74</v>
      </c>
      <c r="J94">
        <v>7.75</v>
      </c>
      <c r="K94">
        <v>29.99</v>
      </c>
      <c r="L94" t="s">
        <v>33</v>
      </c>
      <c r="M94" t="s">
        <v>41</v>
      </c>
      <c r="N94" t="s">
        <v>142</v>
      </c>
    </row>
    <row r="95" spans="1:14" x14ac:dyDescent="0.3">
      <c r="A95" t="s">
        <v>320</v>
      </c>
      <c r="B95" t="s">
        <v>1019</v>
      </c>
      <c r="C95" t="s">
        <v>321</v>
      </c>
      <c r="D95" t="s">
        <v>171</v>
      </c>
      <c r="E95" t="s">
        <v>22</v>
      </c>
      <c r="F95" t="s">
        <v>23</v>
      </c>
      <c r="G95">
        <v>23</v>
      </c>
      <c r="H95">
        <v>58.43</v>
      </c>
      <c r="I95">
        <v>1343.89</v>
      </c>
      <c r="J95">
        <v>38.729999999999997</v>
      </c>
      <c r="K95">
        <v>500.16</v>
      </c>
      <c r="L95" t="s">
        <v>33</v>
      </c>
      <c r="M95" t="s">
        <v>25</v>
      </c>
      <c r="N95" t="s">
        <v>35</v>
      </c>
    </row>
    <row r="96" spans="1:14" x14ac:dyDescent="0.3">
      <c r="A96" t="s">
        <v>322</v>
      </c>
      <c r="B96" t="s">
        <v>1013</v>
      </c>
      <c r="C96" t="s">
        <v>323</v>
      </c>
      <c r="D96" t="s">
        <v>116</v>
      </c>
      <c r="E96" t="s">
        <v>56</v>
      </c>
      <c r="F96" t="s">
        <v>57</v>
      </c>
      <c r="G96">
        <v>19</v>
      </c>
      <c r="H96">
        <v>67.06</v>
      </c>
      <c r="I96">
        <v>1274.1400000000001</v>
      </c>
      <c r="J96">
        <v>85.73</v>
      </c>
      <c r="K96">
        <v>428.41</v>
      </c>
      <c r="L96" t="s">
        <v>24</v>
      </c>
      <c r="M96" t="s">
        <v>34</v>
      </c>
      <c r="N96" t="s">
        <v>76</v>
      </c>
    </row>
    <row r="97" spans="1:14" x14ac:dyDescent="0.3">
      <c r="A97" t="s">
        <v>324</v>
      </c>
      <c r="B97" t="s">
        <v>1019</v>
      </c>
      <c r="C97" t="s">
        <v>317</v>
      </c>
      <c r="D97" t="s">
        <v>37</v>
      </c>
      <c r="E97" t="s">
        <v>32</v>
      </c>
      <c r="F97" t="s">
        <v>23</v>
      </c>
      <c r="G97">
        <v>4</v>
      </c>
      <c r="H97">
        <v>25.13</v>
      </c>
      <c r="I97">
        <v>100.52</v>
      </c>
      <c r="J97">
        <v>5.6</v>
      </c>
      <c r="K97">
        <v>22.92</v>
      </c>
      <c r="L97" t="s">
        <v>33</v>
      </c>
      <c r="M97" t="s">
        <v>41</v>
      </c>
      <c r="N97" t="s">
        <v>35</v>
      </c>
    </row>
    <row r="98" spans="1:14" x14ac:dyDescent="0.3">
      <c r="A98" t="s">
        <v>326</v>
      </c>
      <c r="B98" t="s">
        <v>1015</v>
      </c>
      <c r="C98" t="s">
        <v>328</v>
      </c>
      <c r="D98" t="s">
        <v>37</v>
      </c>
      <c r="E98" t="s">
        <v>81</v>
      </c>
      <c r="F98" t="s">
        <v>68</v>
      </c>
      <c r="G98">
        <v>26</v>
      </c>
      <c r="H98">
        <v>19.34</v>
      </c>
      <c r="I98">
        <v>502.84</v>
      </c>
      <c r="J98">
        <v>26.51</v>
      </c>
      <c r="K98">
        <v>73.33</v>
      </c>
      <c r="L98" t="s">
        <v>33</v>
      </c>
      <c r="M98" t="s">
        <v>25</v>
      </c>
      <c r="N98" t="s">
        <v>35</v>
      </c>
    </row>
    <row r="99" spans="1:14" x14ac:dyDescent="0.3">
      <c r="A99" t="s">
        <v>329</v>
      </c>
      <c r="B99" t="s">
        <v>1013</v>
      </c>
      <c r="C99" t="s">
        <v>331</v>
      </c>
      <c r="D99" t="s">
        <v>141</v>
      </c>
      <c r="E99" t="s">
        <v>63</v>
      </c>
      <c r="F99" t="s">
        <v>47</v>
      </c>
      <c r="G99">
        <v>26</v>
      </c>
      <c r="H99">
        <v>35.81</v>
      </c>
      <c r="I99">
        <v>931.06</v>
      </c>
      <c r="J99">
        <v>61.06</v>
      </c>
      <c r="K99">
        <v>350</v>
      </c>
      <c r="L99" t="s">
        <v>24</v>
      </c>
      <c r="M99" t="s">
        <v>25</v>
      </c>
      <c r="N99" t="s">
        <v>142</v>
      </c>
    </row>
    <row r="100" spans="1:14" x14ac:dyDescent="0.3">
      <c r="A100" t="s">
        <v>332</v>
      </c>
      <c r="B100" t="s">
        <v>1020</v>
      </c>
      <c r="C100" t="s">
        <v>334</v>
      </c>
      <c r="D100" t="s">
        <v>116</v>
      </c>
      <c r="E100" t="s">
        <v>67</v>
      </c>
      <c r="F100" t="s">
        <v>68</v>
      </c>
      <c r="G100">
        <v>42</v>
      </c>
      <c r="H100">
        <v>39.950000000000003</v>
      </c>
      <c r="I100">
        <v>1677.9</v>
      </c>
      <c r="J100">
        <v>93.95</v>
      </c>
      <c r="K100">
        <v>638.95000000000005</v>
      </c>
      <c r="L100" t="s">
        <v>33</v>
      </c>
      <c r="M100" t="s">
        <v>34</v>
      </c>
      <c r="N100" t="s">
        <v>76</v>
      </c>
    </row>
    <row r="101" spans="1:14" x14ac:dyDescent="0.3">
      <c r="A101" t="s">
        <v>335</v>
      </c>
      <c r="B101" t="s">
        <v>1019</v>
      </c>
      <c r="C101" t="s">
        <v>145</v>
      </c>
      <c r="D101" t="s">
        <v>1005</v>
      </c>
      <c r="E101" t="s">
        <v>22</v>
      </c>
      <c r="F101" t="s">
        <v>23</v>
      </c>
      <c r="G101">
        <v>38</v>
      </c>
      <c r="H101">
        <v>49.98</v>
      </c>
      <c r="I101">
        <v>1899.24</v>
      </c>
      <c r="J101">
        <v>112.91</v>
      </c>
      <c r="K101">
        <v>456.33</v>
      </c>
      <c r="L101" t="s">
        <v>48</v>
      </c>
      <c r="M101" t="s">
        <v>41</v>
      </c>
      <c r="N101" t="s">
        <v>76</v>
      </c>
    </row>
    <row r="102" spans="1:14" x14ac:dyDescent="0.3">
      <c r="A102" t="s">
        <v>337</v>
      </c>
      <c r="B102" t="s">
        <v>1014</v>
      </c>
      <c r="C102" t="s">
        <v>191</v>
      </c>
      <c r="D102" t="s">
        <v>127</v>
      </c>
      <c r="E102" t="s">
        <v>137</v>
      </c>
      <c r="F102" t="s">
        <v>68</v>
      </c>
      <c r="G102">
        <v>1</v>
      </c>
      <c r="H102">
        <v>45.84</v>
      </c>
      <c r="I102">
        <v>45.84</v>
      </c>
      <c r="J102">
        <v>1.26</v>
      </c>
      <c r="K102">
        <v>16.579999999999998</v>
      </c>
      <c r="L102" t="s">
        <v>48</v>
      </c>
      <c r="M102" t="s">
        <v>25</v>
      </c>
      <c r="N102" t="s">
        <v>76</v>
      </c>
    </row>
    <row r="103" spans="1:14" x14ac:dyDescent="0.3">
      <c r="A103" t="s">
        <v>339</v>
      </c>
      <c r="B103" t="s">
        <v>1015</v>
      </c>
      <c r="C103" t="s">
        <v>301</v>
      </c>
      <c r="D103" t="s">
        <v>206</v>
      </c>
      <c r="E103" t="s">
        <v>32</v>
      </c>
      <c r="F103" t="s">
        <v>23</v>
      </c>
      <c r="G103">
        <v>38</v>
      </c>
      <c r="H103">
        <v>26.34</v>
      </c>
      <c r="I103">
        <v>1000.92</v>
      </c>
      <c r="J103">
        <v>47.88</v>
      </c>
      <c r="K103">
        <v>269.04000000000002</v>
      </c>
      <c r="L103" t="s">
        <v>24</v>
      </c>
      <c r="M103" t="s">
        <v>34</v>
      </c>
      <c r="N103" t="s">
        <v>207</v>
      </c>
    </row>
    <row r="104" spans="1:14" x14ac:dyDescent="0.3">
      <c r="A104" t="s">
        <v>341</v>
      </c>
      <c r="B104" t="s">
        <v>1010</v>
      </c>
      <c r="C104" t="s">
        <v>269</v>
      </c>
      <c r="D104" t="s">
        <v>171</v>
      </c>
      <c r="E104" t="s">
        <v>74</v>
      </c>
      <c r="F104" t="s">
        <v>75</v>
      </c>
      <c r="G104">
        <v>30</v>
      </c>
      <c r="H104">
        <v>36.43</v>
      </c>
      <c r="I104">
        <v>1092.9000000000001</v>
      </c>
      <c r="J104">
        <v>61.97</v>
      </c>
      <c r="K104">
        <v>280.93</v>
      </c>
      <c r="L104" t="s">
        <v>48</v>
      </c>
      <c r="M104" t="s">
        <v>34</v>
      </c>
      <c r="N104" t="s">
        <v>35</v>
      </c>
    </row>
    <row r="105" spans="1:14" x14ac:dyDescent="0.3">
      <c r="A105" t="s">
        <v>343</v>
      </c>
      <c r="B105" t="s">
        <v>1011</v>
      </c>
      <c r="C105" t="s">
        <v>307</v>
      </c>
      <c r="D105" t="s">
        <v>37</v>
      </c>
      <c r="E105" t="s">
        <v>86</v>
      </c>
      <c r="F105" t="s">
        <v>47</v>
      </c>
      <c r="G105">
        <v>9</v>
      </c>
      <c r="H105">
        <v>22.27</v>
      </c>
      <c r="I105">
        <v>200.43</v>
      </c>
      <c r="J105">
        <v>13.21</v>
      </c>
      <c r="K105">
        <v>72.47</v>
      </c>
      <c r="L105" t="s">
        <v>33</v>
      </c>
      <c r="M105" t="s">
        <v>34</v>
      </c>
      <c r="N105" t="s">
        <v>35</v>
      </c>
    </row>
    <row r="106" spans="1:14" x14ac:dyDescent="0.3">
      <c r="A106" t="s">
        <v>345</v>
      </c>
      <c r="B106" t="s">
        <v>1013</v>
      </c>
      <c r="C106" t="s">
        <v>162</v>
      </c>
      <c r="D106" t="s">
        <v>206</v>
      </c>
      <c r="E106" t="s">
        <v>81</v>
      </c>
      <c r="F106" t="s">
        <v>68</v>
      </c>
      <c r="G106">
        <v>26</v>
      </c>
      <c r="H106">
        <v>27.65</v>
      </c>
      <c r="I106">
        <v>718.9</v>
      </c>
      <c r="J106">
        <v>46.25</v>
      </c>
      <c r="K106">
        <v>269.64999999999998</v>
      </c>
      <c r="L106" t="s">
        <v>33</v>
      </c>
      <c r="M106" t="s">
        <v>41</v>
      </c>
      <c r="N106" t="s">
        <v>207</v>
      </c>
    </row>
    <row r="107" spans="1:14" x14ac:dyDescent="0.3">
      <c r="A107" t="s">
        <v>346</v>
      </c>
      <c r="B107" t="s">
        <v>1019</v>
      </c>
      <c r="C107" t="s">
        <v>301</v>
      </c>
      <c r="D107" t="s">
        <v>1004</v>
      </c>
      <c r="E107" t="s">
        <v>81</v>
      </c>
      <c r="F107" t="s">
        <v>68</v>
      </c>
      <c r="G107">
        <v>23</v>
      </c>
      <c r="H107">
        <v>22.45</v>
      </c>
      <c r="I107">
        <v>516.35</v>
      </c>
      <c r="J107">
        <v>15.68</v>
      </c>
      <c r="K107">
        <v>144.16999999999999</v>
      </c>
      <c r="L107" t="s">
        <v>48</v>
      </c>
      <c r="M107" t="s">
        <v>41</v>
      </c>
      <c r="N107" t="s">
        <v>35</v>
      </c>
    </row>
    <row r="108" spans="1:14" x14ac:dyDescent="0.3">
      <c r="A108" t="s">
        <v>348</v>
      </c>
      <c r="B108" t="s">
        <v>1014</v>
      </c>
      <c r="C108" t="s">
        <v>197</v>
      </c>
      <c r="D108" t="s">
        <v>1004</v>
      </c>
      <c r="E108" t="s">
        <v>81</v>
      </c>
      <c r="F108" t="s">
        <v>68</v>
      </c>
      <c r="G108">
        <v>30</v>
      </c>
      <c r="H108">
        <v>21.93</v>
      </c>
      <c r="I108">
        <v>657.9</v>
      </c>
      <c r="J108">
        <v>24.66</v>
      </c>
      <c r="K108">
        <v>168.24</v>
      </c>
      <c r="L108" t="s">
        <v>33</v>
      </c>
      <c r="M108" t="s">
        <v>25</v>
      </c>
      <c r="N108" t="s">
        <v>35</v>
      </c>
    </row>
    <row r="109" spans="1:14" x14ac:dyDescent="0.3">
      <c r="A109" t="s">
        <v>350</v>
      </c>
      <c r="B109" t="s">
        <v>1013</v>
      </c>
      <c r="C109" t="s">
        <v>352</v>
      </c>
      <c r="D109" t="s">
        <v>116</v>
      </c>
      <c r="E109" t="s">
        <v>86</v>
      </c>
      <c r="F109" t="s">
        <v>47</v>
      </c>
      <c r="G109">
        <v>43</v>
      </c>
      <c r="H109">
        <v>21.92</v>
      </c>
      <c r="I109">
        <v>942.56</v>
      </c>
      <c r="J109">
        <v>51.15</v>
      </c>
      <c r="K109">
        <v>343.16</v>
      </c>
      <c r="L109" t="s">
        <v>24</v>
      </c>
      <c r="M109" t="s">
        <v>41</v>
      </c>
      <c r="N109" t="s">
        <v>76</v>
      </c>
    </row>
    <row r="110" spans="1:14" x14ac:dyDescent="0.3">
      <c r="A110" t="s">
        <v>353</v>
      </c>
      <c r="B110" t="s">
        <v>1008</v>
      </c>
      <c r="C110" t="s">
        <v>85</v>
      </c>
      <c r="D110" t="s">
        <v>45</v>
      </c>
      <c r="E110" t="s">
        <v>56</v>
      </c>
      <c r="F110" t="s">
        <v>57</v>
      </c>
      <c r="G110">
        <v>3</v>
      </c>
      <c r="H110">
        <v>56.21</v>
      </c>
      <c r="I110">
        <v>168.63</v>
      </c>
      <c r="J110">
        <v>7.56</v>
      </c>
      <c r="K110">
        <v>41.07</v>
      </c>
      <c r="L110" t="s">
        <v>48</v>
      </c>
      <c r="M110" t="s">
        <v>25</v>
      </c>
      <c r="N110" t="s">
        <v>49</v>
      </c>
    </row>
    <row r="111" spans="1:14" x14ac:dyDescent="0.3">
      <c r="A111" t="s">
        <v>355</v>
      </c>
      <c r="B111" t="s">
        <v>1009</v>
      </c>
      <c r="C111" t="s">
        <v>20</v>
      </c>
      <c r="D111" t="s">
        <v>37</v>
      </c>
      <c r="E111" t="s">
        <v>86</v>
      </c>
      <c r="F111" t="s">
        <v>47</v>
      </c>
      <c r="G111">
        <v>33</v>
      </c>
      <c r="H111">
        <v>15.44</v>
      </c>
      <c r="I111">
        <v>509.52</v>
      </c>
      <c r="J111">
        <v>19.7</v>
      </c>
      <c r="K111">
        <v>69.069999999999993</v>
      </c>
      <c r="L111" t="s">
        <v>24</v>
      </c>
      <c r="M111" t="s">
        <v>41</v>
      </c>
      <c r="N111" t="s">
        <v>35</v>
      </c>
    </row>
    <row r="112" spans="1:14" x14ac:dyDescent="0.3">
      <c r="A112" t="s">
        <v>357</v>
      </c>
      <c r="B112" t="s">
        <v>1013</v>
      </c>
      <c r="C112" t="s">
        <v>151</v>
      </c>
      <c r="D112" t="s">
        <v>141</v>
      </c>
      <c r="E112" t="s">
        <v>81</v>
      </c>
      <c r="F112" t="s">
        <v>68</v>
      </c>
      <c r="G112">
        <v>50</v>
      </c>
      <c r="H112">
        <v>23.02</v>
      </c>
      <c r="I112">
        <v>1151</v>
      </c>
      <c r="J112">
        <v>69.3</v>
      </c>
      <c r="K112">
        <v>306.7</v>
      </c>
      <c r="L112" t="s">
        <v>33</v>
      </c>
      <c r="M112" t="s">
        <v>34</v>
      </c>
      <c r="N112" t="s">
        <v>142</v>
      </c>
    </row>
    <row r="113" spans="1:14" x14ac:dyDescent="0.3">
      <c r="A113" t="s">
        <v>359</v>
      </c>
      <c r="B113" t="s">
        <v>1018</v>
      </c>
      <c r="C113" t="s">
        <v>360</v>
      </c>
      <c r="D113" t="s">
        <v>45</v>
      </c>
      <c r="E113" t="s">
        <v>86</v>
      </c>
      <c r="F113" t="s">
        <v>47</v>
      </c>
      <c r="G113">
        <v>8</v>
      </c>
      <c r="H113">
        <v>17.010000000000002</v>
      </c>
      <c r="I113">
        <v>136.08000000000001</v>
      </c>
      <c r="J113">
        <v>8.84</v>
      </c>
      <c r="K113">
        <v>25.24</v>
      </c>
      <c r="L113" t="s">
        <v>24</v>
      </c>
      <c r="M113" t="s">
        <v>41</v>
      </c>
      <c r="N113" t="s">
        <v>49</v>
      </c>
    </row>
    <row r="114" spans="1:14" x14ac:dyDescent="0.3">
      <c r="A114" t="s">
        <v>361</v>
      </c>
      <c r="B114" t="s">
        <v>1010</v>
      </c>
      <c r="C114" t="s">
        <v>301</v>
      </c>
      <c r="D114" t="s">
        <v>171</v>
      </c>
      <c r="E114" t="s">
        <v>32</v>
      </c>
      <c r="F114" t="s">
        <v>23</v>
      </c>
      <c r="G114">
        <v>16</v>
      </c>
      <c r="H114">
        <v>26.47</v>
      </c>
      <c r="I114">
        <v>423.52</v>
      </c>
      <c r="J114">
        <v>15.87</v>
      </c>
      <c r="K114">
        <v>119.65</v>
      </c>
      <c r="L114" t="s">
        <v>33</v>
      </c>
      <c r="M114" t="s">
        <v>25</v>
      </c>
      <c r="N114" t="s">
        <v>35</v>
      </c>
    </row>
    <row r="115" spans="1:14" x14ac:dyDescent="0.3">
      <c r="A115" t="s">
        <v>363</v>
      </c>
      <c r="B115" t="s">
        <v>1013</v>
      </c>
      <c r="C115" t="s">
        <v>272</v>
      </c>
      <c r="D115" t="s">
        <v>45</v>
      </c>
      <c r="E115" t="s">
        <v>46</v>
      </c>
      <c r="F115" t="s">
        <v>47</v>
      </c>
      <c r="G115">
        <v>32</v>
      </c>
      <c r="H115">
        <v>43.18</v>
      </c>
      <c r="I115">
        <v>1381.76</v>
      </c>
      <c r="J115">
        <v>88.54</v>
      </c>
      <c r="K115">
        <v>269.22000000000003</v>
      </c>
      <c r="L115" t="s">
        <v>33</v>
      </c>
      <c r="M115" t="s">
        <v>41</v>
      </c>
      <c r="N115" t="s">
        <v>49</v>
      </c>
    </row>
    <row r="116" spans="1:14" x14ac:dyDescent="0.3">
      <c r="A116" t="s">
        <v>365</v>
      </c>
      <c r="B116" t="s">
        <v>1011</v>
      </c>
      <c r="C116" t="s">
        <v>177</v>
      </c>
      <c r="D116" t="s">
        <v>206</v>
      </c>
      <c r="E116" t="s">
        <v>81</v>
      </c>
      <c r="F116" t="s">
        <v>68</v>
      </c>
      <c r="G116">
        <v>29</v>
      </c>
      <c r="H116">
        <v>18.850000000000001</v>
      </c>
      <c r="I116">
        <v>546.65</v>
      </c>
      <c r="J116">
        <v>13.22</v>
      </c>
      <c r="K116">
        <v>83.93</v>
      </c>
      <c r="L116" t="s">
        <v>24</v>
      </c>
      <c r="M116" t="s">
        <v>41</v>
      </c>
      <c r="N116" t="s">
        <v>207</v>
      </c>
    </row>
    <row r="117" spans="1:14" x14ac:dyDescent="0.3">
      <c r="A117" t="s">
        <v>367</v>
      </c>
      <c r="B117" t="s">
        <v>1007</v>
      </c>
      <c r="C117" t="s">
        <v>369</v>
      </c>
      <c r="D117" t="s">
        <v>171</v>
      </c>
      <c r="E117" t="s">
        <v>56</v>
      </c>
      <c r="F117" t="s">
        <v>57</v>
      </c>
      <c r="G117">
        <v>16</v>
      </c>
      <c r="H117">
        <v>64.400000000000006</v>
      </c>
      <c r="I117">
        <v>1030.4000000000001</v>
      </c>
      <c r="J117">
        <v>61.72</v>
      </c>
      <c r="K117">
        <v>328.68</v>
      </c>
      <c r="L117" t="s">
        <v>33</v>
      </c>
      <c r="M117" t="s">
        <v>34</v>
      </c>
      <c r="N117" t="s">
        <v>35</v>
      </c>
    </row>
    <row r="118" spans="1:14" x14ac:dyDescent="0.3">
      <c r="A118" t="s">
        <v>370</v>
      </c>
      <c r="B118" t="s">
        <v>1022</v>
      </c>
      <c r="C118" t="s">
        <v>372</v>
      </c>
      <c r="D118" t="s">
        <v>116</v>
      </c>
      <c r="E118" t="s">
        <v>81</v>
      </c>
      <c r="F118" t="s">
        <v>68</v>
      </c>
      <c r="G118">
        <v>15</v>
      </c>
      <c r="H118">
        <v>19.53</v>
      </c>
      <c r="I118">
        <v>292.95</v>
      </c>
      <c r="J118">
        <v>7.15</v>
      </c>
      <c r="K118">
        <v>53.3</v>
      </c>
      <c r="L118" t="s">
        <v>48</v>
      </c>
      <c r="M118" t="s">
        <v>34</v>
      </c>
      <c r="N118" t="s">
        <v>76</v>
      </c>
    </row>
    <row r="119" spans="1:14" x14ac:dyDescent="0.3">
      <c r="A119" t="s">
        <v>373</v>
      </c>
      <c r="B119" t="s">
        <v>1019</v>
      </c>
      <c r="C119" t="s">
        <v>182</v>
      </c>
      <c r="D119" t="s">
        <v>241</v>
      </c>
      <c r="E119" t="s">
        <v>63</v>
      </c>
      <c r="F119" t="s">
        <v>47</v>
      </c>
      <c r="G119">
        <v>36</v>
      </c>
      <c r="H119">
        <v>26.05</v>
      </c>
      <c r="I119">
        <v>937.8</v>
      </c>
      <c r="J119">
        <v>32.799999999999997</v>
      </c>
      <c r="K119">
        <v>185</v>
      </c>
      <c r="L119" t="s">
        <v>24</v>
      </c>
      <c r="M119" t="s">
        <v>41</v>
      </c>
      <c r="N119" t="s">
        <v>35</v>
      </c>
    </row>
    <row r="120" spans="1:14" x14ac:dyDescent="0.3">
      <c r="A120" t="s">
        <v>374</v>
      </c>
      <c r="B120" t="s">
        <v>1017</v>
      </c>
      <c r="C120" t="s">
        <v>73</v>
      </c>
      <c r="D120" t="s">
        <v>141</v>
      </c>
      <c r="E120" t="s">
        <v>46</v>
      </c>
      <c r="F120" t="s">
        <v>47</v>
      </c>
      <c r="G120">
        <v>26</v>
      </c>
      <c r="H120">
        <v>47.52</v>
      </c>
      <c r="I120">
        <v>1235.52</v>
      </c>
      <c r="J120">
        <v>31.41</v>
      </c>
      <c r="K120">
        <v>372.11</v>
      </c>
      <c r="L120" t="s">
        <v>33</v>
      </c>
      <c r="M120" t="s">
        <v>25</v>
      </c>
      <c r="N120" t="s">
        <v>142</v>
      </c>
    </row>
    <row r="121" spans="1:14" x14ac:dyDescent="0.3">
      <c r="A121" t="s">
        <v>376</v>
      </c>
      <c r="B121" t="s">
        <v>1013</v>
      </c>
      <c r="C121" t="s">
        <v>334</v>
      </c>
      <c r="D121" t="s">
        <v>171</v>
      </c>
      <c r="E121" t="s">
        <v>32</v>
      </c>
      <c r="F121" t="s">
        <v>23</v>
      </c>
      <c r="G121">
        <v>38</v>
      </c>
      <c r="H121">
        <v>26.38</v>
      </c>
      <c r="I121">
        <v>1002.44</v>
      </c>
      <c r="J121">
        <v>33.049999999999997</v>
      </c>
      <c r="K121">
        <v>285.39</v>
      </c>
      <c r="L121" t="s">
        <v>33</v>
      </c>
      <c r="M121" t="s">
        <v>25</v>
      </c>
      <c r="N121" t="s">
        <v>35</v>
      </c>
    </row>
    <row r="122" spans="1:14" x14ac:dyDescent="0.3">
      <c r="A122" t="s">
        <v>377</v>
      </c>
      <c r="B122" t="s">
        <v>1015</v>
      </c>
      <c r="C122" t="s">
        <v>222</v>
      </c>
      <c r="D122" t="s">
        <v>127</v>
      </c>
      <c r="E122" t="s">
        <v>86</v>
      </c>
      <c r="F122" t="s">
        <v>47</v>
      </c>
      <c r="G122">
        <v>7</v>
      </c>
      <c r="H122">
        <v>17.66</v>
      </c>
      <c r="I122">
        <v>123.62</v>
      </c>
      <c r="J122">
        <v>6.95</v>
      </c>
      <c r="K122">
        <v>27.42</v>
      </c>
      <c r="L122" t="s">
        <v>24</v>
      </c>
      <c r="M122" t="s">
        <v>25</v>
      </c>
      <c r="N122" t="s">
        <v>76</v>
      </c>
    </row>
    <row r="123" spans="1:14" x14ac:dyDescent="0.3">
      <c r="A123" t="s">
        <v>378</v>
      </c>
      <c r="B123" t="s">
        <v>1022</v>
      </c>
      <c r="C123" t="s">
        <v>227</v>
      </c>
      <c r="D123" t="s">
        <v>206</v>
      </c>
      <c r="E123" t="s">
        <v>22</v>
      </c>
      <c r="F123" t="s">
        <v>23</v>
      </c>
      <c r="G123">
        <v>26</v>
      </c>
      <c r="H123">
        <v>51.5</v>
      </c>
      <c r="I123">
        <v>1339</v>
      </c>
      <c r="J123">
        <v>92.09</v>
      </c>
      <c r="K123">
        <v>336.91</v>
      </c>
      <c r="L123" t="s">
        <v>33</v>
      </c>
      <c r="M123" t="s">
        <v>34</v>
      </c>
      <c r="N123" t="s">
        <v>207</v>
      </c>
    </row>
    <row r="124" spans="1:14" x14ac:dyDescent="0.3">
      <c r="A124" t="s">
        <v>379</v>
      </c>
      <c r="B124" t="s">
        <v>1015</v>
      </c>
      <c r="C124" t="s">
        <v>381</v>
      </c>
      <c r="D124" t="s">
        <v>1003</v>
      </c>
      <c r="E124" t="s">
        <v>81</v>
      </c>
      <c r="F124" t="s">
        <v>68</v>
      </c>
      <c r="G124">
        <v>27</v>
      </c>
      <c r="H124">
        <v>25</v>
      </c>
      <c r="I124">
        <v>675</v>
      </c>
      <c r="J124">
        <v>15.49</v>
      </c>
      <c r="K124">
        <v>241.01</v>
      </c>
      <c r="L124" t="s">
        <v>33</v>
      </c>
      <c r="M124" t="s">
        <v>34</v>
      </c>
      <c r="N124" t="s">
        <v>98</v>
      </c>
    </row>
    <row r="125" spans="1:14" x14ac:dyDescent="0.3">
      <c r="A125" t="s">
        <v>382</v>
      </c>
      <c r="B125" t="s">
        <v>1019</v>
      </c>
      <c r="C125" t="s">
        <v>61</v>
      </c>
      <c r="D125" t="s">
        <v>141</v>
      </c>
      <c r="E125" t="s">
        <v>86</v>
      </c>
      <c r="F125" t="s">
        <v>47</v>
      </c>
      <c r="G125">
        <v>4</v>
      </c>
      <c r="H125">
        <v>19</v>
      </c>
      <c r="I125">
        <v>76</v>
      </c>
      <c r="J125">
        <v>3.78</v>
      </c>
      <c r="K125">
        <v>21.22</v>
      </c>
      <c r="L125" t="s">
        <v>33</v>
      </c>
      <c r="M125" t="s">
        <v>41</v>
      </c>
      <c r="N125" t="s">
        <v>142</v>
      </c>
    </row>
    <row r="126" spans="1:14" x14ac:dyDescent="0.3">
      <c r="A126" t="s">
        <v>384</v>
      </c>
      <c r="B126" t="s">
        <v>1021</v>
      </c>
      <c r="C126" t="s">
        <v>307</v>
      </c>
      <c r="D126" t="s">
        <v>55</v>
      </c>
      <c r="E126" t="s">
        <v>81</v>
      </c>
      <c r="F126" t="s">
        <v>68</v>
      </c>
      <c r="G126">
        <v>24</v>
      </c>
      <c r="H126">
        <v>26.63</v>
      </c>
      <c r="I126">
        <v>639.12</v>
      </c>
      <c r="J126">
        <v>31.92</v>
      </c>
      <c r="K126">
        <v>235.2</v>
      </c>
      <c r="L126" t="s">
        <v>48</v>
      </c>
      <c r="M126" t="s">
        <v>41</v>
      </c>
      <c r="N126" t="s">
        <v>98</v>
      </c>
    </row>
    <row r="127" spans="1:14" x14ac:dyDescent="0.3">
      <c r="A127" t="s">
        <v>385</v>
      </c>
      <c r="B127" t="s">
        <v>1007</v>
      </c>
      <c r="C127" t="s">
        <v>134</v>
      </c>
      <c r="D127" t="s">
        <v>116</v>
      </c>
      <c r="E127" t="s">
        <v>74</v>
      </c>
      <c r="F127" t="s">
        <v>75</v>
      </c>
      <c r="G127">
        <v>26</v>
      </c>
      <c r="H127">
        <v>43.14</v>
      </c>
      <c r="I127">
        <v>1121.6400000000001</v>
      </c>
      <c r="J127">
        <v>48.08</v>
      </c>
      <c r="K127">
        <v>423.56</v>
      </c>
      <c r="L127" t="s">
        <v>24</v>
      </c>
      <c r="M127" t="s">
        <v>34</v>
      </c>
      <c r="N127" t="s">
        <v>76</v>
      </c>
    </row>
    <row r="128" spans="1:14" x14ac:dyDescent="0.3">
      <c r="A128" t="s">
        <v>387</v>
      </c>
      <c r="B128" t="s">
        <v>1016</v>
      </c>
      <c r="C128" t="s">
        <v>317</v>
      </c>
      <c r="D128" t="s">
        <v>55</v>
      </c>
      <c r="E128" t="s">
        <v>74</v>
      </c>
      <c r="F128" t="s">
        <v>75</v>
      </c>
      <c r="G128">
        <v>39</v>
      </c>
      <c r="H128">
        <v>30.01</v>
      </c>
      <c r="I128">
        <v>1170.3900000000001</v>
      </c>
      <c r="J128">
        <v>60.43</v>
      </c>
      <c r="K128">
        <v>134.96</v>
      </c>
      <c r="L128" t="s">
        <v>33</v>
      </c>
      <c r="M128" t="s">
        <v>25</v>
      </c>
      <c r="N128" t="s">
        <v>98</v>
      </c>
    </row>
    <row r="129" spans="1:14" x14ac:dyDescent="0.3">
      <c r="A129" t="s">
        <v>389</v>
      </c>
      <c r="B129" t="s">
        <v>1016</v>
      </c>
      <c r="C129" t="s">
        <v>391</v>
      </c>
      <c r="D129" t="s">
        <v>241</v>
      </c>
      <c r="E129" t="s">
        <v>67</v>
      </c>
      <c r="F129" t="s">
        <v>68</v>
      </c>
      <c r="G129">
        <v>5</v>
      </c>
      <c r="H129">
        <v>31.31</v>
      </c>
      <c r="I129">
        <v>156.55000000000001</v>
      </c>
      <c r="J129">
        <v>4.04</v>
      </c>
      <c r="K129">
        <v>40.01</v>
      </c>
      <c r="L129" t="s">
        <v>48</v>
      </c>
      <c r="M129" t="s">
        <v>41</v>
      </c>
      <c r="N129" t="s">
        <v>35</v>
      </c>
    </row>
    <row r="130" spans="1:14" x14ac:dyDescent="0.3">
      <c r="A130" t="s">
        <v>392</v>
      </c>
      <c r="B130" t="s">
        <v>1014</v>
      </c>
      <c r="C130" t="s">
        <v>290</v>
      </c>
      <c r="D130" t="s">
        <v>1003</v>
      </c>
      <c r="E130" t="s">
        <v>137</v>
      </c>
      <c r="F130" t="s">
        <v>68</v>
      </c>
      <c r="G130">
        <v>42</v>
      </c>
      <c r="H130">
        <v>36.950000000000003</v>
      </c>
      <c r="I130">
        <v>1551.9</v>
      </c>
      <c r="J130">
        <v>74.260000000000005</v>
      </c>
      <c r="K130">
        <v>301.64</v>
      </c>
      <c r="L130" t="s">
        <v>33</v>
      </c>
      <c r="M130" t="s">
        <v>34</v>
      </c>
      <c r="N130" t="s">
        <v>98</v>
      </c>
    </row>
    <row r="131" spans="1:14" x14ac:dyDescent="0.3">
      <c r="A131" t="s">
        <v>394</v>
      </c>
      <c r="B131" t="s">
        <v>1007</v>
      </c>
      <c r="C131" t="s">
        <v>396</v>
      </c>
      <c r="D131" t="s">
        <v>116</v>
      </c>
      <c r="E131" t="s">
        <v>56</v>
      </c>
      <c r="F131" t="s">
        <v>57</v>
      </c>
      <c r="G131">
        <v>36</v>
      </c>
      <c r="H131">
        <v>57.37</v>
      </c>
      <c r="I131">
        <v>2065.3200000000002</v>
      </c>
      <c r="J131">
        <v>94.34</v>
      </c>
      <c r="K131">
        <v>530.98</v>
      </c>
      <c r="L131" t="s">
        <v>48</v>
      </c>
      <c r="M131" t="s">
        <v>25</v>
      </c>
      <c r="N131" t="s">
        <v>76</v>
      </c>
    </row>
    <row r="132" spans="1:14" x14ac:dyDescent="0.3">
      <c r="A132" t="s">
        <v>397</v>
      </c>
      <c r="B132" t="s">
        <v>1022</v>
      </c>
      <c r="C132" t="s">
        <v>44</v>
      </c>
      <c r="D132" t="s">
        <v>1005</v>
      </c>
      <c r="E132" t="s">
        <v>137</v>
      </c>
      <c r="F132" t="s">
        <v>68</v>
      </c>
      <c r="G132">
        <v>13</v>
      </c>
      <c r="H132">
        <v>40.18</v>
      </c>
      <c r="I132">
        <v>522.34</v>
      </c>
      <c r="J132">
        <v>37.369999999999997</v>
      </c>
      <c r="K132">
        <v>120.97</v>
      </c>
      <c r="L132" t="s">
        <v>33</v>
      </c>
      <c r="M132" t="s">
        <v>41</v>
      </c>
      <c r="N132" t="s">
        <v>76</v>
      </c>
    </row>
    <row r="133" spans="1:14" x14ac:dyDescent="0.3">
      <c r="A133" t="s">
        <v>399</v>
      </c>
      <c r="B133" t="s">
        <v>1015</v>
      </c>
      <c r="C133" t="s">
        <v>328</v>
      </c>
      <c r="D133" t="s">
        <v>127</v>
      </c>
      <c r="E133" t="s">
        <v>46</v>
      </c>
      <c r="F133" t="s">
        <v>47</v>
      </c>
      <c r="G133">
        <v>37</v>
      </c>
      <c r="H133">
        <v>39.299999999999997</v>
      </c>
      <c r="I133">
        <v>1454.1</v>
      </c>
      <c r="J133">
        <v>67.08</v>
      </c>
      <c r="K133">
        <v>203.02</v>
      </c>
      <c r="L133" t="s">
        <v>48</v>
      </c>
      <c r="M133" t="s">
        <v>25</v>
      </c>
      <c r="N133" t="s">
        <v>76</v>
      </c>
    </row>
    <row r="134" spans="1:14" x14ac:dyDescent="0.3">
      <c r="A134" t="s">
        <v>401</v>
      </c>
      <c r="B134" t="s">
        <v>1015</v>
      </c>
      <c r="C134" t="s">
        <v>307</v>
      </c>
      <c r="D134" t="s">
        <v>55</v>
      </c>
      <c r="E134" t="s">
        <v>46</v>
      </c>
      <c r="F134" t="s">
        <v>47</v>
      </c>
      <c r="G134">
        <v>17</v>
      </c>
      <c r="H134">
        <v>43.28</v>
      </c>
      <c r="I134">
        <v>735.76</v>
      </c>
      <c r="J134">
        <v>50.96</v>
      </c>
      <c r="K134">
        <v>140.80000000000001</v>
      </c>
      <c r="L134" t="s">
        <v>33</v>
      </c>
      <c r="M134" t="s">
        <v>34</v>
      </c>
      <c r="N134" t="s">
        <v>98</v>
      </c>
    </row>
    <row r="135" spans="1:14" x14ac:dyDescent="0.3">
      <c r="A135" t="s">
        <v>403</v>
      </c>
      <c r="B135" t="s">
        <v>1010</v>
      </c>
      <c r="C135" t="s">
        <v>20</v>
      </c>
      <c r="D135" t="s">
        <v>1005</v>
      </c>
      <c r="E135" t="s">
        <v>22</v>
      </c>
      <c r="F135" t="s">
        <v>23</v>
      </c>
      <c r="G135">
        <v>22</v>
      </c>
      <c r="H135">
        <v>62.79</v>
      </c>
      <c r="I135">
        <v>1381.38</v>
      </c>
      <c r="J135">
        <v>75.84</v>
      </c>
      <c r="K135">
        <v>535.54</v>
      </c>
      <c r="L135" t="s">
        <v>48</v>
      </c>
      <c r="M135" t="s">
        <v>41</v>
      </c>
      <c r="N135" t="s">
        <v>76</v>
      </c>
    </row>
    <row r="136" spans="1:14" x14ac:dyDescent="0.3">
      <c r="A136" t="s">
        <v>405</v>
      </c>
      <c r="B136" t="s">
        <v>1015</v>
      </c>
      <c r="C136" t="s">
        <v>249</v>
      </c>
      <c r="D136" t="s">
        <v>241</v>
      </c>
      <c r="E136" t="s">
        <v>56</v>
      </c>
      <c r="F136" t="s">
        <v>57</v>
      </c>
      <c r="G136">
        <v>23</v>
      </c>
      <c r="H136">
        <v>56.76</v>
      </c>
      <c r="I136">
        <v>1305.48</v>
      </c>
      <c r="J136">
        <v>62.93</v>
      </c>
      <c r="K136">
        <v>322.55</v>
      </c>
      <c r="L136" t="s">
        <v>48</v>
      </c>
      <c r="M136" t="s">
        <v>41</v>
      </c>
      <c r="N136" t="s">
        <v>35</v>
      </c>
    </row>
    <row r="137" spans="1:14" x14ac:dyDescent="0.3">
      <c r="A137" t="s">
        <v>407</v>
      </c>
      <c r="B137" t="s">
        <v>1019</v>
      </c>
      <c r="C137" t="s">
        <v>40</v>
      </c>
      <c r="D137" t="s">
        <v>1004</v>
      </c>
      <c r="E137" t="s">
        <v>56</v>
      </c>
      <c r="F137" t="s">
        <v>57</v>
      </c>
      <c r="G137">
        <v>22</v>
      </c>
      <c r="H137">
        <v>60.13</v>
      </c>
      <c r="I137">
        <v>1322.86</v>
      </c>
      <c r="J137">
        <v>54.06</v>
      </c>
      <c r="K137">
        <v>388.8</v>
      </c>
      <c r="L137" t="s">
        <v>48</v>
      </c>
      <c r="M137" t="s">
        <v>34</v>
      </c>
      <c r="N137" t="s">
        <v>35</v>
      </c>
    </row>
    <row r="138" spans="1:14" x14ac:dyDescent="0.3">
      <c r="A138" t="s">
        <v>409</v>
      </c>
      <c r="B138" t="s">
        <v>1007</v>
      </c>
      <c r="C138" t="s">
        <v>410</v>
      </c>
      <c r="D138" t="s">
        <v>116</v>
      </c>
      <c r="E138" t="s">
        <v>74</v>
      </c>
      <c r="F138" t="s">
        <v>75</v>
      </c>
      <c r="G138">
        <v>21</v>
      </c>
      <c r="H138">
        <v>40.98</v>
      </c>
      <c r="I138">
        <v>860.58</v>
      </c>
      <c r="J138">
        <v>37.01</v>
      </c>
      <c r="K138">
        <v>298.57</v>
      </c>
      <c r="L138" t="s">
        <v>24</v>
      </c>
      <c r="M138" t="s">
        <v>41</v>
      </c>
      <c r="N138" t="s">
        <v>76</v>
      </c>
    </row>
    <row r="139" spans="1:14" x14ac:dyDescent="0.3">
      <c r="A139" t="s">
        <v>411</v>
      </c>
      <c r="B139" t="s">
        <v>1016</v>
      </c>
      <c r="C139" t="s">
        <v>188</v>
      </c>
      <c r="D139" t="s">
        <v>45</v>
      </c>
      <c r="E139" t="s">
        <v>56</v>
      </c>
      <c r="F139" t="s">
        <v>57</v>
      </c>
      <c r="G139">
        <v>36</v>
      </c>
      <c r="H139">
        <v>54.6</v>
      </c>
      <c r="I139">
        <v>1965.6</v>
      </c>
      <c r="J139">
        <v>150.34</v>
      </c>
      <c r="K139">
        <v>375.26</v>
      </c>
      <c r="L139" t="s">
        <v>33</v>
      </c>
      <c r="M139" t="s">
        <v>25</v>
      </c>
      <c r="N139" t="s">
        <v>49</v>
      </c>
    </row>
    <row r="140" spans="1:14" x14ac:dyDescent="0.3">
      <c r="A140" t="s">
        <v>413</v>
      </c>
      <c r="B140" t="s">
        <v>1019</v>
      </c>
      <c r="C140" t="s">
        <v>360</v>
      </c>
      <c r="D140" t="s">
        <v>37</v>
      </c>
      <c r="E140" t="s">
        <v>81</v>
      </c>
      <c r="F140" t="s">
        <v>68</v>
      </c>
      <c r="G140">
        <v>1</v>
      </c>
      <c r="H140">
        <v>27.49</v>
      </c>
      <c r="I140">
        <v>27.49</v>
      </c>
      <c r="J140">
        <v>0.63</v>
      </c>
      <c r="K140">
        <v>11.36</v>
      </c>
      <c r="L140" t="s">
        <v>33</v>
      </c>
      <c r="M140" t="s">
        <v>41</v>
      </c>
      <c r="N140" t="s">
        <v>35</v>
      </c>
    </row>
    <row r="141" spans="1:14" x14ac:dyDescent="0.3">
      <c r="A141" t="s">
        <v>415</v>
      </c>
      <c r="B141" t="s">
        <v>1023</v>
      </c>
      <c r="C141" t="s">
        <v>417</v>
      </c>
      <c r="D141" t="s">
        <v>116</v>
      </c>
      <c r="E141" t="s">
        <v>46</v>
      </c>
      <c r="F141" t="s">
        <v>47</v>
      </c>
      <c r="G141">
        <v>50</v>
      </c>
      <c r="H141">
        <v>41.11</v>
      </c>
      <c r="I141">
        <v>2055.5</v>
      </c>
      <c r="J141">
        <v>95.61</v>
      </c>
      <c r="K141">
        <v>359.89</v>
      </c>
      <c r="L141" t="s">
        <v>48</v>
      </c>
      <c r="M141" t="s">
        <v>34</v>
      </c>
      <c r="N141" t="s">
        <v>76</v>
      </c>
    </row>
    <row r="142" spans="1:14" x14ac:dyDescent="0.3">
      <c r="A142" t="s">
        <v>418</v>
      </c>
      <c r="B142" t="s">
        <v>1016</v>
      </c>
      <c r="C142" t="s">
        <v>191</v>
      </c>
      <c r="D142" t="s">
        <v>51</v>
      </c>
      <c r="E142" t="s">
        <v>81</v>
      </c>
      <c r="F142" t="s">
        <v>68</v>
      </c>
      <c r="G142">
        <v>18</v>
      </c>
      <c r="H142">
        <v>25.54</v>
      </c>
      <c r="I142">
        <v>459.72</v>
      </c>
      <c r="J142">
        <v>27.02</v>
      </c>
      <c r="K142">
        <v>153.69999999999999</v>
      </c>
      <c r="L142" t="s">
        <v>33</v>
      </c>
      <c r="M142" t="s">
        <v>25</v>
      </c>
      <c r="N142" t="s">
        <v>76</v>
      </c>
    </row>
    <row r="143" spans="1:14" x14ac:dyDescent="0.3">
      <c r="A143" t="s">
        <v>420</v>
      </c>
      <c r="B143" t="s">
        <v>1007</v>
      </c>
      <c r="C143" t="s">
        <v>369</v>
      </c>
      <c r="D143" t="s">
        <v>127</v>
      </c>
      <c r="E143" t="s">
        <v>137</v>
      </c>
      <c r="F143" t="s">
        <v>68</v>
      </c>
      <c r="G143">
        <v>4</v>
      </c>
      <c r="H143">
        <v>47.52</v>
      </c>
      <c r="I143">
        <v>190.08</v>
      </c>
      <c r="J143">
        <v>10.23</v>
      </c>
      <c r="K143">
        <v>67.849999999999994</v>
      </c>
      <c r="L143" t="s">
        <v>24</v>
      </c>
      <c r="M143" t="s">
        <v>25</v>
      </c>
      <c r="N143" t="s">
        <v>76</v>
      </c>
    </row>
    <row r="144" spans="1:14" x14ac:dyDescent="0.3">
      <c r="A144" t="s">
        <v>422</v>
      </c>
      <c r="B144" t="s">
        <v>1014</v>
      </c>
      <c r="C144" t="s">
        <v>272</v>
      </c>
      <c r="D144" t="s">
        <v>37</v>
      </c>
      <c r="E144" t="s">
        <v>74</v>
      </c>
      <c r="F144" t="s">
        <v>75</v>
      </c>
      <c r="G144">
        <v>29</v>
      </c>
      <c r="H144">
        <v>30.48</v>
      </c>
      <c r="I144">
        <v>883.92</v>
      </c>
      <c r="J144">
        <v>33.15</v>
      </c>
      <c r="K144">
        <v>125.77</v>
      </c>
      <c r="L144" t="s">
        <v>48</v>
      </c>
      <c r="M144" t="s">
        <v>25</v>
      </c>
      <c r="N144" t="s">
        <v>35</v>
      </c>
    </row>
    <row r="145" spans="1:14" x14ac:dyDescent="0.3">
      <c r="A145" t="s">
        <v>424</v>
      </c>
      <c r="B145" t="s">
        <v>1018</v>
      </c>
      <c r="C145" t="s">
        <v>269</v>
      </c>
      <c r="D145" t="s">
        <v>141</v>
      </c>
      <c r="E145" t="s">
        <v>56</v>
      </c>
      <c r="F145" t="s">
        <v>57</v>
      </c>
      <c r="G145">
        <v>27</v>
      </c>
      <c r="H145">
        <v>50.39</v>
      </c>
      <c r="I145">
        <v>1360.53</v>
      </c>
      <c r="J145">
        <v>106.4</v>
      </c>
      <c r="K145">
        <v>174.13</v>
      </c>
      <c r="L145" t="s">
        <v>33</v>
      </c>
      <c r="M145" t="s">
        <v>34</v>
      </c>
      <c r="N145" t="s">
        <v>142</v>
      </c>
    </row>
    <row r="146" spans="1:14" x14ac:dyDescent="0.3">
      <c r="A146" t="s">
        <v>425</v>
      </c>
      <c r="B146" t="s">
        <v>1007</v>
      </c>
      <c r="C146" t="s">
        <v>232</v>
      </c>
      <c r="D146" t="s">
        <v>241</v>
      </c>
      <c r="E146" t="s">
        <v>74</v>
      </c>
      <c r="F146" t="s">
        <v>75</v>
      </c>
      <c r="G146">
        <v>34</v>
      </c>
      <c r="H146">
        <v>37.68</v>
      </c>
      <c r="I146">
        <v>1281.1199999999999</v>
      </c>
      <c r="J146">
        <v>54.86</v>
      </c>
      <c r="K146">
        <v>376.26</v>
      </c>
      <c r="L146" t="s">
        <v>48</v>
      </c>
      <c r="M146" t="s">
        <v>25</v>
      </c>
      <c r="N146" t="s">
        <v>35</v>
      </c>
    </row>
    <row r="147" spans="1:14" x14ac:dyDescent="0.3">
      <c r="A147" t="s">
        <v>427</v>
      </c>
      <c r="B147" t="s">
        <v>1015</v>
      </c>
      <c r="C147" t="s">
        <v>428</v>
      </c>
      <c r="D147" t="s">
        <v>127</v>
      </c>
      <c r="E147" t="s">
        <v>74</v>
      </c>
      <c r="F147" t="s">
        <v>75</v>
      </c>
      <c r="G147">
        <v>3</v>
      </c>
      <c r="H147">
        <v>39.32</v>
      </c>
      <c r="I147">
        <v>117.96</v>
      </c>
      <c r="J147">
        <v>6.97</v>
      </c>
      <c r="K147">
        <v>35.99</v>
      </c>
      <c r="L147" t="s">
        <v>33</v>
      </c>
      <c r="M147" t="s">
        <v>34</v>
      </c>
      <c r="N147" t="s">
        <v>76</v>
      </c>
    </row>
    <row r="148" spans="1:14" x14ac:dyDescent="0.3">
      <c r="A148" t="s">
        <v>429</v>
      </c>
      <c r="B148" t="s">
        <v>1016</v>
      </c>
      <c r="C148" t="s">
        <v>372</v>
      </c>
      <c r="D148" t="s">
        <v>55</v>
      </c>
      <c r="E148" t="s">
        <v>86</v>
      </c>
      <c r="F148" t="s">
        <v>47</v>
      </c>
      <c r="G148">
        <v>24</v>
      </c>
      <c r="H148">
        <v>18</v>
      </c>
      <c r="I148">
        <v>432</v>
      </c>
      <c r="J148">
        <v>22.68</v>
      </c>
      <c r="K148">
        <v>103.32</v>
      </c>
      <c r="L148" t="s">
        <v>24</v>
      </c>
      <c r="M148" t="s">
        <v>41</v>
      </c>
      <c r="N148" t="s">
        <v>98</v>
      </c>
    </row>
    <row r="149" spans="1:14" x14ac:dyDescent="0.3">
      <c r="A149" t="s">
        <v>430</v>
      </c>
      <c r="B149" t="s">
        <v>1016</v>
      </c>
      <c r="C149" t="s">
        <v>162</v>
      </c>
      <c r="D149" t="s">
        <v>1004</v>
      </c>
      <c r="E149" t="s">
        <v>67</v>
      </c>
      <c r="F149" t="s">
        <v>68</v>
      </c>
      <c r="G149">
        <v>5</v>
      </c>
      <c r="H149">
        <v>36.43</v>
      </c>
      <c r="I149">
        <v>182.15</v>
      </c>
      <c r="J149">
        <v>7.82</v>
      </c>
      <c r="K149">
        <v>61.83</v>
      </c>
      <c r="L149" t="s">
        <v>24</v>
      </c>
      <c r="M149" t="s">
        <v>41</v>
      </c>
      <c r="N149" t="s">
        <v>35</v>
      </c>
    </row>
    <row r="150" spans="1:14" x14ac:dyDescent="0.3">
      <c r="A150" t="s">
        <v>432</v>
      </c>
      <c r="B150" t="s">
        <v>1019</v>
      </c>
      <c r="C150" t="s">
        <v>170</v>
      </c>
      <c r="D150" t="s">
        <v>51</v>
      </c>
      <c r="E150" t="s">
        <v>67</v>
      </c>
      <c r="F150" t="s">
        <v>68</v>
      </c>
      <c r="G150">
        <v>27</v>
      </c>
      <c r="H150">
        <v>38.39</v>
      </c>
      <c r="I150">
        <v>1036.53</v>
      </c>
      <c r="J150">
        <v>28.6</v>
      </c>
      <c r="K150">
        <v>400.43</v>
      </c>
      <c r="L150" t="s">
        <v>33</v>
      </c>
      <c r="M150" t="s">
        <v>25</v>
      </c>
      <c r="N150" t="s">
        <v>76</v>
      </c>
    </row>
    <row r="151" spans="1:14" x14ac:dyDescent="0.3">
      <c r="A151" t="s">
        <v>434</v>
      </c>
      <c r="B151" t="s">
        <v>1021</v>
      </c>
      <c r="C151" t="s">
        <v>219</v>
      </c>
      <c r="D151" t="s">
        <v>45</v>
      </c>
      <c r="E151" t="s">
        <v>137</v>
      </c>
      <c r="F151" t="s">
        <v>68</v>
      </c>
      <c r="G151">
        <v>10</v>
      </c>
      <c r="H151">
        <v>47.5</v>
      </c>
      <c r="I151">
        <v>475</v>
      </c>
      <c r="J151">
        <v>15.95</v>
      </c>
      <c r="K151">
        <v>179.05</v>
      </c>
      <c r="L151" t="s">
        <v>24</v>
      </c>
      <c r="M151" t="s">
        <v>25</v>
      </c>
      <c r="N151" t="s">
        <v>49</v>
      </c>
    </row>
    <row r="152" spans="1:14" x14ac:dyDescent="0.3">
      <c r="A152" t="s">
        <v>436</v>
      </c>
      <c r="B152" t="s">
        <v>1011</v>
      </c>
      <c r="C152" t="s">
        <v>437</v>
      </c>
      <c r="D152" t="s">
        <v>1005</v>
      </c>
      <c r="E152" t="s">
        <v>46</v>
      </c>
      <c r="F152" t="s">
        <v>47</v>
      </c>
      <c r="G152">
        <v>47</v>
      </c>
      <c r="H152">
        <v>50.13</v>
      </c>
      <c r="I152">
        <v>2356.11</v>
      </c>
      <c r="J152">
        <v>166.22</v>
      </c>
      <c r="K152">
        <v>685.89</v>
      </c>
      <c r="L152" t="s">
        <v>24</v>
      </c>
      <c r="M152" t="s">
        <v>25</v>
      </c>
      <c r="N152" t="s">
        <v>76</v>
      </c>
    </row>
    <row r="153" spans="1:14" x14ac:dyDescent="0.3">
      <c r="A153" t="s">
        <v>438</v>
      </c>
      <c r="B153" t="s">
        <v>1010</v>
      </c>
      <c r="C153" t="s">
        <v>440</v>
      </c>
      <c r="D153" t="s">
        <v>62</v>
      </c>
      <c r="E153" t="s">
        <v>137</v>
      </c>
      <c r="F153" t="s">
        <v>68</v>
      </c>
      <c r="G153">
        <v>47</v>
      </c>
      <c r="H153">
        <v>42.25</v>
      </c>
      <c r="I153">
        <v>1985.75</v>
      </c>
      <c r="J153">
        <v>116.75</v>
      </c>
      <c r="K153">
        <v>553</v>
      </c>
      <c r="L153" t="s">
        <v>33</v>
      </c>
      <c r="M153" t="s">
        <v>25</v>
      </c>
      <c r="N153" t="s">
        <v>98</v>
      </c>
    </row>
    <row r="154" spans="1:14" x14ac:dyDescent="0.3">
      <c r="A154" t="s">
        <v>441</v>
      </c>
      <c r="B154" t="s">
        <v>1018</v>
      </c>
      <c r="C154" t="s">
        <v>442</v>
      </c>
      <c r="D154" t="s">
        <v>51</v>
      </c>
      <c r="E154" t="s">
        <v>74</v>
      </c>
      <c r="F154" t="s">
        <v>75</v>
      </c>
      <c r="G154">
        <v>18</v>
      </c>
      <c r="H154">
        <v>38.26</v>
      </c>
      <c r="I154">
        <v>688.68</v>
      </c>
      <c r="J154">
        <v>18.78</v>
      </c>
      <c r="K154">
        <v>219.9</v>
      </c>
      <c r="L154" t="s">
        <v>33</v>
      </c>
      <c r="M154" t="s">
        <v>25</v>
      </c>
      <c r="N154" t="s">
        <v>76</v>
      </c>
    </row>
    <row r="155" spans="1:14" x14ac:dyDescent="0.3">
      <c r="A155" t="s">
        <v>443</v>
      </c>
      <c r="B155" t="s">
        <v>1017</v>
      </c>
      <c r="C155" t="s">
        <v>140</v>
      </c>
      <c r="D155" t="s">
        <v>116</v>
      </c>
      <c r="E155" t="s">
        <v>137</v>
      </c>
      <c r="F155" t="s">
        <v>68</v>
      </c>
      <c r="G155">
        <v>31</v>
      </c>
      <c r="H155">
        <v>46.66</v>
      </c>
      <c r="I155">
        <v>1446.46</v>
      </c>
      <c r="J155">
        <v>109.24</v>
      </c>
      <c r="K155">
        <v>469.22</v>
      </c>
      <c r="L155" t="s">
        <v>24</v>
      </c>
      <c r="M155" t="s">
        <v>41</v>
      </c>
      <c r="N155" t="s">
        <v>76</v>
      </c>
    </row>
    <row r="156" spans="1:14" x14ac:dyDescent="0.3">
      <c r="A156" t="s">
        <v>445</v>
      </c>
      <c r="B156" t="s">
        <v>1018</v>
      </c>
      <c r="C156" t="s">
        <v>447</v>
      </c>
      <c r="D156" t="s">
        <v>141</v>
      </c>
      <c r="E156" t="s">
        <v>46</v>
      </c>
      <c r="F156" t="s">
        <v>47</v>
      </c>
      <c r="G156">
        <v>41</v>
      </c>
      <c r="H156">
        <v>52.65</v>
      </c>
      <c r="I156">
        <v>2158.65</v>
      </c>
      <c r="J156">
        <v>110.1</v>
      </c>
      <c r="K156">
        <v>736.55</v>
      </c>
      <c r="L156" t="s">
        <v>33</v>
      </c>
      <c r="M156" t="s">
        <v>41</v>
      </c>
      <c r="N156" t="s">
        <v>142</v>
      </c>
    </row>
    <row r="157" spans="1:14" x14ac:dyDescent="0.3">
      <c r="A157" t="s">
        <v>448</v>
      </c>
      <c r="B157" t="s">
        <v>1018</v>
      </c>
      <c r="C157" t="s">
        <v>185</v>
      </c>
      <c r="D157" t="s">
        <v>127</v>
      </c>
      <c r="E157" t="s">
        <v>32</v>
      </c>
      <c r="F157" t="s">
        <v>23</v>
      </c>
      <c r="G157">
        <v>28</v>
      </c>
      <c r="H157">
        <v>22.66</v>
      </c>
      <c r="I157">
        <v>634.48</v>
      </c>
      <c r="J157">
        <v>15.55</v>
      </c>
      <c r="K157">
        <v>114.93</v>
      </c>
      <c r="L157" t="s">
        <v>48</v>
      </c>
      <c r="M157" t="s">
        <v>25</v>
      </c>
      <c r="N157" t="s">
        <v>76</v>
      </c>
    </row>
    <row r="158" spans="1:14" x14ac:dyDescent="0.3">
      <c r="A158" t="s">
        <v>450</v>
      </c>
      <c r="B158" t="s">
        <v>1008</v>
      </c>
      <c r="C158" t="s">
        <v>428</v>
      </c>
      <c r="D158" t="s">
        <v>62</v>
      </c>
      <c r="E158" t="s">
        <v>81</v>
      </c>
      <c r="F158" t="s">
        <v>68</v>
      </c>
      <c r="G158">
        <v>48</v>
      </c>
      <c r="H158">
        <v>25.07</v>
      </c>
      <c r="I158">
        <v>1203.3599999999999</v>
      </c>
      <c r="J158">
        <v>29.93</v>
      </c>
      <c r="K158">
        <v>429.43</v>
      </c>
      <c r="L158" t="s">
        <v>33</v>
      </c>
      <c r="M158" t="s">
        <v>34</v>
      </c>
      <c r="N158" t="s">
        <v>98</v>
      </c>
    </row>
    <row r="159" spans="1:14" x14ac:dyDescent="0.3">
      <c r="A159" t="s">
        <v>452</v>
      </c>
      <c r="B159" t="s">
        <v>1021</v>
      </c>
      <c r="C159" t="s">
        <v>44</v>
      </c>
      <c r="D159" t="s">
        <v>45</v>
      </c>
      <c r="E159" t="s">
        <v>32</v>
      </c>
      <c r="F159" t="s">
        <v>23</v>
      </c>
      <c r="G159">
        <v>31</v>
      </c>
      <c r="H159">
        <v>30.53</v>
      </c>
      <c r="I159">
        <v>946.43</v>
      </c>
      <c r="J159">
        <v>72.150000000000006</v>
      </c>
      <c r="K159">
        <v>316.27999999999997</v>
      </c>
      <c r="L159" t="s">
        <v>48</v>
      </c>
      <c r="M159" t="s">
        <v>34</v>
      </c>
      <c r="N159" t="s">
        <v>49</v>
      </c>
    </row>
    <row r="160" spans="1:14" x14ac:dyDescent="0.3">
      <c r="A160" t="s">
        <v>453</v>
      </c>
      <c r="B160" t="s">
        <v>1016</v>
      </c>
      <c r="C160" t="s">
        <v>455</v>
      </c>
      <c r="D160" t="s">
        <v>141</v>
      </c>
      <c r="E160" t="s">
        <v>67</v>
      </c>
      <c r="F160" t="s">
        <v>68</v>
      </c>
      <c r="G160">
        <v>33</v>
      </c>
      <c r="H160">
        <v>31</v>
      </c>
      <c r="I160">
        <v>1023</v>
      </c>
      <c r="J160">
        <v>63.94</v>
      </c>
      <c r="K160">
        <v>216.56</v>
      </c>
      <c r="L160" t="s">
        <v>33</v>
      </c>
      <c r="M160" t="s">
        <v>25</v>
      </c>
      <c r="N160" t="s">
        <v>142</v>
      </c>
    </row>
    <row r="161" spans="1:14" x14ac:dyDescent="0.3">
      <c r="A161" t="s">
        <v>456</v>
      </c>
      <c r="B161" t="s">
        <v>1010</v>
      </c>
      <c r="C161" t="s">
        <v>191</v>
      </c>
      <c r="D161" t="s">
        <v>1004</v>
      </c>
      <c r="E161" t="s">
        <v>81</v>
      </c>
      <c r="F161" t="s">
        <v>68</v>
      </c>
      <c r="G161">
        <v>32</v>
      </c>
      <c r="H161">
        <v>20.86</v>
      </c>
      <c r="I161">
        <v>667.52</v>
      </c>
      <c r="J161">
        <v>21.62</v>
      </c>
      <c r="K161">
        <v>149.9</v>
      </c>
      <c r="L161" t="s">
        <v>48</v>
      </c>
      <c r="M161" t="s">
        <v>41</v>
      </c>
      <c r="N161" t="s">
        <v>35</v>
      </c>
    </row>
    <row r="162" spans="1:14" x14ac:dyDescent="0.3">
      <c r="A162" t="s">
        <v>458</v>
      </c>
      <c r="B162" t="s">
        <v>1013</v>
      </c>
      <c r="C162" t="s">
        <v>222</v>
      </c>
      <c r="D162" t="s">
        <v>241</v>
      </c>
      <c r="E162" t="s">
        <v>63</v>
      </c>
      <c r="F162" t="s">
        <v>47</v>
      </c>
      <c r="G162">
        <v>18</v>
      </c>
      <c r="H162">
        <v>24.61</v>
      </c>
      <c r="I162">
        <v>442.98</v>
      </c>
      <c r="J162">
        <v>26.99</v>
      </c>
      <c r="K162">
        <v>55.99</v>
      </c>
      <c r="L162" t="s">
        <v>48</v>
      </c>
      <c r="M162" t="s">
        <v>25</v>
      </c>
      <c r="N162" t="s">
        <v>35</v>
      </c>
    </row>
    <row r="163" spans="1:14" x14ac:dyDescent="0.3">
      <c r="A163" t="s">
        <v>459</v>
      </c>
      <c r="B163" t="s">
        <v>1010</v>
      </c>
      <c r="C163" t="s">
        <v>154</v>
      </c>
      <c r="D163" t="s">
        <v>116</v>
      </c>
      <c r="E163" t="s">
        <v>56</v>
      </c>
      <c r="F163" t="s">
        <v>57</v>
      </c>
      <c r="G163">
        <v>18</v>
      </c>
      <c r="H163">
        <v>64.83</v>
      </c>
      <c r="I163">
        <v>1166.94</v>
      </c>
      <c r="J163">
        <v>34.28</v>
      </c>
      <c r="K163">
        <v>412.66</v>
      </c>
      <c r="L163" t="s">
        <v>48</v>
      </c>
      <c r="M163" t="s">
        <v>25</v>
      </c>
      <c r="N163" t="s">
        <v>76</v>
      </c>
    </row>
    <row r="164" spans="1:14" x14ac:dyDescent="0.3">
      <c r="A164" t="s">
        <v>461</v>
      </c>
      <c r="B164" t="s">
        <v>1019</v>
      </c>
      <c r="C164" t="s">
        <v>462</v>
      </c>
      <c r="D164" t="s">
        <v>62</v>
      </c>
      <c r="E164" t="s">
        <v>63</v>
      </c>
      <c r="F164" t="s">
        <v>47</v>
      </c>
      <c r="G164">
        <v>49</v>
      </c>
      <c r="H164">
        <v>29.52</v>
      </c>
      <c r="I164">
        <v>1446.48</v>
      </c>
      <c r="J164">
        <v>104.7</v>
      </c>
      <c r="K164">
        <v>361.78</v>
      </c>
      <c r="L164" t="s">
        <v>48</v>
      </c>
      <c r="M164" t="s">
        <v>41</v>
      </c>
      <c r="N164" t="s">
        <v>98</v>
      </c>
    </row>
    <row r="165" spans="1:14" x14ac:dyDescent="0.3">
      <c r="A165" t="s">
        <v>463</v>
      </c>
      <c r="B165" t="s">
        <v>1019</v>
      </c>
      <c r="C165" t="s">
        <v>465</v>
      </c>
      <c r="D165" t="s">
        <v>141</v>
      </c>
      <c r="E165" t="s">
        <v>63</v>
      </c>
      <c r="F165" t="s">
        <v>47</v>
      </c>
      <c r="G165">
        <v>10</v>
      </c>
      <c r="H165">
        <v>26.73</v>
      </c>
      <c r="I165">
        <v>267.3</v>
      </c>
      <c r="J165">
        <v>10.210000000000001</v>
      </c>
      <c r="K165">
        <v>57.09</v>
      </c>
      <c r="L165" t="s">
        <v>48</v>
      </c>
      <c r="M165" t="s">
        <v>41</v>
      </c>
      <c r="N165" t="s">
        <v>142</v>
      </c>
    </row>
    <row r="166" spans="1:14" x14ac:dyDescent="0.3">
      <c r="A166" t="s">
        <v>466</v>
      </c>
      <c r="B166" t="s">
        <v>1017</v>
      </c>
      <c r="C166" t="s">
        <v>85</v>
      </c>
      <c r="D166" t="s">
        <v>1004</v>
      </c>
      <c r="E166" t="s">
        <v>46</v>
      </c>
      <c r="F166" t="s">
        <v>47</v>
      </c>
      <c r="G166">
        <v>10</v>
      </c>
      <c r="H166">
        <v>54.45</v>
      </c>
      <c r="I166">
        <v>544.5</v>
      </c>
      <c r="J166">
        <v>16.59</v>
      </c>
      <c r="K166">
        <v>207.91</v>
      </c>
      <c r="L166" t="s">
        <v>24</v>
      </c>
      <c r="M166" t="s">
        <v>25</v>
      </c>
      <c r="N166" t="s">
        <v>35</v>
      </c>
    </row>
    <row r="167" spans="1:14" x14ac:dyDescent="0.3">
      <c r="A167" t="s">
        <v>468</v>
      </c>
      <c r="B167" t="s">
        <v>1011</v>
      </c>
      <c r="C167" t="s">
        <v>85</v>
      </c>
      <c r="D167" t="s">
        <v>70</v>
      </c>
      <c r="E167" t="s">
        <v>32</v>
      </c>
      <c r="F167" t="s">
        <v>23</v>
      </c>
      <c r="G167">
        <v>46</v>
      </c>
      <c r="H167">
        <v>30.06</v>
      </c>
      <c r="I167">
        <v>1382.76</v>
      </c>
      <c r="J167">
        <v>77.17</v>
      </c>
      <c r="K167">
        <v>477.59</v>
      </c>
      <c r="L167" t="s">
        <v>33</v>
      </c>
      <c r="M167" t="s">
        <v>34</v>
      </c>
      <c r="N167" t="s">
        <v>76</v>
      </c>
    </row>
    <row r="168" spans="1:14" x14ac:dyDescent="0.3">
      <c r="A168" t="s">
        <v>470</v>
      </c>
      <c r="B168" t="s">
        <v>1017</v>
      </c>
      <c r="C168" t="s">
        <v>471</v>
      </c>
      <c r="D168" t="s">
        <v>62</v>
      </c>
      <c r="E168" t="s">
        <v>81</v>
      </c>
      <c r="F168" t="s">
        <v>68</v>
      </c>
      <c r="G168">
        <v>25</v>
      </c>
      <c r="H168">
        <v>21.52</v>
      </c>
      <c r="I168">
        <v>538</v>
      </c>
      <c r="J168">
        <v>26.73</v>
      </c>
      <c r="K168">
        <v>123.77</v>
      </c>
      <c r="L168" t="s">
        <v>33</v>
      </c>
      <c r="M168" t="s">
        <v>25</v>
      </c>
      <c r="N168" t="s">
        <v>98</v>
      </c>
    </row>
    <row r="169" spans="1:14" x14ac:dyDescent="0.3">
      <c r="A169" t="s">
        <v>472</v>
      </c>
      <c r="B169" t="s">
        <v>1017</v>
      </c>
      <c r="C169" t="s">
        <v>334</v>
      </c>
      <c r="D169" t="s">
        <v>70</v>
      </c>
      <c r="E169" t="s">
        <v>32</v>
      </c>
      <c r="F169" t="s">
        <v>23</v>
      </c>
      <c r="G169">
        <v>5</v>
      </c>
      <c r="H169">
        <v>26.25</v>
      </c>
      <c r="I169">
        <v>131.25</v>
      </c>
      <c r="J169">
        <v>3.35</v>
      </c>
      <c r="K169">
        <v>37.9</v>
      </c>
      <c r="L169" t="s">
        <v>33</v>
      </c>
      <c r="M169" t="s">
        <v>34</v>
      </c>
      <c r="N169" t="s">
        <v>76</v>
      </c>
    </row>
    <row r="170" spans="1:14" x14ac:dyDescent="0.3">
      <c r="A170" t="s">
        <v>474</v>
      </c>
      <c r="B170" t="s">
        <v>1011</v>
      </c>
      <c r="C170" t="s">
        <v>475</v>
      </c>
      <c r="D170" t="s">
        <v>1004</v>
      </c>
      <c r="E170" t="s">
        <v>74</v>
      </c>
      <c r="F170" t="s">
        <v>75</v>
      </c>
      <c r="G170">
        <v>10</v>
      </c>
      <c r="H170">
        <v>31.48</v>
      </c>
      <c r="I170">
        <v>314.8</v>
      </c>
      <c r="J170">
        <v>10.23</v>
      </c>
      <c r="K170">
        <v>54.57</v>
      </c>
      <c r="L170" t="s">
        <v>48</v>
      </c>
      <c r="M170" t="s">
        <v>41</v>
      </c>
      <c r="N170" t="s">
        <v>35</v>
      </c>
    </row>
    <row r="171" spans="1:14" x14ac:dyDescent="0.3">
      <c r="A171" t="s">
        <v>476</v>
      </c>
      <c r="B171" t="s">
        <v>1014</v>
      </c>
      <c r="C171" t="s">
        <v>177</v>
      </c>
      <c r="D171" t="s">
        <v>45</v>
      </c>
      <c r="E171" t="s">
        <v>63</v>
      </c>
      <c r="F171" t="s">
        <v>47</v>
      </c>
      <c r="G171">
        <v>21</v>
      </c>
      <c r="H171">
        <v>30.91</v>
      </c>
      <c r="I171">
        <v>649.11</v>
      </c>
      <c r="J171">
        <v>38.42</v>
      </c>
      <c r="K171">
        <v>190.69</v>
      </c>
      <c r="L171" t="s">
        <v>33</v>
      </c>
      <c r="M171" t="s">
        <v>41</v>
      </c>
      <c r="N171" t="s">
        <v>49</v>
      </c>
    </row>
    <row r="172" spans="1:14" x14ac:dyDescent="0.3">
      <c r="A172" t="s">
        <v>478</v>
      </c>
      <c r="B172" t="s">
        <v>1012</v>
      </c>
      <c r="C172" t="s">
        <v>480</v>
      </c>
      <c r="D172" t="s">
        <v>116</v>
      </c>
      <c r="E172" t="s">
        <v>86</v>
      </c>
      <c r="F172" t="s">
        <v>47</v>
      </c>
      <c r="G172">
        <v>29</v>
      </c>
      <c r="H172">
        <v>18.47</v>
      </c>
      <c r="I172">
        <v>535.63</v>
      </c>
      <c r="J172">
        <v>13.21</v>
      </c>
      <c r="K172">
        <v>152.66999999999999</v>
      </c>
      <c r="L172" t="s">
        <v>24</v>
      </c>
      <c r="M172" t="s">
        <v>25</v>
      </c>
      <c r="N172" t="s">
        <v>76</v>
      </c>
    </row>
    <row r="173" spans="1:14" x14ac:dyDescent="0.3">
      <c r="A173" t="s">
        <v>481</v>
      </c>
      <c r="B173" t="s">
        <v>1022</v>
      </c>
      <c r="C173" t="s">
        <v>185</v>
      </c>
      <c r="D173" t="s">
        <v>62</v>
      </c>
      <c r="E173" t="s">
        <v>22</v>
      </c>
      <c r="F173" t="s">
        <v>23</v>
      </c>
      <c r="G173">
        <v>36</v>
      </c>
      <c r="H173">
        <v>44.79</v>
      </c>
      <c r="I173">
        <v>1612.44</v>
      </c>
      <c r="J173">
        <v>68.599999999999994</v>
      </c>
      <c r="K173">
        <v>283.83999999999997</v>
      </c>
      <c r="L173" t="s">
        <v>48</v>
      </c>
      <c r="M173" t="s">
        <v>34</v>
      </c>
      <c r="N173" t="s">
        <v>98</v>
      </c>
    </row>
    <row r="174" spans="1:14" x14ac:dyDescent="0.3">
      <c r="A174" t="s">
        <v>483</v>
      </c>
      <c r="B174" t="s">
        <v>1009</v>
      </c>
      <c r="C174" t="s">
        <v>485</v>
      </c>
      <c r="D174" t="s">
        <v>45</v>
      </c>
      <c r="E174" t="s">
        <v>81</v>
      </c>
      <c r="F174" t="s">
        <v>68</v>
      </c>
      <c r="G174">
        <v>3</v>
      </c>
      <c r="H174">
        <v>18.86</v>
      </c>
      <c r="I174">
        <v>56.58</v>
      </c>
      <c r="J174">
        <v>2.61</v>
      </c>
      <c r="K174">
        <v>7.47</v>
      </c>
      <c r="L174" t="s">
        <v>33</v>
      </c>
      <c r="M174" t="s">
        <v>41</v>
      </c>
      <c r="N174" t="s">
        <v>49</v>
      </c>
    </row>
    <row r="175" spans="1:14" x14ac:dyDescent="0.3">
      <c r="A175" t="s">
        <v>486</v>
      </c>
      <c r="B175" t="s">
        <v>1022</v>
      </c>
      <c r="C175" t="s">
        <v>66</v>
      </c>
      <c r="D175" t="s">
        <v>51</v>
      </c>
      <c r="E175" t="s">
        <v>137</v>
      </c>
      <c r="F175" t="s">
        <v>68</v>
      </c>
      <c r="G175">
        <v>10</v>
      </c>
      <c r="H175">
        <v>45.86</v>
      </c>
      <c r="I175">
        <v>458.6</v>
      </c>
      <c r="J175">
        <v>14.4</v>
      </c>
      <c r="K175">
        <v>164.2</v>
      </c>
      <c r="L175" t="s">
        <v>48</v>
      </c>
      <c r="M175" t="s">
        <v>25</v>
      </c>
      <c r="N175" t="s">
        <v>76</v>
      </c>
    </row>
    <row r="176" spans="1:14" x14ac:dyDescent="0.3">
      <c r="A176" t="s">
        <v>487</v>
      </c>
      <c r="B176" t="s">
        <v>1017</v>
      </c>
      <c r="C176" t="s">
        <v>485</v>
      </c>
      <c r="D176" t="s">
        <v>37</v>
      </c>
      <c r="E176" t="s">
        <v>32</v>
      </c>
      <c r="F176" t="s">
        <v>23</v>
      </c>
      <c r="G176">
        <v>1</v>
      </c>
      <c r="H176">
        <v>24.64</v>
      </c>
      <c r="I176">
        <v>24.64</v>
      </c>
      <c r="J176">
        <v>0.65</v>
      </c>
      <c r="K176">
        <v>5.99</v>
      </c>
      <c r="L176" t="s">
        <v>48</v>
      </c>
      <c r="M176" t="s">
        <v>34</v>
      </c>
      <c r="N176" t="s">
        <v>35</v>
      </c>
    </row>
    <row r="177" spans="1:14" x14ac:dyDescent="0.3">
      <c r="A177" t="s">
        <v>489</v>
      </c>
      <c r="B177" t="s">
        <v>1019</v>
      </c>
      <c r="C177" t="s">
        <v>246</v>
      </c>
      <c r="D177" t="s">
        <v>37</v>
      </c>
      <c r="E177" t="s">
        <v>81</v>
      </c>
      <c r="F177" t="s">
        <v>68</v>
      </c>
      <c r="G177">
        <v>49</v>
      </c>
      <c r="H177">
        <v>22.8</v>
      </c>
      <c r="I177">
        <v>1117.2</v>
      </c>
      <c r="J177">
        <v>51.06</v>
      </c>
      <c r="K177">
        <v>306.64</v>
      </c>
      <c r="L177" t="s">
        <v>24</v>
      </c>
      <c r="M177" t="s">
        <v>34</v>
      </c>
      <c r="N177" t="s">
        <v>35</v>
      </c>
    </row>
    <row r="178" spans="1:14" x14ac:dyDescent="0.3">
      <c r="A178" t="s">
        <v>490</v>
      </c>
      <c r="B178" t="s">
        <v>1010</v>
      </c>
      <c r="C178" t="s">
        <v>307</v>
      </c>
      <c r="D178" t="s">
        <v>62</v>
      </c>
      <c r="E178" t="s">
        <v>22</v>
      </c>
      <c r="F178" t="s">
        <v>23</v>
      </c>
      <c r="G178">
        <v>32</v>
      </c>
      <c r="H178">
        <v>44.5</v>
      </c>
      <c r="I178">
        <v>1424</v>
      </c>
      <c r="J178">
        <v>43.92</v>
      </c>
      <c r="K178">
        <v>260.08</v>
      </c>
      <c r="L178" t="s">
        <v>48</v>
      </c>
      <c r="M178" t="s">
        <v>34</v>
      </c>
      <c r="N178" t="s">
        <v>98</v>
      </c>
    </row>
    <row r="179" spans="1:14" x14ac:dyDescent="0.3">
      <c r="A179" t="s">
        <v>492</v>
      </c>
      <c r="B179" t="s">
        <v>1014</v>
      </c>
      <c r="C179" t="s">
        <v>331</v>
      </c>
      <c r="D179" t="s">
        <v>45</v>
      </c>
      <c r="E179" t="s">
        <v>22</v>
      </c>
      <c r="F179" t="s">
        <v>23</v>
      </c>
      <c r="G179">
        <v>43</v>
      </c>
      <c r="H179">
        <v>55.74</v>
      </c>
      <c r="I179">
        <v>2396.8200000000002</v>
      </c>
      <c r="J179">
        <v>63.85</v>
      </c>
      <c r="K179">
        <v>827.97</v>
      </c>
      <c r="L179" t="s">
        <v>33</v>
      </c>
      <c r="M179" t="s">
        <v>41</v>
      </c>
      <c r="N179" t="s">
        <v>49</v>
      </c>
    </row>
    <row r="180" spans="1:14" x14ac:dyDescent="0.3">
      <c r="A180" t="s">
        <v>494</v>
      </c>
      <c r="B180" t="s">
        <v>1010</v>
      </c>
      <c r="C180" t="s">
        <v>170</v>
      </c>
      <c r="D180" t="s">
        <v>116</v>
      </c>
      <c r="E180" t="s">
        <v>81</v>
      </c>
      <c r="F180" t="s">
        <v>68</v>
      </c>
      <c r="G180">
        <v>19</v>
      </c>
      <c r="H180">
        <v>25.78</v>
      </c>
      <c r="I180">
        <v>489.82</v>
      </c>
      <c r="J180">
        <v>28.4</v>
      </c>
      <c r="K180">
        <v>166.92</v>
      </c>
      <c r="L180" t="s">
        <v>48</v>
      </c>
      <c r="M180" t="s">
        <v>34</v>
      </c>
      <c r="N180" t="s">
        <v>76</v>
      </c>
    </row>
    <row r="181" spans="1:14" x14ac:dyDescent="0.3">
      <c r="A181" t="s">
        <v>496</v>
      </c>
      <c r="B181" t="s">
        <v>1017</v>
      </c>
      <c r="C181" t="s">
        <v>391</v>
      </c>
      <c r="D181" t="s">
        <v>62</v>
      </c>
      <c r="E181" t="s">
        <v>32</v>
      </c>
      <c r="F181" t="s">
        <v>23</v>
      </c>
      <c r="G181">
        <v>43</v>
      </c>
      <c r="H181">
        <v>30.43</v>
      </c>
      <c r="I181">
        <v>1308.49</v>
      </c>
      <c r="J181">
        <v>35.340000000000003</v>
      </c>
      <c r="K181">
        <v>499.15</v>
      </c>
      <c r="L181" t="s">
        <v>33</v>
      </c>
      <c r="M181" t="s">
        <v>34</v>
      </c>
      <c r="N181" t="s">
        <v>98</v>
      </c>
    </row>
    <row r="182" spans="1:14" x14ac:dyDescent="0.3">
      <c r="A182" t="s">
        <v>498</v>
      </c>
      <c r="B182" t="s">
        <v>1016</v>
      </c>
      <c r="C182" t="s">
        <v>499</v>
      </c>
      <c r="D182" t="s">
        <v>171</v>
      </c>
      <c r="E182" t="s">
        <v>81</v>
      </c>
      <c r="F182" t="s">
        <v>68</v>
      </c>
      <c r="G182">
        <v>17</v>
      </c>
      <c r="H182">
        <v>18.71</v>
      </c>
      <c r="I182">
        <v>318.07</v>
      </c>
      <c r="J182">
        <v>22.03</v>
      </c>
      <c r="K182">
        <v>32.54</v>
      </c>
      <c r="L182" t="s">
        <v>48</v>
      </c>
      <c r="M182" t="s">
        <v>25</v>
      </c>
      <c r="N182" t="s">
        <v>35</v>
      </c>
    </row>
    <row r="183" spans="1:14" x14ac:dyDescent="0.3">
      <c r="A183" t="s">
        <v>500</v>
      </c>
      <c r="B183" t="s">
        <v>1018</v>
      </c>
      <c r="C183" t="s">
        <v>54</v>
      </c>
      <c r="D183" t="s">
        <v>51</v>
      </c>
      <c r="E183" t="s">
        <v>81</v>
      </c>
      <c r="F183" t="s">
        <v>68</v>
      </c>
      <c r="G183">
        <v>44</v>
      </c>
      <c r="H183">
        <v>23.87</v>
      </c>
      <c r="I183">
        <v>1050.28</v>
      </c>
      <c r="J183">
        <v>33.51</v>
      </c>
      <c r="K183">
        <v>334.77</v>
      </c>
      <c r="L183" t="s">
        <v>24</v>
      </c>
      <c r="M183" t="s">
        <v>34</v>
      </c>
      <c r="N183" t="s">
        <v>76</v>
      </c>
    </row>
    <row r="184" spans="1:14" x14ac:dyDescent="0.3">
      <c r="A184" t="s">
        <v>501</v>
      </c>
      <c r="B184" t="s">
        <v>1013</v>
      </c>
      <c r="C184" t="s">
        <v>194</v>
      </c>
      <c r="D184" t="s">
        <v>206</v>
      </c>
      <c r="E184" t="s">
        <v>46</v>
      </c>
      <c r="F184" t="s">
        <v>47</v>
      </c>
      <c r="G184">
        <v>12</v>
      </c>
      <c r="H184">
        <v>42.91</v>
      </c>
      <c r="I184">
        <v>514.91999999999996</v>
      </c>
      <c r="J184">
        <v>15.18</v>
      </c>
      <c r="K184">
        <v>115.74</v>
      </c>
      <c r="L184" t="s">
        <v>48</v>
      </c>
      <c r="M184" t="s">
        <v>41</v>
      </c>
      <c r="N184" t="s">
        <v>207</v>
      </c>
    </row>
    <row r="185" spans="1:14" x14ac:dyDescent="0.3">
      <c r="A185" t="s">
        <v>503</v>
      </c>
      <c r="B185" t="s">
        <v>1022</v>
      </c>
      <c r="C185" t="s">
        <v>505</v>
      </c>
      <c r="D185" t="s">
        <v>70</v>
      </c>
      <c r="E185" t="s">
        <v>56</v>
      </c>
      <c r="F185" t="s">
        <v>57</v>
      </c>
      <c r="G185">
        <v>21</v>
      </c>
      <c r="H185">
        <v>50.49</v>
      </c>
      <c r="I185">
        <v>1060.29</v>
      </c>
      <c r="J185">
        <v>32.340000000000003</v>
      </c>
      <c r="K185">
        <v>187.95</v>
      </c>
      <c r="L185" t="s">
        <v>48</v>
      </c>
      <c r="M185" t="s">
        <v>25</v>
      </c>
      <c r="N185" t="s">
        <v>76</v>
      </c>
    </row>
    <row r="186" spans="1:14" x14ac:dyDescent="0.3">
      <c r="A186" t="s">
        <v>506</v>
      </c>
      <c r="B186" t="s">
        <v>1016</v>
      </c>
      <c r="C186" t="s">
        <v>307</v>
      </c>
      <c r="D186" t="s">
        <v>37</v>
      </c>
      <c r="E186" t="s">
        <v>22</v>
      </c>
      <c r="F186" t="s">
        <v>23</v>
      </c>
      <c r="G186">
        <v>41</v>
      </c>
      <c r="H186">
        <v>43.18</v>
      </c>
      <c r="I186">
        <v>1770.38</v>
      </c>
      <c r="J186">
        <v>128.4</v>
      </c>
      <c r="K186">
        <v>206.98</v>
      </c>
      <c r="L186" t="s">
        <v>33</v>
      </c>
      <c r="M186" t="s">
        <v>41</v>
      </c>
      <c r="N186" t="s">
        <v>35</v>
      </c>
    </row>
    <row r="187" spans="1:14" x14ac:dyDescent="0.3">
      <c r="A187" t="s">
        <v>507</v>
      </c>
      <c r="B187" t="s">
        <v>1018</v>
      </c>
      <c r="C187" t="s">
        <v>162</v>
      </c>
      <c r="D187" t="s">
        <v>206</v>
      </c>
      <c r="E187" t="s">
        <v>86</v>
      </c>
      <c r="F187" t="s">
        <v>47</v>
      </c>
      <c r="G187">
        <v>37</v>
      </c>
      <c r="H187">
        <v>19.8</v>
      </c>
      <c r="I187">
        <v>732.6</v>
      </c>
      <c r="J187">
        <v>54.68</v>
      </c>
      <c r="K187">
        <v>206.17</v>
      </c>
      <c r="L187" t="s">
        <v>24</v>
      </c>
      <c r="M187" t="s">
        <v>34</v>
      </c>
      <c r="N187" t="s">
        <v>207</v>
      </c>
    </row>
    <row r="188" spans="1:14" x14ac:dyDescent="0.3">
      <c r="A188" t="s">
        <v>509</v>
      </c>
      <c r="B188" t="s">
        <v>1018</v>
      </c>
      <c r="C188" t="s">
        <v>511</v>
      </c>
      <c r="D188" t="s">
        <v>62</v>
      </c>
      <c r="E188" t="s">
        <v>86</v>
      </c>
      <c r="F188" t="s">
        <v>47</v>
      </c>
      <c r="G188">
        <v>4</v>
      </c>
      <c r="H188">
        <v>18.059999999999999</v>
      </c>
      <c r="I188">
        <v>72.239999999999995</v>
      </c>
      <c r="J188">
        <v>4.66</v>
      </c>
      <c r="K188">
        <v>16.579999999999998</v>
      </c>
      <c r="L188" t="s">
        <v>24</v>
      </c>
      <c r="M188" t="s">
        <v>25</v>
      </c>
      <c r="N188" t="s">
        <v>98</v>
      </c>
    </row>
    <row r="189" spans="1:14" x14ac:dyDescent="0.3">
      <c r="A189" t="s">
        <v>512</v>
      </c>
      <c r="B189" t="s">
        <v>1016</v>
      </c>
      <c r="C189" t="s">
        <v>391</v>
      </c>
      <c r="D189" t="s">
        <v>1003</v>
      </c>
      <c r="E189" t="s">
        <v>22</v>
      </c>
      <c r="F189" t="s">
        <v>23</v>
      </c>
      <c r="G189">
        <v>40</v>
      </c>
      <c r="H189">
        <v>55.59</v>
      </c>
      <c r="I189">
        <v>2223.6</v>
      </c>
      <c r="J189">
        <v>74.569999999999993</v>
      </c>
      <c r="K189">
        <v>749.03</v>
      </c>
      <c r="L189" t="s">
        <v>24</v>
      </c>
      <c r="M189" t="s">
        <v>25</v>
      </c>
      <c r="N189" t="s">
        <v>98</v>
      </c>
    </row>
    <row r="190" spans="1:14" x14ac:dyDescent="0.3">
      <c r="A190" t="s">
        <v>513</v>
      </c>
      <c r="B190" t="s">
        <v>1015</v>
      </c>
      <c r="C190" t="s">
        <v>20</v>
      </c>
      <c r="D190" t="s">
        <v>127</v>
      </c>
      <c r="E190" t="s">
        <v>74</v>
      </c>
      <c r="F190" t="s">
        <v>75</v>
      </c>
      <c r="G190">
        <v>5</v>
      </c>
      <c r="H190">
        <v>31.58</v>
      </c>
      <c r="I190">
        <v>157.9</v>
      </c>
      <c r="J190">
        <v>3.73</v>
      </c>
      <c r="K190">
        <v>29.17</v>
      </c>
      <c r="L190" t="s">
        <v>24</v>
      </c>
      <c r="M190" t="s">
        <v>34</v>
      </c>
      <c r="N190" t="s">
        <v>76</v>
      </c>
    </row>
    <row r="191" spans="1:14" x14ac:dyDescent="0.3">
      <c r="A191" t="s">
        <v>514</v>
      </c>
      <c r="B191" t="s">
        <v>1009</v>
      </c>
      <c r="C191" t="s">
        <v>188</v>
      </c>
      <c r="D191" t="s">
        <v>55</v>
      </c>
      <c r="E191" t="s">
        <v>32</v>
      </c>
      <c r="F191" t="s">
        <v>23</v>
      </c>
      <c r="G191">
        <v>50</v>
      </c>
      <c r="H191">
        <v>26.67</v>
      </c>
      <c r="I191">
        <v>1333.5</v>
      </c>
      <c r="J191">
        <v>80.150000000000006</v>
      </c>
      <c r="K191">
        <v>353.35</v>
      </c>
      <c r="L191" t="s">
        <v>48</v>
      </c>
      <c r="M191" t="s">
        <v>25</v>
      </c>
      <c r="N191" t="s">
        <v>98</v>
      </c>
    </row>
    <row r="192" spans="1:14" x14ac:dyDescent="0.3">
      <c r="A192" t="s">
        <v>516</v>
      </c>
      <c r="B192" t="s">
        <v>1018</v>
      </c>
      <c r="C192" t="s">
        <v>352</v>
      </c>
      <c r="D192" t="s">
        <v>116</v>
      </c>
      <c r="E192" t="s">
        <v>81</v>
      </c>
      <c r="F192" t="s">
        <v>68</v>
      </c>
      <c r="G192">
        <v>17</v>
      </c>
      <c r="H192">
        <v>20.68</v>
      </c>
      <c r="I192">
        <v>351.56</v>
      </c>
      <c r="J192">
        <v>18.47</v>
      </c>
      <c r="K192">
        <v>69.59</v>
      </c>
      <c r="L192" t="s">
        <v>48</v>
      </c>
      <c r="M192" t="s">
        <v>34</v>
      </c>
      <c r="N192" t="s">
        <v>76</v>
      </c>
    </row>
    <row r="193" spans="1:14" x14ac:dyDescent="0.3">
      <c r="A193" t="s">
        <v>518</v>
      </c>
      <c r="B193" t="s">
        <v>1015</v>
      </c>
      <c r="C193" t="s">
        <v>440</v>
      </c>
      <c r="D193" t="s">
        <v>141</v>
      </c>
      <c r="E193" t="s">
        <v>22</v>
      </c>
      <c r="F193" t="s">
        <v>23</v>
      </c>
      <c r="G193">
        <v>29</v>
      </c>
      <c r="H193">
        <v>55.19</v>
      </c>
      <c r="I193">
        <v>1600.51</v>
      </c>
      <c r="J193">
        <v>103.06</v>
      </c>
      <c r="K193">
        <v>482.45</v>
      </c>
      <c r="L193" t="s">
        <v>24</v>
      </c>
      <c r="M193" t="s">
        <v>41</v>
      </c>
      <c r="N193" t="s">
        <v>142</v>
      </c>
    </row>
    <row r="194" spans="1:14" x14ac:dyDescent="0.3">
      <c r="A194" t="s">
        <v>519</v>
      </c>
      <c r="B194" t="s">
        <v>1009</v>
      </c>
      <c r="C194" t="s">
        <v>521</v>
      </c>
      <c r="D194" t="s">
        <v>116</v>
      </c>
      <c r="E194" t="s">
        <v>22</v>
      </c>
      <c r="F194" t="s">
        <v>23</v>
      </c>
      <c r="G194">
        <v>34</v>
      </c>
      <c r="H194">
        <v>61.62</v>
      </c>
      <c r="I194">
        <v>2095.08</v>
      </c>
      <c r="J194">
        <v>80.13</v>
      </c>
      <c r="K194">
        <v>824.95</v>
      </c>
      <c r="L194" t="s">
        <v>33</v>
      </c>
      <c r="M194" t="s">
        <v>25</v>
      </c>
      <c r="N194" t="s">
        <v>76</v>
      </c>
    </row>
    <row r="195" spans="1:14" x14ac:dyDescent="0.3">
      <c r="A195" t="s">
        <v>522</v>
      </c>
      <c r="B195" t="s">
        <v>1022</v>
      </c>
      <c r="C195" t="s">
        <v>277</v>
      </c>
      <c r="D195" t="s">
        <v>62</v>
      </c>
      <c r="E195" t="s">
        <v>67</v>
      </c>
      <c r="F195" t="s">
        <v>68</v>
      </c>
      <c r="G195">
        <v>10</v>
      </c>
      <c r="H195">
        <v>40.03</v>
      </c>
      <c r="I195">
        <v>400.3</v>
      </c>
      <c r="J195">
        <v>25.8</v>
      </c>
      <c r="K195">
        <v>149.5</v>
      </c>
      <c r="L195" t="s">
        <v>48</v>
      </c>
      <c r="M195" t="s">
        <v>25</v>
      </c>
      <c r="N195" t="s">
        <v>98</v>
      </c>
    </row>
    <row r="196" spans="1:14" x14ac:dyDescent="0.3">
      <c r="A196" t="s">
        <v>523</v>
      </c>
      <c r="B196" t="s">
        <v>1020</v>
      </c>
      <c r="C196" t="s">
        <v>134</v>
      </c>
      <c r="D196" t="s">
        <v>1005</v>
      </c>
      <c r="E196" t="s">
        <v>63</v>
      </c>
      <c r="F196" t="s">
        <v>47</v>
      </c>
      <c r="G196">
        <v>23</v>
      </c>
      <c r="H196">
        <v>31.3</v>
      </c>
      <c r="I196">
        <v>719.9</v>
      </c>
      <c r="J196">
        <v>47.88</v>
      </c>
      <c r="K196">
        <v>212.02</v>
      </c>
      <c r="L196" t="s">
        <v>33</v>
      </c>
      <c r="M196" t="s">
        <v>34</v>
      </c>
      <c r="N196" t="s">
        <v>76</v>
      </c>
    </row>
    <row r="197" spans="1:14" x14ac:dyDescent="0.3">
      <c r="A197" t="s">
        <v>525</v>
      </c>
      <c r="B197" t="s">
        <v>1012</v>
      </c>
      <c r="C197" t="s">
        <v>148</v>
      </c>
      <c r="D197" t="s">
        <v>62</v>
      </c>
      <c r="E197" t="s">
        <v>22</v>
      </c>
      <c r="F197" t="s">
        <v>23</v>
      </c>
      <c r="G197">
        <v>37</v>
      </c>
      <c r="H197">
        <v>50.39</v>
      </c>
      <c r="I197">
        <v>1864.43</v>
      </c>
      <c r="J197">
        <v>60.06</v>
      </c>
      <c r="K197">
        <v>509.37</v>
      </c>
      <c r="L197" t="s">
        <v>33</v>
      </c>
      <c r="M197" t="s">
        <v>34</v>
      </c>
      <c r="N197" t="s">
        <v>98</v>
      </c>
    </row>
    <row r="198" spans="1:14" x14ac:dyDescent="0.3">
      <c r="A198" t="s">
        <v>526</v>
      </c>
      <c r="B198" t="s">
        <v>1016</v>
      </c>
      <c r="C198" t="s">
        <v>442</v>
      </c>
      <c r="D198" t="s">
        <v>1003</v>
      </c>
      <c r="E198" t="s">
        <v>86</v>
      </c>
      <c r="F198" t="s">
        <v>47</v>
      </c>
      <c r="G198">
        <v>38</v>
      </c>
      <c r="H198">
        <v>16.97</v>
      </c>
      <c r="I198">
        <v>644.86</v>
      </c>
      <c r="J198">
        <v>40</v>
      </c>
      <c r="K198">
        <v>120.36</v>
      </c>
      <c r="L198" t="s">
        <v>48</v>
      </c>
      <c r="M198" t="s">
        <v>25</v>
      </c>
      <c r="N198" t="s">
        <v>98</v>
      </c>
    </row>
    <row r="199" spans="1:14" x14ac:dyDescent="0.3">
      <c r="A199" t="s">
        <v>528</v>
      </c>
      <c r="B199" t="s">
        <v>1019</v>
      </c>
      <c r="C199" t="s">
        <v>328</v>
      </c>
      <c r="D199" t="s">
        <v>141</v>
      </c>
      <c r="E199" t="s">
        <v>63</v>
      </c>
      <c r="F199" t="s">
        <v>47</v>
      </c>
      <c r="G199">
        <v>2</v>
      </c>
      <c r="H199">
        <v>35.92</v>
      </c>
      <c r="I199">
        <v>71.84</v>
      </c>
      <c r="J199">
        <v>2.34</v>
      </c>
      <c r="K199">
        <v>29.5</v>
      </c>
      <c r="L199" t="s">
        <v>48</v>
      </c>
      <c r="M199" t="s">
        <v>34</v>
      </c>
      <c r="N199" t="s">
        <v>142</v>
      </c>
    </row>
    <row r="200" spans="1:14" x14ac:dyDescent="0.3">
      <c r="A200" t="s">
        <v>529</v>
      </c>
      <c r="B200" t="s">
        <v>1021</v>
      </c>
      <c r="C200" t="s">
        <v>85</v>
      </c>
      <c r="D200" t="s">
        <v>45</v>
      </c>
      <c r="E200" t="s">
        <v>63</v>
      </c>
      <c r="F200" t="s">
        <v>47</v>
      </c>
      <c r="G200">
        <v>48</v>
      </c>
      <c r="H200">
        <v>31.87</v>
      </c>
      <c r="I200">
        <v>1529.76</v>
      </c>
      <c r="J200">
        <v>89.85</v>
      </c>
      <c r="K200">
        <v>479.91</v>
      </c>
      <c r="L200" t="s">
        <v>48</v>
      </c>
      <c r="M200" t="s">
        <v>25</v>
      </c>
      <c r="N200" t="s">
        <v>49</v>
      </c>
    </row>
    <row r="201" spans="1:14" x14ac:dyDescent="0.3">
      <c r="A201" t="s">
        <v>531</v>
      </c>
      <c r="B201" t="s">
        <v>1016</v>
      </c>
      <c r="C201" t="s">
        <v>352</v>
      </c>
      <c r="D201" t="s">
        <v>206</v>
      </c>
      <c r="E201" t="s">
        <v>56</v>
      </c>
      <c r="F201" t="s">
        <v>57</v>
      </c>
      <c r="G201">
        <v>46</v>
      </c>
      <c r="H201">
        <v>70</v>
      </c>
      <c r="I201">
        <v>3220</v>
      </c>
      <c r="J201">
        <v>160.11000000000001</v>
      </c>
      <c r="K201">
        <v>1219.8900000000001</v>
      </c>
      <c r="L201" t="s">
        <v>33</v>
      </c>
      <c r="M201" t="s">
        <v>34</v>
      </c>
      <c r="N201" t="s">
        <v>207</v>
      </c>
    </row>
    <row r="202" spans="1:14" x14ac:dyDescent="0.3">
      <c r="A202" t="s">
        <v>533</v>
      </c>
      <c r="B202" t="s">
        <v>1015</v>
      </c>
      <c r="C202" t="s">
        <v>480</v>
      </c>
      <c r="D202" t="s">
        <v>116</v>
      </c>
      <c r="E202" t="s">
        <v>22</v>
      </c>
      <c r="F202" t="s">
        <v>23</v>
      </c>
      <c r="G202">
        <v>45</v>
      </c>
      <c r="H202">
        <v>57.7</v>
      </c>
      <c r="I202">
        <v>2596.5</v>
      </c>
      <c r="J202">
        <v>102.52</v>
      </c>
      <c r="K202">
        <v>918.98</v>
      </c>
      <c r="L202" t="s">
        <v>33</v>
      </c>
      <c r="M202" t="s">
        <v>25</v>
      </c>
      <c r="N202" t="s">
        <v>76</v>
      </c>
    </row>
    <row r="203" spans="1:14" x14ac:dyDescent="0.3">
      <c r="A203" t="s">
        <v>535</v>
      </c>
      <c r="B203" t="s">
        <v>1012</v>
      </c>
      <c r="C203" t="s">
        <v>191</v>
      </c>
      <c r="D203" t="s">
        <v>127</v>
      </c>
      <c r="E203" t="s">
        <v>86</v>
      </c>
      <c r="F203" t="s">
        <v>47</v>
      </c>
      <c r="G203">
        <v>23</v>
      </c>
      <c r="H203">
        <v>20.23</v>
      </c>
      <c r="I203">
        <v>465.29</v>
      </c>
      <c r="J203">
        <v>17.29</v>
      </c>
      <c r="K203">
        <v>154.75</v>
      </c>
      <c r="L203" t="s">
        <v>48</v>
      </c>
      <c r="M203" t="s">
        <v>25</v>
      </c>
      <c r="N203" t="s">
        <v>76</v>
      </c>
    </row>
    <row r="204" spans="1:14" x14ac:dyDescent="0.3">
      <c r="A204" t="s">
        <v>537</v>
      </c>
      <c r="B204" t="s">
        <v>1015</v>
      </c>
      <c r="C204" t="s">
        <v>194</v>
      </c>
      <c r="D204" t="s">
        <v>37</v>
      </c>
      <c r="E204" t="s">
        <v>32</v>
      </c>
      <c r="F204" t="s">
        <v>23</v>
      </c>
      <c r="G204">
        <v>10</v>
      </c>
      <c r="H204">
        <v>22.96</v>
      </c>
      <c r="I204">
        <v>229.6</v>
      </c>
      <c r="J204">
        <v>18.260000000000002</v>
      </c>
      <c r="K204">
        <v>31.34</v>
      </c>
      <c r="L204" t="s">
        <v>24</v>
      </c>
      <c r="M204" t="s">
        <v>41</v>
      </c>
      <c r="N204" t="s">
        <v>35</v>
      </c>
    </row>
    <row r="205" spans="1:14" x14ac:dyDescent="0.3">
      <c r="A205" t="s">
        <v>538</v>
      </c>
      <c r="B205" t="s">
        <v>1014</v>
      </c>
      <c r="C205" t="s">
        <v>539</v>
      </c>
      <c r="D205" t="s">
        <v>45</v>
      </c>
      <c r="E205" t="s">
        <v>22</v>
      </c>
      <c r="F205" t="s">
        <v>23</v>
      </c>
      <c r="G205">
        <v>40</v>
      </c>
      <c r="H205">
        <v>54.84</v>
      </c>
      <c r="I205">
        <v>2193.6</v>
      </c>
      <c r="J205">
        <v>89.26</v>
      </c>
      <c r="K205">
        <v>704.34</v>
      </c>
      <c r="L205" t="s">
        <v>33</v>
      </c>
      <c r="M205" t="s">
        <v>25</v>
      </c>
      <c r="N205" t="s">
        <v>49</v>
      </c>
    </row>
    <row r="206" spans="1:14" x14ac:dyDescent="0.3">
      <c r="A206" t="s">
        <v>540</v>
      </c>
      <c r="B206" t="s">
        <v>1009</v>
      </c>
      <c r="C206" t="s">
        <v>266</v>
      </c>
      <c r="D206" t="s">
        <v>116</v>
      </c>
      <c r="E206" t="s">
        <v>74</v>
      </c>
      <c r="F206" t="s">
        <v>75</v>
      </c>
      <c r="G206">
        <v>7</v>
      </c>
      <c r="H206">
        <v>36.43</v>
      </c>
      <c r="I206">
        <v>255.01</v>
      </c>
      <c r="J206">
        <v>6.3</v>
      </c>
      <c r="K206">
        <v>73.709999999999994</v>
      </c>
      <c r="L206" t="s">
        <v>24</v>
      </c>
      <c r="M206" t="s">
        <v>34</v>
      </c>
      <c r="N206" t="s">
        <v>76</v>
      </c>
    </row>
    <row r="207" spans="1:14" x14ac:dyDescent="0.3">
      <c r="A207" t="s">
        <v>542</v>
      </c>
      <c r="B207" t="s">
        <v>1020</v>
      </c>
      <c r="C207" t="s">
        <v>328</v>
      </c>
      <c r="D207" t="s">
        <v>62</v>
      </c>
      <c r="E207" t="s">
        <v>86</v>
      </c>
      <c r="F207" t="s">
        <v>47</v>
      </c>
      <c r="G207">
        <v>39</v>
      </c>
      <c r="H207">
        <v>19.48</v>
      </c>
      <c r="I207">
        <v>759.72</v>
      </c>
      <c r="J207">
        <v>40.090000000000003</v>
      </c>
      <c r="K207">
        <v>222.38</v>
      </c>
      <c r="L207" t="s">
        <v>48</v>
      </c>
      <c r="M207" t="s">
        <v>34</v>
      </c>
      <c r="N207" t="s">
        <v>98</v>
      </c>
    </row>
    <row r="208" spans="1:14" x14ac:dyDescent="0.3">
      <c r="A208" t="s">
        <v>544</v>
      </c>
      <c r="B208" t="s">
        <v>1017</v>
      </c>
      <c r="C208" t="s">
        <v>428</v>
      </c>
      <c r="D208" t="s">
        <v>141</v>
      </c>
      <c r="E208" t="s">
        <v>67</v>
      </c>
      <c r="F208" t="s">
        <v>68</v>
      </c>
      <c r="G208">
        <v>35</v>
      </c>
      <c r="H208">
        <v>38.83</v>
      </c>
      <c r="I208">
        <v>1359.05</v>
      </c>
      <c r="J208">
        <v>93.92</v>
      </c>
      <c r="K208">
        <v>477.63</v>
      </c>
      <c r="L208" t="s">
        <v>48</v>
      </c>
      <c r="M208" t="s">
        <v>34</v>
      </c>
      <c r="N208" t="s">
        <v>142</v>
      </c>
    </row>
    <row r="209" spans="1:14" x14ac:dyDescent="0.3">
      <c r="A209" t="s">
        <v>545</v>
      </c>
      <c r="B209" t="s">
        <v>1010</v>
      </c>
      <c r="C209" t="s">
        <v>232</v>
      </c>
      <c r="D209" t="s">
        <v>51</v>
      </c>
      <c r="E209" t="s">
        <v>63</v>
      </c>
      <c r="F209" t="s">
        <v>47</v>
      </c>
      <c r="G209">
        <v>39</v>
      </c>
      <c r="H209">
        <v>32.76</v>
      </c>
      <c r="I209">
        <v>1277.6400000000001</v>
      </c>
      <c r="J209">
        <v>35.81</v>
      </c>
      <c r="K209">
        <v>461.83</v>
      </c>
      <c r="L209" t="s">
        <v>33</v>
      </c>
      <c r="M209" t="s">
        <v>41</v>
      </c>
      <c r="N209" t="s">
        <v>76</v>
      </c>
    </row>
    <row r="210" spans="1:14" x14ac:dyDescent="0.3">
      <c r="A210" t="s">
        <v>546</v>
      </c>
      <c r="B210" t="s">
        <v>1007</v>
      </c>
      <c r="C210" t="s">
        <v>301</v>
      </c>
      <c r="D210" t="s">
        <v>1003</v>
      </c>
      <c r="E210" t="s">
        <v>46</v>
      </c>
      <c r="F210" t="s">
        <v>47</v>
      </c>
      <c r="G210">
        <v>8</v>
      </c>
      <c r="H210">
        <v>39.869999999999997</v>
      </c>
      <c r="I210">
        <v>318.95999999999998</v>
      </c>
      <c r="J210">
        <v>15.95</v>
      </c>
      <c r="K210">
        <v>47.01</v>
      </c>
      <c r="L210" t="s">
        <v>48</v>
      </c>
      <c r="M210" t="s">
        <v>41</v>
      </c>
      <c r="N210" t="s">
        <v>98</v>
      </c>
    </row>
    <row r="211" spans="1:14" x14ac:dyDescent="0.3">
      <c r="A211" t="s">
        <v>548</v>
      </c>
      <c r="B211" t="s">
        <v>1015</v>
      </c>
      <c r="C211" t="s">
        <v>417</v>
      </c>
      <c r="D211" t="s">
        <v>1005</v>
      </c>
      <c r="E211" t="s">
        <v>56</v>
      </c>
      <c r="F211" t="s">
        <v>57</v>
      </c>
      <c r="G211">
        <v>10</v>
      </c>
      <c r="H211">
        <v>63.1</v>
      </c>
      <c r="I211">
        <v>631</v>
      </c>
      <c r="J211">
        <v>26.93</v>
      </c>
      <c r="K211">
        <v>204.07</v>
      </c>
      <c r="L211" t="s">
        <v>33</v>
      </c>
      <c r="M211" t="s">
        <v>34</v>
      </c>
      <c r="N211" t="s">
        <v>76</v>
      </c>
    </row>
    <row r="212" spans="1:14" x14ac:dyDescent="0.3">
      <c r="A212" t="s">
        <v>549</v>
      </c>
      <c r="B212" t="s">
        <v>1021</v>
      </c>
      <c r="C212" t="s">
        <v>162</v>
      </c>
      <c r="D212" t="s">
        <v>241</v>
      </c>
      <c r="E212" t="s">
        <v>46</v>
      </c>
      <c r="F212" t="s">
        <v>47</v>
      </c>
      <c r="G212">
        <v>3</v>
      </c>
      <c r="H212">
        <v>55.1</v>
      </c>
      <c r="I212">
        <v>165.3</v>
      </c>
      <c r="J212">
        <v>9.17</v>
      </c>
      <c r="K212">
        <v>60.13</v>
      </c>
      <c r="L212" t="s">
        <v>24</v>
      </c>
      <c r="M212" t="s">
        <v>25</v>
      </c>
      <c r="N212" t="s">
        <v>35</v>
      </c>
    </row>
    <row r="213" spans="1:14" x14ac:dyDescent="0.3">
      <c r="A213" t="s">
        <v>551</v>
      </c>
      <c r="B213" t="s">
        <v>1017</v>
      </c>
      <c r="C213" t="s">
        <v>119</v>
      </c>
      <c r="D213" t="s">
        <v>70</v>
      </c>
      <c r="E213" t="s">
        <v>81</v>
      </c>
      <c r="F213" t="s">
        <v>68</v>
      </c>
      <c r="G213">
        <v>26</v>
      </c>
      <c r="H213">
        <v>19.809999999999999</v>
      </c>
      <c r="I213">
        <v>515.05999999999995</v>
      </c>
      <c r="J213">
        <v>10.3</v>
      </c>
      <c r="K213">
        <v>101.76</v>
      </c>
      <c r="L213" t="s">
        <v>48</v>
      </c>
      <c r="M213" t="s">
        <v>34</v>
      </c>
      <c r="N213" t="s">
        <v>76</v>
      </c>
    </row>
    <row r="214" spans="1:14" x14ac:dyDescent="0.3">
      <c r="A214" t="s">
        <v>553</v>
      </c>
      <c r="B214" t="s">
        <v>1015</v>
      </c>
      <c r="C214" t="s">
        <v>174</v>
      </c>
      <c r="D214" t="s">
        <v>1005</v>
      </c>
      <c r="E214" t="s">
        <v>56</v>
      </c>
      <c r="F214" t="s">
        <v>57</v>
      </c>
      <c r="G214">
        <v>17</v>
      </c>
      <c r="H214">
        <v>53.34</v>
      </c>
      <c r="I214">
        <v>906.78</v>
      </c>
      <c r="J214">
        <v>30.6</v>
      </c>
      <c r="K214">
        <v>196.18</v>
      </c>
      <c r="L214" t="s">
        <v>24</v>
      </c>
      <c r="M214" t="s">
        <v>34</v>
      </c>
      <c r="N214" t="s">
        <v>76</v>
      </c>
    </row>
    <row r="215" spans="1:14" x14ac:dyDescent="0.3">
      <c r="A215" t="s">
        <v>555</v>
      </c>
      <c r="B215" t="s">
        <v>1019</v>
      </c>
      <c r="C215" t="s">
        <v>151</v>
      </c>
      <c r="D215" t="s">
        <v>51</v>
      </c>
      <c r="E215" t="s">
        <v>63</v>
      </c>
      <c r="F215" t="s">
        <v>47</v>
      </c>
      <c r="G215">
        <v>17</v>
      </c>
      <c r="H215">
        <v>28.23</v>
      </c>
      <c r="I215">
        <v>479.91</v>
      </c>
      <c r="J215">
        <v>31.88</v>
      </c>
      <c r="K215">
        <v>108.03</v>
      </c>
      <c r="L215" t="s">
        <v>33</v>
      </c>
      <c r="M215" t="s">
        <v>25</v>
      </c>
      <c r="N215" t="s">
        <v>76</v>
      </c>
    </row>
    <row r="216" spans="1:14" x14ac:dyDescent="0.3">
      <c r="A216" t="s">
        <v>557</v>
      </c>
      <c r="B216" t="s">
        <v>1018</v>
      </c>
      <c r="C216" t="s">
        <v>559</v>
      </c>
      <c r="D216" t="s">
        <v>241</v>
      </c>
      <c r="E216" t="s">
        <v>32</v>
      </c>
      <c r="F216" t="s">
        <v>23</v>
      </c>
      <c r="G216">
        <v>42</v>
      </c>
      <c r="H216">
        <v>25.26</v>
      </c>
      <c r="I216">
        <v>1060.92</v>
      </c>
      <c r="J216">
        <v>77.05</v>
      </c>
      <c r="K216">
        <v>227.87</v>
      </c>
      <c r="L216" t="s">
        <v>24</v>
      </c>
      <c r="M216" t="s">
        <v>41</v>
      </c>
      <c r="N216" t="s">
        <v>35</v>
      </c>
    </row>
    <row r="217" spans="1:14" x14ac:dyDescent="0.3">
      <c r="A217" t="s">
        <v>560</v>
      </c>
      <c r="B217" t="s">
        <v>1013</v>
      </c>
      <c r="C217" t="s">
        <v>238</v>
      </c>
      <c r="D217" t="s">
        <v>70</v>
      </c>
      <c r="E217" t="s">
        <v>32</v>
      </c>
      <c r="F217" t="s">
        <v>23</v>
      </c>
      <c r="G217">
        <v>2</v>
      </c>
      <c r="H217">
        <v>27.27</v>
      </c>
      <c r="I217">
        <v>54.54</v>
      </c>
      <c r="J217">
        <v>1.45</v>
      </c>
      <c r="K217">
        <v>17.09</v>
      </c>
      <c r="L217" t="s">
        <v>24</v>
      </c>
      <c r="M217" t="s">
        <v>41</v>
      </c>
      <c r="N217" t="s">
        <v>76</v>
      </c>
    </row>
    <row r="218" spans="1:14" x14ac:dyDescent="0.3">
      <c r="A218" t="s">
        <v>562</v>
      </c>
      <c r="B218" t="s">
        <v>1022</v>
      </c>
      <c r="C218" t="s">
        <v>369</v>
      </c>
      <c r="D218" t="s">
        <v>1005</v>
      </c>
      <c r="E218" t="s">
        <v>137</v>
      </c>
      <c r="F218" t="s">
        <v>68</v>
      </c>
      <c r="G218">
        <v>48</v>
      </c>
      <c r="H218">
        <v>44.95</v>
      </c>
      <c r="I218">
        <v>2157.6</v>
      </c>
      <c r="J218">
        <v>148.41</v>
      </c>
      <c r="K218">
        <v>665.19</v>
      </c>
      <c r="L218" t="s">
        <v>24</v>
      </c>
      <c r="M218" t="s">
        <v>25</v>
      </c>
      <c r="N218" t="s">
        <v>76</v>
      </c>
    </row>
    <row r="219" spans="1:14" x14ac:dyDescent="0.3">
      <c r="A219" t="s">
        <v>564</v>
      </c>
      <c r="B219" t="s">
        <v>1015</v>
      </c>
      <c r="C219" t="s">
        <v>559</v>
      </c>
      <c r="D219" t="s">
        <v>116</v>
      </c>
      <c r="E219" t="s">
        <v>63</v>
      </c>
      <c r="F219" t="s">
        <v>47</v>
      </c>
      <c r="G219">
        <v>23</v>
      </c>
      <c r="H219">
        <v>28.6</v>
      </c>
      <c r="I219">
        <v>657.8</v>
      </c>
      <c r="J219">
        <v>13.36</v>
      </c>
      <c r="K219">
        <v>184.44</v>
      </c>
      <c r="L219" t="s">
        <v>24</v>
      </c>
      <c r="M219" t="s">
        <v>41</v>
      </c>
      <c r="N219" t="s">
        <v>76</v>
      </c>
    </row>
    <row r="220" spans="1:14" x14ac:dyDescent="0.3">
      <c r="A220" t="s">
        <v>565</v>
      </c>
      <c r="B220" t="s">
        <v>1022</v>
      </c>
      <c r="C220" t="s">
        <v>174</v>
      </c>
      <c r="D220" t="s">
        <v>171</v>
      </c>
      <c r="E220" t="s">
        <v>81</v>
      </c>
      <c r="F220" t="s">
        <v>68</v>
      </c>
      <c r="G220">
        <v>18</v>
      </c>
      <c r="H220">
        <v>26.1</v>
      </c>
      <c r="I220">
        <v>469.8</v>
      </c>
      <c r="J220">
        <v>19.52</v>
      </c>
      <c r="K220">
        <v>171.28</v>
      </c>
      <c r="L220" t="s">
        <v>48</v>
      </c>
      <c r="M220" t="s">
        <v>25</v>
      </c>
      <c r="N220" t="s">
        <v>35</v>
      </c>
    </row>
    <row r="221" spans="1:14" x14ac:dyDescent="0.3">
      <c r="A221" t="s">
        <v>566</v>
      </c>
      <c r="B221" t="s">
        <v>1010</v>
      </c>
      <c r="C221" t="s">
        <v>568</v>
      </c>
      <c r="D221" t="s">
        <v>62</v>
      </c>
      <c r="E221" t="s">
        <v>137</v>
      </c>
      <c r="F221" t="s">
        <v>68</v>
      </c>
      <c r="G221">
        <v>21</v>
      </c>
      <c r="H221">
        <v>37.450000000000003</v>
      </c>
      <c r="I221">
        <v>786.45</v>
      </c>
      <c r="J221">
        <v>62.4</v>
      </c>
      <c r="K221">
        <v>136.05000000000001</v>
      </c>
      <c r="L221" t="s">
        <v>24</v>
      </c>
      <c r="M221" t="s">
        <v>41</v>
      </c>
      <c r="N221" t="s">
        <v>98</v>
      </c>
    </row>
    <row r="222" spans="1:14" x14ac:dyDescent="0.3">
      <c r="A222" t="s">
        <v>569</v>
      </c>
      <c r="B222" t="s">
        <v>1016</v>
      </c>
      <c r="C222" t="s">
        <v>511</v>
      </c>
      <c r="D222" t="s">
        <v>116</v>
      </c>
      <c r="E222" t="s">
        <v>63</v>
      </c>
      <c r="F222" t="s">
        <v>47</v>
      </c>
      <c r="G222">
        <v>25</v>
      </c>
      <c r="H222">
        <v>28.54</v>
      </c>
      <c r="I222">
        <v>713.5</v>
      </c>
      <c r="J222">
        <v>50.38</v>
      </c>
      <c r="K222">
        <v>163.12</v>
      </c>
      <c r="L222" t="s">
        <v>24</v>
      </c>
      <c r="M222" t="s">
        <v>25</v>
      </c>
      <c r="N222" t="s">
        <v>76</v>
      </c>
    </row>
    <row r="223" spans="1:14" x14ac:dyDescent="0.3">
      <c r="A223" t="s">
        <v>571</v>
      </c>
      <c r="B223" t="s">
        <v>1008</v>
      </c>
      <c r="C223" t="s">
        <v>182</v>
      </c>
      <c r="D223" t="s">
        <v>1003</v>
      </c>
      <c r="E223" t="s">
        <v>74</v>
      </c>
      <c r="F223" t="s">
        <v>75</v>
      </c>
      <c r="G223">
        <v>11</v>
      </c>
      <c r="H223">
        <v>38.07</v>
      </c>
      <c r="I223">
        <v>418.77</v>
      </c>
      <c r="J223">
        <v>29.02</v>
      </c>
      <c r="K223">
        <v>114.75</v>
      </c>
      <c r="L223" t="s">
        <v>33</v>
      </c>
      <c r="M223" t="s">
        <v>25</v>
      </c>
      <c r="N223" t="s">
        <v>98</v>
      </c>
    </row>
    <row r="224" spans="1:14" x14ac:dyDescent="0.3">
      <c r="A224" t="s">
        <v>572</v>
      </c>
      <c r="B224" t="s">
        <v>1010</v>
      </c>
      <c r="C224" t="s">
        <v>574</v>
      </c>
      <c r="D224" t="s">
        <v>55</v>
      </c>
      <c r="E224" t="s">
        <v>81</v>
      </c>
      <c r="F224" t="s">
        <v>68</v>
      </c>
      <c r="G224">
        <v>18</v>
      </c>
      <c r="H224">
        <v>19.32</v>
      </c>
      <c r="I224">
        <v>347.76</v>
      </c>
      <c r="J224">
        <v>21.34</v>
      </c>
      <c r="K224">
        <v>47.42</v>
      </c>
      <c r="L224" t="s">
        <v>33</v>
      </c>
      <c r="M224" t="s">
        <v>25</v>
      </c>
      <c r="N224" t="s">
        <v>98</v>
      </c>
    </row>
    <row r="225" spans="1:14" x14ac:dyDescent="0.3">
      <c r="A225" t="s">
        <v>575</v>
      </c>
      <c r="B225" t="s">
        <v>1011</v>
      </c>
      <c r="C225" t="s">
        <v>110</v>
      </c>
      <c r="D225" t="s">
        <v>1004</v>
      </c>
      <c r="E225" t="s">
        <v>137</v>
      </c>
      <c r="F225" t="s">
        <v>68</v>
      </c>
      <c r="G225">
        <v>42</v>
      </c>
      <c r="H225">
        <v>50.02</v>
      </c>
      <c r="I225">
        <v>2100.84</v>
      </c>
      <c r="J225">
        <v>89.65</v>
      </c>
      <c r="K225">
        <v>835.19</v>
      </c>
      <c r="L225" t="s">
        <v>33</v>
      </c>
      <c r="M225" t="s">
        <v>34</v>
      </c>
      <c r="N225" t="s">
        <v>35</v>
      </c>
    </row>
    <row r="226" spans="1:14" x14ac:dyDescent="0.3">
      <c r="A226" t="s">
        <v>576</v>
      </c>
      <c r="B226" t="s">
        <v>1007</v>
      </c>
      <c r="C226" t="s">
        <v>410</v>
      </c>
      <c r="D226" t="s">
        <v>206</v>
      </c>
      <c r="E226" t="s">
        <v>137</v>
      </c>
      <c r="F226" t="s">
        <v>68</v>
      </c>
      <c r="G226">
        <v>13</v>
      </c>
      <c r="H226">
        <v>49.39</v>
      </c>
      <c r="I226">
        <v>642.07000000000005</v>
      </c>
      <c r="J226">
        <v>38.32</v>
      </c>
      <c r="K226">
        <v>239.75</v>
      </c>
      <c r="L226" t="s">
        <v>33</v>
      </c>
      <c r="M226" t="s">
        <v>25</v>
      </c>
      <c r="N226" t="s">
        <v>207</v>
      </c>
    </row>
    <row r="227" spans="1:14" x14ac:dyDescent="0.3">
      <c r="A227" t="s">
        <v>578</v>
      </c>
      <c r="B227" t="s">
        <v>1012</v>
      </c>
      <c r="C227" t="s">
        <v>188</v>
      </c>
      <c r="D227" t="s">
        <v>1004</v>
      </c>
      <c r="E227" t="s">
        <v>32</v>
      </c>
      <c r="F227" t="s">
        <v>23</v>
      </c>
      <c r="G227">
        <v>15</v>
      </c>
      <c r="H227">
        <v>22.86</v>
      </c>
      <c r="I227">
        <v>342.9</v>
      </c>
      <c r="J227">
        <v>27.16</v>
      </c>
      <c r="K227">
        <v>45.74</v>
      </c>
      <c r="L227" t="s">
        <v>48</v>
      </c>
      <c r="M227" t="s">
        <v>41</v>
      </c>
      <c r="N227" t="s">
        <v>35</v>
      </c>
    </row>
    <row r="228" spans="1:14" x14ac:dyDescent="0.3">
      <c r="A228" t="s">
        <v>580</v>
      </c>
      <c r="B228" t="s">
        <v>1013</v>
      </c>
      <c r="C228" t="s">
        <v>568</v>
      </c>
      <c r="D228" t="s">
        <v>70</v>
      </c>
      <c r="E228" t="s">
        <v>74</v>
      </c>
      <c r="F228" t="s">
        <v>75</v>
      </c>
      <c r="G228">
        <v>37</v>
      </c>
      <c r="H228">
        <v>37.270000000000003</v>
      </c>
      <c r="I228">
        <v>1378.99</v>
      </c>
      <c r="J228">
        <v>92.92</v>
      </c>
      <c r="K228">
        <v>361.07</v>
      </c>
      <c r="L228" t="s">
        <v>24</v>
      </c>
      <c r="M228" t="s">
        <v>25</v>
      </c>
      <c r="N228" t="s">
        <v>76</v>
      </c>
    </row>
    <row r="229" spans="1:14" x14ac:dyDescent="0.3">
      <c r="A229" t="s">
        <v>582</v>
      </c>
      <c r="B229" t="s">
        <v>1018</v>
      </c>
      <c r="C229" t="s">
        <v>61</v>
      </c>
      <c r="D229" t="s">
        <v>171</v>
      </c>
      <c r="E229" t="s">
        <v>22</v>
      </c>
      <c r="F229" t="s">
        <v>23</v>
      </c>
      <c r="G229">
        <v>49</v>
      </c>
      <c r="H229">
        <v>54.05</v>
      </c>
      <c r="I229">
        <v>2648.45</v>
      </c>
      <c r="J229">
        <v>66.8</v>
      </c>
      <c r="K229">
        <v>866.65</v>
      </c>
      <c r="L229" t="s">
        <v>48</v>
      </c>
      <c r="M229" t="s">
        <v>25</v>
      </c>
      <c r="N229" t="s">
        <v>35</v>
      </c>
    </row>
    <row r="230" spans="1:14" x14ac:dyDescent="0.3">
      <c r="A230" t="s">
        <v>584</v>
      </c>
      <c r="B230" t="s">
        <v>1014</v>
      </c>
      <c r="C230" t="s">
        <v>586</v>
      </c>
      <c r="D230" t="s">
        <v>1004</v>
      </c>
      <c r="E230" t="s">
        <v>86</v>
      </c>
      <c r="F230" t="s">
        <v>47</v>
      </c>
      <c r="G230">
        <v>33</v>
      </c>
      <c r="H230">
        <v>20.059999999999999</v>
      </c>
      <c r="I230">
        <v>661.98</v>
      </c>
      <c r="J230">
        <v>50.02</v>
      </c>
      <c r="K230">
        <v>191.21</v>
      </c>
      <c r="L230" t="s">
        <v>48</v>
      </c>
      <c r="M230" t="s">
        <v>34</v>
      </c>
      <c r="N230" t="s">
        <v>35</v>
      </c>
    </row>
    <row r="231" spans="1:14" x14ac:dyDescent="0.3">
      <c r="A231" t="s">
        <v>587</v>
      </c>
      <c r="B231" t="s">
        <v>1022</v>
      </c>
      <c r="C231" t="s">
        <v>328</v>
      </c>
      <c r="D231" t="s">
        <v>241</v>
      </c>
      <c r="E231" t="s">
        <v>137</v>
      </c>
      <c r="F231" t="s">
        <v>68</v>
      </c>
      <c r="G231">
        <v>49</v>
      </c>
      <c r="H231">
        <v>35.68</v>
      </c>
      <c r="I231">
        <v>1748.32</v>
      </c>
      <c r="J231">
        <v>124.47</v>
      </c>
      <c r="K231">
        <v>251.85</v>
      </c>
      <c r="L231" t="s">
        <v>48</v>
      </c>
      <c r="M231" t="s">
        <v>41</v>
      </c>
      <c r="N231" t="s">
        <v>35</v>
      </c>
    </row>
    <row r="232" spans="1:14" x14ac:dyDescent="0.3">
      <c r="A232" t="s">
        <v>589</v>
      </c>
      <c r="B232" t="s">
        <v>1020</v>
      </c>
      <c r="C232" t="s">
        <v>40</v>
      </c>
      <c r="D232" t="s">
        <v>70</v>
      </c>
      <c r="E232" t="s">
        <v>74</v>
      </c>
      <c r="F232" t="s">
        <v>75</v>
      </c>
      <c r="G232">
        <v>23</v>
      </c>
      <c r="H232">
        <v>30.89</v>
      </c>
      <c r="I232">
        <v>710.47</v>
      </c>
      <c r="J232">
        <v>18.739999999999998</v>
      </c>
      <c r="K232">
        <v>116.73</v>
      </c>
      <c r="L232" t="s">
        <v>33</v>
      </c>
      <c r="M232" t="s">
        <v>25</v>
      </c>
      <c r="N232" t="s">
        <v>76</v>
      </c>
    </row>
    <row r="233" spans="1:14" x14ac:dyDescent="0.3">
      <c r="A233" t="s">
        <v>591</v>
      </c>
      <c r="B233" t="s">
        <v>1010</v>
      </c>
      <c r="C233" t="s">
        <v>44</v>
      </c>
      <c r="D233" t="s">
        <v>171</v>
      </c>
      <c r="E233" t="s">
        <v>22</v>
      </c>
      <c r="F233" t="s">
        <v>23</v>
      </c>
      <c r="G233">
        <v>14</v>
      </c>
      <c r="H233">
        <v>59.6</v>
      </c>
      <c r="I233">
        <v>834.4</v>
      </c>
      <c r="J233">
        <v>19.11</v>
      </c>
      <c r="K233">
        <v>325.29000000000002</v>
      </c>
      <c r="L233" t="s">
        <v>33</v>
      </c>
      <c r="M233" t="s">
        <v>34</v>
      </c>
      <c r="N233" t="s">
        <v>35</v>
      </c>
    </row>
    <row r="234" spans="1:14" x14ac:dyDescent="0.3">
      <c r="A234" t="s">
        <v>592</v>
      </c>
      <c r="B234" t="s">
        <v>1008</v>
      </c>
      <c r="C234" t="s">
        <v>480</v>
      </c>
      <c r="D234" t="s">
        <v>241</v>
      </c>
      <c r="E234" t="s">
        <v>67</v>
      </c>
      <c r="F234" t="s">
        <v>68</v>
      </c>
      <c r="G234">
        <v>3</v>
      </c>
      <c r="H234">
        <v>28.36</v>
      </c>
      <c r="I234">
        <v>85.08</v>
      </c>
      <c r="J234">
        <v>4.46</v>
      </c>
      <c r="K234">
        <v>13.12</v>
      </c>
      <c r="L234" t="s">
        <v>24</v>
      </c>
      <c r="M234" t="s">
        <v>34</v>
      </c>
      <c r="N234" t="s">
        <v>35</v>
      </c>
    </row>
    <row r="235" spans="1:14" x14ac:dyDescent="0.3">
      <c r="A235" t="s">
        <v>593</v>
      </c>
      <c r="B235" t="s">
        <v>1022</v>
      </c>
      <c r="C235" t="s">
        <v>216</v>
      </c>
      <c r="D235" t="s">
        <v>241</v>
      </c>
      <c r="E235" t="s">
        <v>86</v>
      </c>
      <c r="F235" t="s">
        <v>47</v>
      </c>
      <c r="G235">
        <v>28</v>
      </c>
      <c r="H235">
        <v>22.13</v>
      </c>
      <c r="I235">
        <v>619.64</v>
      </c>
      <c r="J235">
        <v>17.2</v>
      </c>
      <c r="K235">
        <v>245.44</v>
      </c>
      <c r="L235" t="s">
        <v>33</v>
      </c>
      <c r="M235" t="s">
        <v>41</v>
      </c>
      <c r="N235" t="s">
        <v>35</v>
      </c>
    </row>
    <row r="236" spans="1:14" x14ac:dyDescent="0.3">
      <c r="A236" t="s">
        <v>594</v>
      </c>
      <c r="B236" t="s">
        <v>1016</v>
      </c>
      <c r="C236" t="s">
        <v>372</v>
      </c>
      <c r="D236" t="s">
        <v>1003</v>
      </c>
      <c r="E236" t="s">
        <v>32</v>
      </c>
      <c r="F236" t="s">
        <v>23</v>
      </c>
      <c r="G236">
        <v>28</v>
      </c>
      <c r="H236">
        <v>27.62</v>
      </c>
      <c r="I236">
        <v>773.36</v>
      </c>
      <c r="J236">
        <v>29.88</v>
      </c>
      <c r="K236">
        <v>239.48</v>
      </c>
      <c r="L236" t="s">
        <v>24</v>
      </c>
      <c r="M236" t="s">
        <v>25</v>
      </c>
      <c r="N236" t="s">
        <v>98</v>
      </c>
    </row>
    <row r="237" spans="1:14" x14ac:dyDescent="0.3">
      <c r="A237" t="s">
        <v>595</v>
      </c>
      <c r="B237" t="s">
        <v>1020</v>
      </c>
      <c r="C237" t="s">
        <v>194</v>
      </c>
      <c r="D237" t="s">
        <v>55</v>
      </c>
      <c r="E237" t="s">
        <v>74</v>
      </c>
      <c r="F237" t="s">
        <v>75</v>
      </c>
      <c r="G237">
        <v>40</v>
      </c>
      <c r="H237">
        <v>34.229999999999997</v>
      </c>
      <c r="I237">
        <v>1369.2</v>
      </c>
      <c r="J237">
        <v>78.03</v>
      </c>
      <c r="K237">
        <v>291.17</v>
      </c>
      <c r="L237" t="s">
        <v>24</v>
      </c>
      <c r="M237" t="s">
        <v>25</v>
      </c>
      <c r="N237" t="s">
        <v>98</v>
      </c>
    </row>
    <row r="238" spans="1:14" x14ac:dyDescent="0.3">
      <c r="A238" t="s">
        <v>597</v>
      </c>
      <c r="B238" t="s">
        <v>1007</v>
      </c>
      <c r="C238" t="s">
        <v>285</v>
      </c>
      <c r="D238" t="s">
        <v>127</v>
      </c>
      <c r="E238" t="s">
        <v>56</v>
      </c>
      <c r="F238" t="s">
        <v>57</v>
      </c>
      <c r="G238">
        <v>9</v>
      </c>
      <c r="H238">
        <v>52.2</v>
      </c>
      <c r="I238">
        <v>469.8</v>
      </c>
      <c r="J238">
        <v>31.5</v>
      </c>
      <c r="K238">
        <v>78.3</v>
      </c>
      <c r="L238" t="s">
        <v>48</v>
      </c>
      <c r="M238" t="s">
        <v>41</v>
      </c>
      <c r="N238" t="s">
        <v>76</v>
      </c>
    </row>
    <row r="239" spans="1:14" x14ac:dyDescent="0.3">
      <c r="A239" t="s">
        <v>599</v>
      </c>
      <c r="B239" t="s">
        <v>1020</v>
      </c>
      <c r="C239" t="s">
        <v>372</v>
      </c>
      <c r="D239" t="s">
        <v>171</v>
      </c>
      <c r="E239" t="s">
        <v>74</v>
      </c>
      <c r="F239" t="s">
        <v>75</v>
      </c>
      <c r="G239">
        <v>31</v>
      </c>
      <c r="H239">
        <v>43.54</v>
      </c>
      <c r="I239">
        <v>1349.74</v>
      </c>
      <c r="J239">
        <v>99.86</v>
      </c>
      <c r="K239">
        <v>474.88</v>
      </c>
      <c r="L239" t="s">
        <v>24</v>
      </c>
      <c r="M239" t="s">
        <v>34</v>
      </c>
      <c r="N239" t="s">
        <v>35</v>
      </c>
    </row>
    <row r="240" spans="1:14" x14ac:dyDescent="0.3">
      <c r="A240" t="s">
        <v>600</v>
      </c>
      <c r="B240" t="s">
        <v>1012</v>
      </c>
      <c r="C240" t="s">
        <v>185</v>
      </c>
      <c r="D240" t="s">
        <v>1005</v>
      </c>
      <c r="E240" t="s">
        <v>81</v>
      </c>
      <c r="F240" t="s">
        <v>68</v>
      </c>
      <c r="G240">
        <v>31</v>
      </c>
      <c r="H240">
        <v>18.63</v>
      </c>
      <c r="I240">
        <v>577.53</v>
      </c>
      <c r="J240">
        <v>36.65</v>
      </c>
      <c r="K240">
        <v>60.38</v>
      </c>
      <c r="L240" t="s">
        <v>48</v>
      </c>
      <c r="M240" t="s">
        <v>25</v>
      </c>
      <c r="N240" t="s">
        <v>76</v>
      </c>
    </row>
    <row r="241" spans="1:14" x14ac:dyDescent="0.3">
      <c r="A241" t="s">
        <v>601</v>
      </c>
      <c r="B241" t="s">
        <v>1017</v>
      </c>
      <c r="C241" t="s">
        <v>442</v>
      </c>
      <c r="D241" t="s">
        <v>127</v>
      </c>
      <c r="E241" t="s">
        <v>63</v>
      </c>
      <c r="F241" t="s">
        <v>47</v>
      </c>
      <c r="G241">
        <v>38</v>
      </c>
      <c r="H241">
        <v>27.28</v>
      </c>
      <c r="I241">
        <v>1036.6400000000001</v>
      </c>
      <c r="J241">
        <v>38.770000000000003</v>
      </c>
      <c r="K241">
        <v>237.87</v>
      </c>
      <c r="L241" t="s">
        <v>24</v>
      </c>
      <c r="M241" t="s">
        <v>41</v>
      </c>
      <c r="N241" t="s">
        <v>76</v>
      </c>
    </row>
    <row r="242" spans="1:14" x14ac:dyDescent="0.3">
      <c r="A242" t="s">
        <v>603</v>
      </c>
      <c r="B242" t="s">
        <v>1022</v>
      </c>
      <c r="C242" t="s">
        <v>328</v>
      </c>
      <c r="D242" t="s">
        <v>45</v>
      </c>
      <c r="E242" t="s">
        <v>32</v>
      </c>
      <c r="F242" t="s">
        <v>23</v>
      </c>
      <c r="G242">
        <v>50</v>
      </c>
      <c r="H242">
        <v>30.97</v>
      </c>
      <c r="I242">
        <v>1548.5</v>
      </c>
      <c r="J242">
        <v>82.09</v>
      </c>
      <c r="K242">
        <v>566.41</v>
      </c>
      <c r="L242" t="s">
        <v>33</v>
      </c>
      <c r="M242" t="s">
        <v>34</v>
      </c>
      <c r="N242" t="s">
        <v>49</v>
      </c>
    </row>
    <row r="243" spans="1:14" x14ac:dyDescent="0.3">
      <c r="A243" t="s">
        <v>604</v>
      </c>
      <c r="B243" t="s">
        <v>1017</v>
      </c>
      <c r="C243" t="s">
        <v>126</v>
      </c>
      <c r="D243" t="s">
        <v>127</v>
      </c>
      <c r="E243" t="s">
        <v>56</v>
      </c>
      <c r="F243" t="s">
        <v>57</v>
      </c>
      <c r="G243">
        <v>17</v>
      </c>
      <c r="H243">
        <v>60.91</v>
      </c>
      <c r="I243">
        <v>1035.47</v>
      </c>
      <c r="J243">
        <v>54.09</v>
      </c>
      <c r="K243">
        <v>301.38</v>
      </c>
      <c r="L243" t="s">
        <v>48</v>
      </c>
      <c r="M243" t="s">
        <v>25</v>
      </c>
      <c r="N243" t="s">
        <v>76</v>
      </c>
    </row>
    <row r="244" spans="1:14" x14ac:dyDescent="0.3">
      <c r="A244" t="s">
        <v>605</v>
      </c>
      <c r="B244" t="s">
        <v>1012</v>
      </c>
      <c r="C244" t="s">
        <v>437</v>
      </c>
      <c r="D244" t="s">
        <v>51</v>
      </c>
      <c r="E244" t="s">
        <v>63</v>
      </c>
      <c r="F244" t="s">
        <v>47</v>
      </c>
      <c r="G244">
        <v>25</v>
      </c>
      <c r="H244">
        <v>31.15</v>
      </c>
      <c r="I244">
        <v>778.75</v>
      </c>
      <c r="J244">
        <v>47.45</v>
      </c>
      <c r="K244">
        <v>231.3</v>
      </c>
      <c r="L244" t="s">
        <v>24</v>
      </c>
      <c r="M244" t="s">
        <v>41</v>
      </c>
      <c r="N244" t="s">
        <v>76</v>
      </c>
    </row>
    <row r="245" spans="1:14" x14ac:dyDescent="0.3">
      <c r="A245" t="s">
        <v>607</v>
      </c>
      <c r="B245" t="s">
        <v>1019</v>
      </c>
      <c r="C245" t="s">
        <v>462</v>
      </c>
      <c r="D245" t="s">
        <v>171</v>
      </c>
      <c r="E245" t="s">
        <v>32</v>
      </c>
      <c r="F245" t="s">
        <v>23</v>
      </c>
      <c r="G245">
        <v>30</v>
      </c>
      <c r="H245">
        <v>31.12</v>
      </c>
      <c r="I245">
        <v>933.6</v>
      </c>
      <c r="J245">
        <v>50.88</v>
      </c>
      <c r="K245">
        <v>342.72</v>
      </c>
      <c r="L245" t="s">
        <v>33</v>
      </c>
      <c r="M245" t="s">
        <v>34</v>
      </c>
      <c r="N245" t="s">
        <v>35</v>
      </c>
    </row>
    <row r="246" spans="1:14" x14ac:dyDescent="0.3">
      <c r="A246" t="s">
        <v>609</v>
      </c>
      <c r="B246" t="s">
        <v>1008</v>
      </c>
      <c r="C246" t="s">
        <v>182</v>
      </c>
      <c r="D246" t="s">
        <v>62</v>
      </c>
      <c r="E246" t="s">
        <v>81</v>
      </c>
      <c r="F246" t="s">
        <v>68</v>
      </c>
      <c r="G246">
        <v>17</v>
      </c>
      <c r="H246">
        <v>19.64</v>
      </c>
      <c r="I246">
        <v>333.88</v>
      </c>
      <c r="J246">
        <v>22.23</v>
      </c>
      <c r="K246">
        <v>48.15</v>
      </c>
      <c r="L246" t="s">
        <v>48</v>
      </c>
      <c r="M246" t="s">
        <v>41</v>
      </c>
      <c r="N246" t="s">
        <v>98</v>
      </c>
    </row>
    <row r="247" spans="1:14" x14ac:dyDescent="0.3">
      <c r="A247" t="s">
        <v>611</v>
      </c>
      <c r="B247" t="s">
        <v>1011</v>
      </c>
      <c r="C247" t="s">
        <v>613</v>
      </c>
      <c r="D247" t="s">
        <v>1003</v>
      </c>
      <c r="E247" t="s">
        <v>46</v>
      </c>
      <c r="F247" t="s">
        <v>47</v>
      </c>
      <c r="G247">
        <v>37</v>
      </c>
      <c r="H247">
        <v>57.35</v>
      </c>
      <c r="I247">
        <v>2121.9499999999998</v>
      </c>
      <c r="J247">
        <v>147.38999999999999</v>
      </c>
      <c r="K247">
        <v>790.56</v>
      </c>
      <c r="L247" t="s">
        <v>24</v>
      </c>
      <c r="M247" t="s">
        <v>25</v>
      </c>
      <c r="N247" t="s">
        <v>98</v>
      </c>
    </row>
    <row r="248" spans="1:14" x14ac:dyDescent="0.3">
      <c r="A248" t="s">
        <v>614</v>
      </c>
      <c r="B248" t="s">
        <v>1008</v>
      </c>
      <c r="C248" t="s">
        <v>20</v>
      </c>
      <c r="D248" t="s">
        <v>37</v>
      </c>
      <c r="E248" t="s">
        <v>22</v>
      </c>
      <c r="F248" t="s">
        <v>23</v>
      </c>
      <c r="G248">
        <v>45</v>
      </c>
      <c r="H248">
        <v>42.6</v>
      </c>
      <c r="I248">
        <v>1917</v>
      </c>
      <c r="J248">
        <v>104.27</v>
      </c>
      <c r="K248">
        <v>237.73</v>
      </c>
      <c r="L248" t="s">
        <v>33</v>
      </c>
      <c r="M248" t="s">
        <v>41</v>
      </c>
      <c r="N248" t="s">
        <v>35</v>
      </c>
    </row>
    <row r="249" spans="1:14" x14ac:dyDescent="0.3">
      <c r="A249" t="s">
        <v>616</v>
      </c>
      <c r="B249" t="s">
        <v>1011</v>
      </c>
      <c r="C249" t="s">
        <v>165</v>
      </c>
      <c r="D249" t="s">
        <v>1004</v>
      </c>
      <c r="E249" t="s">
        <v>63</v>
      </c>
      <c r="F249" t="s">
        <v>47</v>
      </c>
      <c r="G249">
        <v>25</v>
      </c>
      <c r="H249">
        <v>31.82</v>
      </c>
      <c r="I249">
        <v>795.5</v>
      </c>
      <c r="J249">
        <v>37.33</v>
      </c>
      <c r="K249">
        <v>258.17</v>
      </c>
      <c r="L249" t="s">
        <v>24</v>
      </c>
      <c r="M249" t="s">
        <v>34</v>
      </c>
      <c r="N249" t="s">
        <v>35</v>
      </c>
    </row>
    <row r="250" spans="1:14" x14ac:dyDescent="0.3">
      <c r="A250" t="s">
        <v>618</v>
      </c>
      <c r="B250" t="s">
        <v>1012</v>
      </c>
      <c r="C250" t="s">
        <v>200</v>
      </c>
      <c r="D250" t="s">
        <v>70</v>
      </c>
      <c r="E250" t="s">
        <v>74</v>
      </c>
      <c r="F250" t="s">
        <v>75</v>
      </c>
      <c r="G250">
        <v>17</v>
      </c>
      <c r="H250">
        <v>36.270000000000003</v>
      </c>
      <c r="I250">
        <v>616.59</v>
      </c>
      <c r="J250">
        <v>22.76</v>
      </c>
      <c r="K250">
        <v>168.83</v>
      </c>
      <c r="L250" t="s">
        <v>48</v>
      </c>
      <c r="M250" t="s">
        <v>25</v>
      </c>
      <c r="N250" t="s">
        <v>76</v>
      </c>
    </row>
    <row r="251" spans="1:14" x14ac:dyDescent="0.3">
      <c r="A251" t="s">
        <v>619</v>
      </c>
      <c r="B251" t="s">
        <v>1022</v>
      </c>
      <c r="C251" t="s">
        <v>334</v>
      </c>
      <c r="D251" t="s">
        <v>1005</v>
      </c>
      <c r="E251" t="s">
        <v>32</v>
      </c>
      <c r="F251" t="s">
        <v>23</v>
      </c>
      <c r="G251">
        <v>4</v>
      </c>
      <c r="H251">
        <v>27.01</v>
      </c>
      <c r="I251">
        <v>108.04</v>
      </c>
      <c r="J251">
        <v>4.7300000000000004</v>
      </c>
      <c r="K251">
        <v>31.31</v>
      </c>
      <c r="L251" t="s">
        <v>48</v>
      </c>
      <c r="M251" t="s">
        <v>41</v>
      </c>
      <c r="N251" t="s">
        <v>76</v>
      </c>
    </row>
    <row r="252" spans="1:14" x14ac:dyDescent="0.3">
      <c r="A252" t="s">
        <v>621</v>
      </c>
      <c r="B252" t="s">
        <v>1021</v>
      </c>
      <c r="C252" t="s">
        <v>369</v>
      </c>
      <c r="D252" t="s">
        <v>62</v>
      </c>
      <c r="E252" t="s">
        <v>22</v>
      </c>
      <c r="F252" t="s">
        <v>23</v>
      </c>
      <c r="G252">
        <v>22</v>
      </c>
      <c r="H252">
        <v>57.6</v>
      </c>
      <c r="I252">
        <v>1267.2</v>
      </c>
      <c r="J252">
        <v>35.32</v>
      </c>
      <c r="K252">
        <v>461.88</v>
      </c>
      <c r="L252" t="s">
        <v>48</v>
      </c>
      <c r="M252" t="s">
        <v>25</v>
      </c>
      <c r="N252" t="s">
        <v>98</v>
      </c>
    </row>
    <row r="253" spans="1:14" x14ac:dyDescent="0.3">
      <c r="A253" t="s">
        <v>622</v>
      </c>
      <c r="B253" t="s">
        <v>1023</v>
      </c>
      <c r="C253" t="s">
        <v>417</v>
      </c>
      <c r="D253" t="s">
        <v>241</v>
      </c>
      <c r="E253" t="s">
        <v>74</v>
      </c>
      <c r="F253" t="s">
        <v>75</v>
      </c>
      <c r="G253">
        <v>24</v>
      </c>
      <c r="H253">
        <v>43.34</v>
      </c>
      <c r="I253">
        <v>1040.1600000000001</v>
      </c>
      <c r="J253">
        <v>41.18</v>
      </c>
      <c r="K253">
        <v>398.98</v>
      </c>
      <c r="L253" t="s">
        <v>24</v>
      </c>
      <c r="M253" t="s">
        <v>41</v>
      </c>
      <c r="N253" t="s">
        <v>35</v>
      </c>
    </row>
    <row r="254" spans="1:14" x14ac:dyDescent="0.3">
      <c r="A254" t="s">
        <v>624</v>
      </c>
      <c r="B254" t="s">
        <v>1008</v>
      </c>
      <c r="C254" t="s">
        <v>266</v>
      </c>
      <c r="D254" t="s">
        <v>62</v>
      </c>
      <c r="E254" t="s">
        <v>56</v>
      </c>
      <c r="F254" t="s">
        <v>57</v>
      </c>
      <c r="G254">
        <v>37</v>
      </c>
      <c r="H254">
        <v>71.8</v>
      </c>
      <c r="I254">
        <v>2656.6</v>
      </c>
      <c r="J254">
        <v>60.3</v>
      </c>
      <c r="K254">
        <v>1116.3</v>
      </c>
      <c r="L254" t="s">
        <v>33</v>
      </c>
      <c r="M254" t="s">
        <v>25</v>
      </c>
      <c r="N254" t="s">
        <v>98</v>
      </c>
    </row>
    <row r="255" spans="1:14" x14ac:dyDescent="0.3">
      <c r="A255" t="s">
        <v>626</v>
      </c>
      <c r="B255" t="s">
        <v>1011</v>
      </c>
      <c r="C255" t="s">
        <v>613</v>
      </c>
      <c r="D255" t="s">
        <v>1005</v>
      </c>
      <c r="E255" t="s">
        <v>63</v>
      </c>
      <c r="F255" t="s">
        <v>47</v>
      </c>
      <c r="G255">
        <v>24</v>
      </c>
      <c r="H255">
        <v>29.11</v>
      </c>
      <c r="I255">
        <v>698.64</v>
      </c>
      <c r="J255">
        <v>53.99</v>
      </c>
      <c r="K255">
        <v>164.65</v>
      </c>
      <c r="L255" t="s">
        <v>48</v>
      </c>
      <c r="M255" t="s">
        <v>41</v>
      </c>
      <c r="N255" t="s">
        <v>76</v>
      </c>
    </row>
    <row r="256" spans="1:14" x14ac:dyDescent="0.3">
      <c r="A256" t="s">
        <v>628</v>
      </c>
      <c r="B256" t="s">
        <v>1023</v>
      </c>
      <c r="C256" t="s">
        <v>630</v>
      </c>
      <c r="D256" t="s">
        <v>127</v>
      </c>
      <c r="E256" t="s">
        <v>67</v>
      </c>
      <c r="F256" t="s">
        <v>68</v>
      </c>
      <c r="G256">
        <v>6</v>
      </c>
      <c r="H256">
        <v>27.91</v>
      </c>
      <c r="I256">
        <v>167.46</v>
      </c>
      <c r="J256">
        <v>10.01</v>
      </c>
      <c r="K256">
        <v>22.45</v>
      </c>
      <c r="L256" t="s">
        <v>24</v>
      </c>
      <c r="M256" t="s">
        <v>25</v>
      </c>
      <c r="N256" t="s">
        <v>76</v>
      </c>
    </row>
    <row r="257" spans="1:14" x14ac:dyDescent="0.3">
      <c r="A257" t="s">
        <v>631</v>
      </c>
      <c r="B257" t="s">
        <v>1017</v>
      </c>
      <c r="C257" t="s">
        <v>44</v>
      </c>
      <c r="D257" t="s">
        <v>51</v>
      </c>
      <c r="E257" t="s">
        <v>67</v>
      </c>
      <c r="F257" t="s">
        <v>68</v>
      </c>
      <c r="G257">
        <v>28</v>
      </c>
      <c r="H257">
        <v>27.29</v>
      </c>
      <c r="I257">
        <v>764.12</v>
      </c>
      <c r="J257">
        <v>25.78</v>
      </c>
      <c r="K257">
        <v>108.34</v>
      </c>
      <c r="L257" t="s">
        <v>48</v>
      </c>
      <c r="M257" t="s">
        <v>25</v>
      </c>
      <c r="N257" t="s">
        <v>76</v>
      </c>
    </row>
    <row r="258" spans="1:14" x14ac:dyDescent="0.3">
      <c r="A258" t="s">
        <v>632</v>
      </c>
      <c r="B258" t="s">
        <v>1017</v>
      </c>
      <c r="C258" t="s">
        <v>505</v>
      </c>
      <c r="D258" t="s">
        <v>62</v>
      </c>
      <c r="E258" t="s">
        <v>67</v>
      </c>
      <c r="F258" t="s">
        <v>68</v>
      </c>
      <c r="G258">
        <v>47</v>
      </c>
      <c r="H258">
        <v>35.880000000000003</v>
      </c>
      <c r="I258">
        <v>1686.36</v>
      </c>
      <c r="J258">
        <v>70.3</v>
      </c>
      <c r="K258">
        <v>558.55999999999995</v>
      </c>
      <c r="L258" t="s">
        <v>24</v>
      </c>
      <c r="M258" t="s">
        <v>34</v>
      </c>
      <c r="N258" t="s">
        <v>98</v>
      </c>
    </row>
    <row r="259" spans="1:14" x14ac:dyDescent="0.3">
      <c r="A259" t="s">
        <v>634</v>
      </c>
      <c r="B259" t="s">
        <v>1011</v>
      </c>
      <c r="C259" t="s">
        <v>317</v>
      </c>
      <c r="D259" t="s">
        <v>171</v>
      </c>
      <c r="E259" t="s">
        <v>81</v>
      </c>
      <c r="F259" t="s">
        <v>68</v>
      </c>
      <c r="G259">
        <v>19</v>
      </c>
      <c r="H259">
        <v>27.47</v>
      </c>
      <c r="I259">
        <v>521.92999999999995</v>
      </c>
      <c r="J259">
        <v>31.29</v>
      </c>
      <c r="K259">
        <v>196.14</v>
      </c>
      <c r="L259" t="s">
        <v>33</v>
      </c>
      <c r="M259" t="s">
        <v>41</v>
      </c>
      <c r="N259" t="s">
        <v>35</v>
      </c>
    </row>
    <row r="260" spans="1:14" x14ac:dyDescent="0.3">
      <c r="A260" t="s">
        <v>635</v>
      </c>
      <c r="B260" t="s">
        <v>1022</v>
      </c>
      <c r="C260" t="s">
        <v>216</v>
      </c>
      <c r="D260" t="s">
        <v>206</v>
      </c>
      <c r="E260" t="s">
        <v>63</v>
      </c>
      <c r="F260" t="s">
        <v>47</v>
      </c>
      <c r="G260">
        <v>13</v>
      </c>
      <c r="H260">
        <v>29.26</v>
      </c>
      <c r="I260">
        <v>380.38</v>
      </c>
      <c r="J260">
        <v>9.4700000000000006</v>
      </c>
      <c r="K260">
        <v>110.91</v>
      </c>
      <c r="L260" t="s">
        <v>33</v>
      </c>
      <c r="M260" t="s">
        <v>41</v>
      </c>
      <c r="N260" t="s">
        <v>207</v>
      </c>
    </row>
    <row r="261" spans="1:14" x14ac:dyDescent="0.3">
      <c r="A261" t="s">
        <v>636</v>
      </c>
      <c r="B261" t="s">
        <v>1007</v>
      </c>
      <c r="C261" t="s">
        <v>485</v>
      </c>
      <c r="D261" t="s">
        <v>241</v>
      </c>
      <c r="E261" t="s">
        <v>32</v>
      </c>
      <c r="F261" t="s">
        <v>23</v>
      </c>
      <c r="G261">
        <v>4</v>
      </c>
      <c r="H261">
        <v>26.17</v>
      </c>
      <c r="I261">
        <v>104.68</v>
      </c>
      <c r="J261">
        <v>6.33</v>
      </c>
      <c r="K261">
        <v>26.35</v>
      </c>
      <c r="L261" t="s">
        <v>24</v>
      </c>
      <c r="M261" t="s">
        <v>34</v>
      </c>
      <c r="N261" t="s">
        <v>35</v>
      </c>
    </row>
    <row r="262" spans="1:14" x14ac:dyDescent="0.3">
      <c r="A262" t="s">
        <v>637</v>
      </c>
      <c r="B262" t="s">
        <v>1023</v>
      </c>
      <c r="C262" t="s">
        <v>266</v>
      </c>
      <c r="D262" t="s">
        <v>241</v>
      </c>
      <c r="E262" t="s">
        <v>67</v>
      </c>
      <c r="F262" t="s">
        <v>68</v>
      </c>
      <c r="G262">
        <v>43</v>
      </c>
      <c r="H262">
        <v>37.32</v>
      </c>
      <c r="I262">
        <v>1604.76</v>
      </c>
      <c r="J262">
        <v>61.01</v>
      </c>
      <c r="K262">
        <v>576.25</v>
      </c>
      <c r="L262" t="s">
        <v>24</v>
      </c>
      <c r="M262" t="s">
        <v>34</v>
      </c>
      <c r="N262" t="s">
        <v>35</v>
      </c>
    </row>
    <row r="263" spans="1:14" x14ac:dyDescent="0.3">
      <c r="A263" t="s">
        <v>639</v>
      </c>
      <c r="B263" t="s">
        <v>1013</v>
      </c>
      <c r="C263" t="s">
        <v>465</v>
      </c>
      <c r="D263" t="s">
        <v>141</v>
      </c>
      <c r="E263" t="s">
        <v>32</v>
      </c>
      <c r="F263" t="s">
        <v>23</v>
      </c>
      <c r="G263">
        <v>27</v>
      </c>
      <c r="H263">
        <v>23.05</v>
      </c>
      <c r="I263">
        <v>622.35</v>
      </c>
      <c r="J263">
        <v>20.440000000000001</v>
      </c>
      <c r="K263">
        <v>115.91</v>
      </c>
      <c r="L263" t="s">
        <v>48</v>
      </c>
      <c r="M263" t="s">
        <v>34</v>
      </c>
      <c r="N263" t="s">
        <v>142</v>
      </c>
    </row>
    <row r="264" spans="1:14" x14ac:dyDescent="0.3">
      <c r="A264" t="s">
        <v>641</v>
      </c>
      <c r="B264" t="s">
        <v>1010</v>
      </c>
      <c r="C264" t="s">
        <v>643</v>
      </c>
      <c r="D264" t="s">
        <v>127</v>
      </c>
      <c r="E264" t="s">
        <v>86</v>
      </c>
      <c r="F264" t="s">
        <v>47</v>
      </c>
      <c r="G264">
        <v>38</v>
      </c>
      <c r="H264">
        <v>19.02</v>
      </c>
      <c r="I264">
        <v>722.76</v>
      </c>
      <c r="J264">
        <v>14.63</v>
      </c>
      <c r="K264">
        <v>223.63</v>
      </c>
      <c r="L264" t="s">
        <v>33</v>
      </c>
      <c r="M264" t="s">
        <v>34</v>
      </c>
      <c r="N264" t="s">
        <v>76</v>
      </c>
    </row>
    <row r="265" spans="1:14" x14ac:dyDescent="0.3">
      <c r="A265" t="s">
        <v>644</v>
      </c>
      <c r="B265" t="s">
        <v>1011</v>
      </c>
      <c r="C265" t="s">
        <v>646</v>
      </c>
      <c r="D265" t="s">
        <v>55</v>
      </c>
      <c r="E265" t="s">
        <v>56</v>
      </c>
      <c r="F265" t="s">
        <v>57</v>
      </c>
      <c r="G265">
        <v>10</v>
      </c>
      <c r="H265">
        <v>70.94</v>
      </c>
      <c r="I265">
        <v>709.4</v>
      </c>
      <c r="J265">
        <v>18.64</v>
      </c>
      <c r="K265">
        <v>290.76</v>
      </c>
      <c r="L265" t="s">
        <v>33</v>
      </c>
      <c r="M265" t="s">
        <v>41</v>
      </c>
      <c r="N265" t="s">
        <v>98</v>
      </c>
    </row>
    <row r="266" spans="1:14" x14ac:dyDescent="0.3">
      <c r="A266" t="s">
        <v>647</v>
      </c>
      <c r="B266" t="s">
        <v>1023</v>
      </c>
      <c r="C266" t="s">
        <v>442</v>
      </c>
      <c r="D266" t="s">
        <v>116</v>
      </c>
      <c r="E266" t="s">
        <v>74</v>
      </c>
      <c r="F266" t="s">
        <v>75</v>
      </c>
      <c r="G266">
        <v>17</v>
      </c>
      <c r="H266">
        <v>38.28</v>
      </c>
      <c r="I266">
        <v>650.76</v>
      </c>
      <c r="J266">
        <v>38.43</v>
      </c>
      <c r="K266">
        <v>187.33</v>
      </c>
      <c r="L266" t="s">
        <v>33</v>
      </c>
      <c r="M266" t="s">
        <v>41</v>
      </c>
      <c r="N266" t="s">
        <v>76</v>
      </c>
    </row>
    <row r="267" spans="1:14" x14ac:dyDescent="0.3">
      <c r="A267" t="s">
        <v>649</v>
      </c>
      <c r="B267" t="s">
        <v>1013</v>
      </c>
      <c r="C267" t="s">
        <v>574</v>
      </c>
      <c r="D267" t="s">
        <v>1003</v>
      </c>
      <c r="E267" t="s">
        <v>46</v>
      </c>
      <c r="F267" t="s">
        <v>47</v>
      </c>
      <c r="G267">
        <v>10</v>
      </c>
      <c r="H267">
        <v>38.799999999999997</v>
      </c>
      <c r="I267">
        <v>388</v>
      </c>
      <c r="J267">
        <v>16.39</v>
      </c>
      <c r="K267">
        <v>51.61</v>
      </c>
      <c r="L267" t="s">
        <v>48</v>
      </c>
      <c r="M267" t="s">
        <v>34</v>
      </c>
      <c r="N267" t="s">
        <v>98</v>
      </c>
    </row>
    <row r="268" spans="1:14" x14ac:dyDescent="0.3">
      <c r="A268" t="s">
        <v>651</v>
      </c>
      <c r="B268" t="s">
        <v>1021</v>
      </c>
      <c r="C268" t="s">
        <v>266</v>
      </c>
      <c r="D268" t="s">
        <v>51</v>
      </c>
      <c r="E268" t="s">
        <v>74</v>
      </c>
      <c r="F268" t="s">
        <v>75</v>
      </c>
      <c r="G268">
        <v>3</v>
      </c>
      <c r="H268">
        <v>33.840000000000003</v>
      </c>
      <c r="I268">
        <v>101.52</v>
      </c>
      <c r="J268">
        <v>2.3199999999999998</v>
      </c>
      <c r="K268">
        <v>24.2</v>
      </c>
      <c r="L268" t="s">
        <v>48</v>
      </c>
      <c r="M268" t="s">
        <v>41</v>
      </c>
      <c r="N268" t="s">
        <v>76</v>
      </c>
    </row>
    <row r="269" spans="1:14" x14ac:dyDescent="0.3">
      <c r="A269" t="s">
        <v>653</v>
      </c>
      <c r="B269" t="s">
        <v>1018</v>
      </c>
      <c r="C269" t="s">
        <v>317</v>
      </c>
      <c r="D269" t="s">
        <v>241</v>
      </c>
      <c r="E269" t="s">
        <v>81</v>
      </c>
      <c r="F269" t="s">
        <v>68</v>
      </c>
      <c r="G269">
        <v>20</v>
      </c>
      <c r="H269">
        <v>21.12</v>
      </c>
      <c r="I269">
        <v>422.4</v>
      </c>
      <c r="J269">
        <v>22.08</v>
      </c>
      <c r="K269">
        <v>90.32</v>
      </c>
      <c r="L269" t="s">
        <v>33</v>
      </c>
      <c r="M269" t="s">
        <v>41</v>
      </c>
      <c r="N269" t="s">
        <v>35</v>
      </c>
    </row>
    <row r="270" spans="1:14" x14ac:dyDescent="0.3">
      <c r="A270" t="s">
        <v>655</v>
      </c>
      <c r="B270" t="s">
        <v>1016</v>
      </c>
      <c r="C270" t="s">
        <v>440</v>
      </c>
      <c r="D270" t="s">
        <v>141</v>
      </c>
      <c r="E270" t="s">
        <v>22</v>
      </c>
      <c r="F270" t="s">
        <v>23</v>
      </c>
      <c r="G270">
        <v>1</v>
      </c>
      <c r="H270">
        <v>58.15</v>
      </c>
      <c r="I270">
        <v>58.15</v>
      </c>
      <c r="J270">
        <v>4.2</v>
      </c>
      <c r="K270">
        <v>18.95</v>
      </c>
      <c r="L270" t="s">
        <v>33</v>
      </c>
      <c r="M270" t="s">
        <v>34</v>
      </c>
      <c r="N270" t="s">
        <v>142</v>
      </c>
    </row>
    <row r="271" spans="1:14" x14ac:dyDescent="0.3">
      <c r="A271" t="s">
        <v>657</v>
      </c>
      <c r="B271" t="s">
        <v>1018</v>
      </c>
      <c r="C271" t="s">
        <v>157</v>
      </c>
      <c r="D271" t="s">
        <v>45</v>
      </c>
      <c r="E271" t="s">
        <v>46</v>
      </c>
      <c r="F271" t="s">
        <v>47</v>
      </c>
      <c r="G271">
        <v>32</v>
      </c>
      <c r="H271">
        <v>45.96</v>
      </c>
      <c r="I271">
        <v>1470.72</v>
      </c>
      <c r="J271">
        <v>82.77</v>
      </c>
      <c r="K271">
        <v>363.95</v>
      </c>
      <c r="L271" t="s">
        <v>24</v>
      </c>
      <c r="M271" t="s">
        <v>34</v>
      </c>
      <c r="N271" t="s">
        <v>49</v>
      </c>
    </row>
    <row r="272" spans="1:14" x14ac:dyDescent="0.3">
      <c r="A272" t="s">
        <v>659</v>
      </c>
      <c r="B272" t="s">
        <v>1015</v>
      </c>
      <c r="C272" t="s">
        <v>471</v>
      </c>
      <c r="D272" t="s">
        <v>37</v>
      </c>
      <c r="E272" t="s">
        <v>86</v>
      </c>
      <c r="F272" t="s">
        <v>47</v>
      </c>
      <c r="G272">
        <v>37</v>
      </c>
      <c r="H272">
        <v>16.82</v>
      </c>
      <c r="I272">
        <v>622.34</v>
      </c>
      <c r="J272">
        <v>32.9</v>
      </c>
      <c r="K272">
        <v>117.69</v>
      </c>
      <c r="L272" t="s">
        <v>48</v>
      </c>
      <c r="M272" t="s">
        <v>34</v>
      </c>
      <c r="N272" t="s">
        <v>35</v>
      </c>
    </row>
    <row r="273" spans="1:14" x14ac:dyDescent="0.3">
      <c r="A273" t="s">
        <v>661</v>
      </c>
      <c r="B273" t="s">
        <v>1009</v>
      </c>
      <c r="C273" t="s">
        <v>66</v>
      </c>
      <c r="D273" t="s">
        <v>37</v>
      </c>
      <c r="E273" t="s">
        <v>46</v>
      </c>
      <c r="F273" t="s">
        <v>47</v>
      </c>
      <c r="G273">
        <v>18</v>
      </c>
      <c r="H273">
        <v>54.62</v>
      </c>
      <c r="I273">
        <v>983.16</v>
      </c>
      <c r="J273">
        <v>22.61</v>
      </c>
      <c r="K273">
        <v>384.55</v>
      </c>
      <c r="L273" t="s">
        <v>48</v>
      </c>
      <c r="M273" t="s">
        <v>34</v>
      </c>
      <c r="N273" t="s">
        <v>35</v>
      </c>
    </row>
    <row r="274" spans="1:14" x14ac:dyDescent="0.3">
      <c r="A274" t="s">
        <v>663</v>
      </c>
      <c r="B274" t="s">
        <v>1020</v>
      </c>
      <c r="C274" t="s">
        <v>170</v>
      </c>
      <c r="D274" t="s">
        <v>37</v>
      </c>
      <c r="E274" t="s">
        <v>86</v>
      </c>
      <c r="F274" t="s">
        <v>47</v>
      </c>
      <c r="G274">
        <v>30</v>
      </c>
      <c r="H274">
        <v>22.83</v>
      </c>
      <c r="I274">
        <v>684.9</v>
      </c>
      <c r="J274">
        <v>32.31</v>
      </c>
      <c r="K274">
        <v>270.08999999999997</v>
      </c>
      <c r="L274" t="s">
        <v>24</v>
      </c>
      <c r="M274" t="s">
        <v>34</v>
      </c>
      <c r="N274" t="s">
        <v>35</v>
      </c>
    </row>
    <row r="275" spans="1:14" x14ac:dyDescent="0.3">
      <c r="A275" t="s">
        <v>665</v>
      </c>
      <c r="B275" t="s">
        <v>1016</v>
      </c>
      <c r="C275" t="s">
        <v>666</v>
      </c>
      <c r="D275" t="s">
        <v>171</v>
      </c>
      <c r="E275" t="s">
        <v>46</v>
      </c>
      <c r="F275" t="s">
        <v>47</v>
      </c>
      <c r="G275">
        <v>39</v>
      </c>
      <c r="H275">
        <v>47.02</v>
      </c>
      <c r="I275">
        <v>1833.78</v>
      </c>
      <c r="J275">
        <v>50.01</v>
      </c>
      <c r="K275">
        <v>535.77</v>
      </c>
      <c r="L275" t="s">
        <v>48</v>
      </c>
      <c r="M275" t="s">
        <v>34</v>
      </c>
      <c r="N275" t="s">
        <v>35</v>
      </c>
    </row>
    <row r="276" spans="1:14" x14ac:dyDescent="0.3">
      <c r="A276" t="s">
        <v>667</v>
      </c>
      <c r="B276" t="s">
        <v>1015</v>
      </c>
      <c r="C276" t="s">
        <v>145</v>
      </c>
      <c r="D276" t="s">
        <v>1003</v>
      </c>
      <c r="E276" t="s">
        <v>137</v>
      </c>
      <c r="F276" t="s">
        <v>68</v>
      </c>
      <c r="G276">
        <v>22</v>
      </c>
      <c r="H276">
        <v>43.32</v>
      </c>
      <c r="I276">
        <v>953.04</v>
      </c>
      <c r="J276">
        <v>71.3</v>
      </c>
      <c r="K276">
        <v>265.74</v>
      </c>
      <c r="L276" t="s">
        <v>33</v>
      </c>
      <c r="M276" t="s">
        <v>41</v>
      </c>
      <c r="N276" t="s">
        <v>98</v>
      </c>
    </row>
    <row r="277" spans="1:14" x14ac:dyDescent="0.3">
      <c r="A277" t="s">
        <v>669</v>
      </c>
      <c r="B277" t="s">
        <v>1010</v>
      </c>
      <c r="C277" t="s">
        <v>475</v>
      </c>
      <c r="D277" t="s">
        <v>127</v>
      </c>
      <c r="E277" t="s">
        <v>67</v>
      </c>
      <c r="F277" t="s">
        <v>68</v>
      </c>
      <c r="G277">
        <v>6</v>
      </c>
      <c r="H277">
        <v>31.69</v>
      </c>
      <c r="I277">
        <v>190.14</v>
      </c>
      <c r="J277">
        <v>12.52</v>
      </c>
      <c r="K277">
        <v>42.62</v>
      </c>
      <c r="L277" t="s">
        <v>48</v>
      </c>
      <c r="M277" t="s">
        <v>34</v>
      </c>
      <c r="N277" t="s">
        <v>76</v>
      </c>
    </row>
    <row r="278" spans="1:14" x14ac:dyDescent="0.3">
      <c r="A278" t="s">
        <v>671</v>
      </c>
      <c r="B278" t="s">
        <v>1011</v>
      </c>
      <c r="C278" t="s">
        <v>317</v>
      </c>
      <c r="D278" t="s">
        <v>241</v>
      </c>
      <c r="E278" t="s">
        <v>22</v>
      </c>
      <c r="F278" t="s">
        <v>23</v>
      </c>
      <c r="G278">
        <v>19</v>
      </c>
      <c r="H278">
        <v>53.28</v>
      </c>
      <c r="I278">
        <v>1012.32</v>
      </c>
      <c r="J278">
        <v>27.24</v>
      </c>
      <c r="K278">
        <v>320.08</v>
      </c>
      <c r="L278" t="s">
        <v>48</v>
      </c>
      <c r="M278" t="s">
        <v>34</v>
      </c>
      <c r="N278" t="s">
        <v>35</v>
      </c>
    </row>
    <row r="279" spans="1:14" x14ac:dyDescent="0.3">
      <c r="A279" t="s">
        <v>673</v>
      </c>
      <c r="B279" t="s">
        <v>1021</v>
      </c>
      <c r="C279" t="s">
        <v>246</v>
      </c>
      <c r="D279" t="s">
        <v>1003</v>
      </c>
      <c r="E279" t="s">
        <v>22</v>
      </c>
      <c r="F279" t="s">
        <v>23</v>
      </c>
      <c r="G279">
        <v>47</v>
      </c>
      <c r="H279">
        <v>47.53</v>
      </c>
      <c r="I279">
        <v>2233.91</v>
      </c>
      <c r="J279">
        <v>128.91</v>
      </c>
      <c r="K279">
        <v>460</v>
      </c>
      <c r="L279" t="s">
        <v>33</v>
      </c>
      <c r="M279" t="s">
        <v>25</v>
      </c>
      <c r="N279" t="s">
        <v>98</v>
      </c>
    </row>
    <row r="280" spans="1:14" x14ac:dyDescent="0.3">
      <c r="A280" t="s">
        <v>674</v>
      </c>
      <c r="B280" t="s">
        <v>1022</v>
      </c>
      <c r="C280" t="s">
        <v>455</v>
      </c>
      <c r="D280" t="s">
        <v>116</v>
      </c>
      <c r="E280" t="s">
        <v>63</v>
      </c>
      <c r="F280" t="s">
        <v>47</v>
      </c>
      <c r="G280">
        <v>12</v>
      </c>
      <c r="H280">
        <v>24.02</v>
      </c>
      <c r="I280">
        <v>288.24</v>
      </c>
      <c r="J280">
        <v>9.8000000000000007</v>
      </c>
      <c r="K280">
        <v>38.44</v>
      </c>
      <c r="L280" t="s">
        <v>24</v>
      </c>
      <c r="M280" t="s">
        <v>41</v>
      </c>
      <c r="N280" t="s">
        <v>76</v>
      </c>
    </row>
    <row r="281" spans="1:14" x14ac:dyDescent="0.3">
      <c r="A281" t="s">
        <v>676</v>
      </c>
      <c r="B281" t="s">
        <v>1007</v>
      </c>
      <c r="C281" t="s">
        <v>574</v>
      </c>
      <c r="D281" t="s">
        <v>116</v>
      </c>
      <c r="E281" t="s">
        <v>86</v>
      </c>
      <c r="F281" t="s">
        <v>47</v>
      </c>
      <c r="G281">
        <v>32</v>
      </c>
      <c r="H281">
        <v>15.64</v>
      </c>
      <c r="I281">
        <v>500.48</v>
      </c>
      <c r="J281">
        <v>24.69</v>
      </c>
      <c r="K281">
        <v>67.790000000000006</v>
      </c>
      <c r="L281" t="s">
        <v>48</v>
      </c>
      <c r="M281" t="s">
        <v>25</v>
      </c>
      <c r="N281" t="s">
        <v>76</v>
      </c>
    </row>
    <row r="282" spans="1:14" x14ac:dyDescent="0.3">
      <c r="A282" t="s">
        <v>677</v>
      </c>
      <c r="B282" t="s">
        <v>1010</v>
      </c>
      <c r="C282" t="s">
        <v>381</v>
      </c>
      <c r="D282" t="s">
        <v>206</v>
      </c>
      <c r="E282" t="s">
        <v>46</v>
      </c>
      <c r="F282" t="s">
        <v>47</v>
      </c>
      <c r="G282">
        <v>22</v>
      </c>
      <c r="H282">
        <v>42.54</v>
      </c>
      <c r="I282">
        <v>935.88</v>
      </c>
      <c r="J282">
        <v>45.37</v>
      </c>
      <c r="K282">
        <v>186.51</v>
      </c>
      <c r="L282" t="s">
        <v>24</v>
      </c>
      <c r="M282" t="s">
        <v>41</v>
      </c>
      <c r="N282" t="s">
        <v>207</v>
      </c>
    </row>
    <row r="283" spans="1:14" x14ac:dyDescent="0.3">
      <c r="A283" t="s">
        <v>678</v>
      </c>
      <c r="B283" t="s">
        <v>1011</v>
      </c>
      <c r="C283" t="s">
        <v>499</v>
      </c>
      <c r="D283" t="s">
        <v>70</v>
      </c>
      <c r="E283" t="s">
        <v>74</v>
      </c>
      <c r="F283" t="s">
        <v>75</v>
      </c>
      <c r="G283">
        <v>37</v>
      </c>
      <c r="H283">
        <v>43.55</v>
      </c>
      <c r="I283">
        <v>1611.35</v>
      </c>
      <c r="J283">
        <v>67.78</v>
      </c>
      <c r="K283">
        <v>618.57000000000005</v>
      </c>
      <c r="L283" t="s">
        <v>33</v>
      </c>
      <c r="M283" t="s">
        <v>34</v>
      </c>
      <c r="N283" t="s">
        <v>76</v>
      </c>
    </row>
    <row r="284" spans="1:14" x14ac:dyDescent="0.3">
      <c r="A284" t="s">
        <v>680</v>
      </c>
      <c r="B284" t="s">
        <v>1014</v>
      </c>
      <c r="C284" t="s">
        <v>182</v>
      </c>
      <c r="D284" t="s">
        <v>45</v>
      </c>
      <c r="E284" t="s">
        <v>81</v>
      </c>
      <c r="F284" t="s">
        <v>68</v>
      </c>
      <c r="G284">
        <v>42</v>
      </c>
      <c r="H284">
        <v>20.260000000000002</v>
      </c>
      <c r="I284">
        <v>850.92</v>
      </c>
      <c r="J284">
        <v>22.43</v>
      </c>
      <c r="K284">
        <v>177.49</v>
      </c>
      <c r="L284" t="s">
        <v>48</v>
      </c>
      <c r="M284" t="s">
        <v>41</v>
      </c>
      <c r="N284" t="s">
        <v>49</v>
      </c>
    </row>
    <row r="285" spans="1:14" x14ac:dyDescent="0.3">
      <c r="A285" t="s">
        <v>681</v>
      </c>
      <c r="B285" t="s">
        <v>1012</v>
      </c>
      <c r="C285" t="s">
        <v>113</v>
      </c>
      <c r="D285" t="s">
        <v>55</v>
      </c>
      <c r="E285" t="s">
        <v>32</v>
      </c>
      <c r="F285" t="s">
        <v>23</v>
      </c>
      <c r="G285">
        <v>43</v>
      </c>
      <c r="H285">
        <v>24.08</v>
      </c>
      <c r="I285">
        <v>1035.44</v>
      </c>
      <c r="J285">
        <v>35.07</v>
      </c>
      <c r="K285">
        <v>226.37</v>
      </c>
      <c r="L285" t="s">
        <v>33</v>
      </c>
      <c r="M285" t="s">
        <v>41</v>
      </c>
      <c r="N285" t="s">
        <v>98</v>
      </c>
    </row>
    <row r="286" spans="1:14" x14ac:dyDescent="0.3">
      <c r="A286" t="s">
        <v>683</v>
      </c>
      <c r="B286" t="s">
        <v>1011</v>
      </c>
      <c r="C286" t="s">
        <v>471</v>
      </c>
      <c r="D286" t="s">
        <v>241</v>
      </c>
      <c r="E286" t="s">
        <v>56</v>
      </c>
      <c r="F286" t="s">
        <v>57</v>
      </c>
      <c r="G286">
        <v>14</v>
      </c>
      <c r="H286">
        <v>69.010000000000005</v>
      </c>
      <c r="I286">
        <v>966.14</v>
      </c>
      <c r="J286">
        <v>32.67</v>
      </c>
      <c r="K286">
        <v>373.47</v>
      </c>
      <c r="L286" t="s">
        <v>33</v>
      </c>
      <c r="M286" t="s">
        <v>25</v>
      </c>
      <c r="N286" t="s">
        <v>35</v>
      </c>
    </row>
    <row r="287" spans="1:14" x14ac:dyDescent="0.3">
      <c r="A287" t="s">
        <v>684</v>
      </c>
      <c r="B287" t="s">
        <v>1021</v>
      </c>
      <c r="C287" t="s">
        <v>188</v>
      </c>
      <c r="D287" t="s">
        <v>206</v>
      </c>
      <c r="E287" t="s">
        <v>63</v>
      </c>
      <c r="F287" t="s">
        <v>47</v>
      </c>
      <c r="G287">
        <v>29</v>
      </c>
      <c r="H287">
        <v>28.29</v>
      </c>
      <c r="I287">
        <v>820.41</v>
      </c>
      <c r="J287">
        <v>63.15</v>
      </c>
      <c r="K287">
        <v>177.26</v>
      </c>
      <c r="L287" t="s">
        <v>48</v>
      </c>
      <c r="M287" t="s">
        <v>41</v>
      </c>
      <c r="N287" t="s">
        <v>207</v>
      </c>
    </row>
    <row r="288" spans="1:14" x14ac:dyDescent="0.3">
      <c r="A288" t="s">
        <v>685</v>
      </c>
      <c r="B288" t="s">
        <v>1023</v>
      </c>
      <c r="C288" t="s">
        <v>352</v>
      </c>
      <c r="D288" t="s">
        <v>62</v>
      </c>
      <c r="E288" t="s">
        <v>81</v>
      </c>
      <c r="F288" t="s">
        <v>68</v>
      </c>
      <c r="G288">
        <v>29</v>
      </c>
      <c r="H288">
        <v>26.51</v>
      </c>
      <c r="I288">
        <v>768.79</v>
      </c>
      <c r="J288">
        <v>15.66</v>
      </c>
      <c r="K288">
        <v>303.63</v>
      </c>
      <c r="L288" t="s">
        <v>33</v>
      </c>
      <c r="M288" t="s">
        <v>25</v>
      </c>
      <c r="N288" t="s">
        <v>98</v>
      </c>
    </row>
    <row r="289" spans="1:14" x14ac:dyDescent="0.3">
      <c r="A289" t="s">
        <v>687</v>
      </c>
      <c r="B289" t="s">
        <v>1016</v>
      </c>
      <c r="C289" t="s">
        <v>194</v>
      </c>
      <c r="D289" t="s">
        <v>55</v>
      </c>
      <c r="E289" t="s">
        <v>22</v>
      </c>
      <c r="F289" t="s">
        <v>23</v>
      </c>
      <c r="G289">
        <v>11</v>
      </c>
      <c r="H289">
        <v>58.07</v>
      </c>
      <c r="I289">
        <v>638.77</v>
      </c>
      <c r="J289">
        <v>43.89</v>
      </c>
      <c r="K289">
        <v>209.88</v>
      </c>
      <c r="L289" t="s">
        <v>24</v>
      </c>
      <c r="M289" t="s">
        <v>34</v>
      </c>
      <c r="N289" t="s">
        <v>98</v>
      </c>
    </row>
    <row r="290" spans="1:14" x14ac:dyDescent="0.3">
      <c r="A290" t="s">
        <v>689</v>
      </c>
      <c r="B290" t="s">
        <v>1012</v>
      </c>
      <c r="C290" t="s">
        <v>177</v>
      </c>
      <c r="D290" t="s">
        <v>1004</v>
      </c>
      <c r="E290" t="s">
        <v>46</v>
      </c>
      <c r="F290" t="s">
        <v>47</v>
      </c>
      <c r="G290">
        <v>3</v>
      </c>
      <c r="H290">
        <v>48.76</v>
      </c>
      <c r="I290">
        <v>146.28</v>
      </c>
      <c r="J290">
        <v>10.45</v>
      </c>
      <c r="K290">
        <v>39.83</v>
      </c>
      <c r="L290" t="s">
        <v>48</v>
      </c>
      <c r="M290" t="s">
        <v>34</v>
      </c>
      <c r="N290" t="s">
        <v>35</v>
      </c>
    </row>
    <row r="291" spans="1:14" x14ac:dyDescent="0.3">
      <c r="A291" t="s">
        <v>690</v>
      </c>
      <c r="B291" t="s">
        <v>1021</v>
      </c>
      <c r="C291" t="s">
        <v>257</v>
      </c>
      <c r="D291" t="s">
        <v>70</v>
      </c>
      <c r="E291" t="s">
        <v>63</v>
      </c>
      <c r="F291" t="s">
        <v>47</v>
      </c>
      <c r="G291">
        <v>49</v>
      </c>
      <c r="H291">
        <v>30.46</v>
      </c>
      <c r="I291">
        <v>1492.54</v>
      </c>
      <c r="J291">
        <v>51.82</v>
      </c>
      <c r="K291">
        <v>460.72</v>
      </c>
      <c r="L291" t="s">
        <v>33</v>
      </c>
      <c r="M291" t="s">
        <v>25</v>
      </c>
      <c r="N291" t="s">
        <v>76</v>
      </c>
    </row>
    <row r="292" spans="1:14" x14ac:dyDescent="0.3">
      <c r="A292" t="s">
        <v>692</v>
      </c>
      <c r="B292" t="s">
        <v>1013</v>
      </c>
      <c r="C292" t="s">
        <v>40</v>
      </c>
      <c r="D292" t="s">
        <v>51</v>
      </c>
      <c r="E292" t="s">
        <v>137</v>
      </c>
      <c r="F292" t="s">
        <v>68</v>
      </c>
      <c r="G292">
        <v>25</v>
      </c>
      <c r="H292">
        <v>35.21</v>
      </c>
      <c r="I292">
        <v>880.25</v>
      </c>
      <c r="J292">
        <v>39.799999999999997</v>
      </c>
      <c r="K292">
        <v>140.44999999999999</v>
      </c>
      <c r="L292" t="s">
        <v>48</v>
      </c>
      <c r="M292" t="s">
        <v>34</v>
      </c>
      <c r="N292" t="s">
        <v>76</v>
      </c>
    </row>
    <row r="293" spans="1:14" x14ac:dyDescent="0.3">
      <c r="A293" t="s">
        <v>693</v>
      </c>
      <c r="B293" t="s">
        <v>1023</v>
      </c>
      <c r="C293" t="s">
        <v>352</v>
      </c>
      <c r="D293" t="s">
        <v>1003</v>
      </c>
      <c r="E293" t="s">
        <v>137</v>
      </c>
      <c r="F293" t="s">
        <v>68</v>
      </c>
      <c r="G293">
        <v>37</v>
      </c>
      <c r="H293">
        <v>44.82</v>
      </c>
      <c r="I293">
        <v>1658.34</v>
      </c>
      <c r="J293">
        <v>65.75</v>
      </c>
      <c r="K293">
        <v>556.59</v>
      </c>
      <c r="L293" t="s">
        <v>33</v>
      </c>
      <c r="M293" t="s">
        <v>34</v>
      </c>
      <c r="N293" t="s">
        <v>98</v>
      </c>
    </row>
    <row r="294" spans="1:14" x14ac:dyDescent="0.3">
      <c r="A294" t="s">
        <v>695</v>
      </c>
      <c r="B294" t="s">
        <v>1011</v>
      </c>
      <c r="C294" t="s">
        <v>485</v>
      </c>
      <c r="D294" t="s">
        <v>241</v>
      </c>
      <c r="E294" t="s">
        <v>81</v>
      </c>
      <c r="F294" t="s">
        <v>68</v>
      </c>
      <c r="G294">
        <v>11</v>
      </c>
      <c r="H294">
        <v>18.75</v>
      </c>
      <c r="I294">
        <v>206.25</v>
      </c>
      <c r="J294">
        <v>11.67</v>
      </c>
      <c r="K294">
        <v>24.08</v>
      </c>
      <c r="L294" t="s">
        <v>24</v>
      </c>
      <c r="M294" t="s">
        <v>25</v>
      </c>
      <c r="N294" t="s">
        <v>35</v>
      </c>
    </row>
    <row r="295" spans="1:14" x14ac:dyDescent="0.3">
      <c r="A295" t="s">
        <v>697</v>
      </c>
      <c r="B295" t="s">
        <v>1017</v>
      </c>
      <c r="C295" t="s">
        <v>352</v>
      </c>
      <c r="D295" t="s">
        <v>45</v>
      </c>
      <c r="E295" t="s">
        <v>63</v>
      </c>
      <c r="F295" t="s">
        <v>47</v>
      </c>
      <c r="G295">
        <v>37</v>
      </c>
      <c r="H295">
        <v>31.66</v>
      </c>
      <c r="I295">
        <v>1171.42</v>
      </c>
      <c r="J295">
        <v>58.95</v>
      </c>
      <c r="K295">
        <v>372.47</v>
      </c>
      <c r="L295" t="s">
        <v>48</v>
      </c>
      <c r="M295" t="s">
        <v>25</v>
      </c>
      <c r="N295" t="s">
        <v>49</v>
      </c>
    </row>
    <row r="296" spans="1:14" x14ac:dyDescent="0.3">
      <c r="A296" t="s">
        <v>698</v>
      </c>
      <c r="B296" t="s">
        <v>1019</v>
      </c>
      <c r="C296" t="s">
        <v>475</v>
      </c>
      <c r="D296" t="s">
        <v>1004</v>
      </c>
      <c r="E296" t="s">
        <v>63</v>
      </c>
      <c r="F296" t="s">
        <v>47</v>
      </c>
      <c r="G296">
        <v>17</v>
      </c>
      <c r="H296">
        <v>32.74</v>
      </c>
      <c r="I296">
        <v>556.58000000000004</v>
      </c>
      <c r="J296">
        <v>14.68</v>
      </c>
      <c r="K296">
        <v>201.9</v>
      </c>
      <c r="L296" t="s">
        <v>33</v>
      </c>
      <c r="M296" t="s">
        <v>34</v>
      </c>
      <c r="N296" t="s">
        <v>35</v>
      </c>
    </row>
    <row r="297" spans="1:14" x14ac:dyDescent="0.3">
      <c r="A297" t="s">
        <v>700</v>
      </c>
      <c r="B297" t="s">
        <v>1009</v>
      </c>
      <c r="C297" t="s">
        <v>113</v>
      </c>
      <c r="D297" t="s">
        <v>1003</v>
      </c>
      <c r="E297" t="s">
        <v>137</v>
      </c>
      <c r="F297" t="s">
        <v>68</v>
      </c>
      <c r="G297">
        <v>7</v>
      </c>
      <c r="H297">
        <v>46.64</v>
      </c>
      <c r="I297">
        <v>326.48</v>
      </c>
      <c r="J297">
        <v>25.19</v>
      </c>
      <c r="K297">
        <v>105.29</v>
      </c>
      <c r="L297" t="s">
        <v>33</v>
      </c>
      <c r="M297" t="s">
        <v>41</v>
      </c>
      <c r="N297" t="s">
        <v>98</v>
      </c>
    </row>
    <row r="298" spans="1:14" x14ac:dyDescent="0.3">
      <c r="A298" t="s">
        <v>702</v>
      </c>
      <c r="B298" t="s">
        <v>1008</v>
      </c>
      <c r="C298" t="s">
        <v>216</v>
      </c>
      <c r="D298" t="s">
        <v>1005</v>
      </c>
      <c r="E298" t="s">
        <v>32</v>
      </c>
      <c r="F298" t="s">
        <v>23</v>
      </c>
      <c r="G298">
        <v>16</v>
      </c>
      <c r="H298">
        <v>24.77</v>
      </c>
      <c r="I298">
        <v>396.32</v>
      </c>
      <c r="J298">
        <v>15.6</v>
      </c>
      <c r="K298">
        <v>92.72</v>
      </c>
      <c r="L298" t="s">
        <v>24</v>
      </c>
      <c r="M298" t="s">
        <v>41</v>
      </c>
      <c r="N298" t="s">
        <v>76</v>
      </c>
    </row>
    <row r="299" spans="1:14" x14ac:dyDescent="0.3">
      <c r="A299" t="s">
        <v>704</v>
      </c>
      <c r="B299" t="s">
        <v>1015</v>
      </c>
      <c r="C299" t="s">
        <v>85</v>
      </c>
      <c r="D299" t="s">
        <v>62</v>
      </c>
      <c r="E299" t="s">
        <v>56</v>
      </c>
      <c r="F299" t="s">
        <v>57</v>
      </c>
      <c r="G299">
        <v>39</v>
      </c>
      <c r="H299">
        <v>56.5</v>
      </c>
      <c r="I299">
        <v>2203.5</v>
      </c>
      <c r="J299">
        <v>141.58000000000001</v>
      </c>
      <c r="K299">
        <v>501.92</v>
      </c>
      <c r="L299" t="s">
        <v>48</v>
      </c>
      <c r="M299" t="s">
        <v>25</v>
      </c>
      <c r="N299" t="s">
        <v>98</v>
      </c>
    </row>
    <row r="300" spans="1:14" x14ac:dyDescent="0.3">
      <c r="A300" t="s">
        <v>705</v>
      </c>
      <c r="B300" t="s">
        <v>1013</v>
      </c>
      <c r="C300" t="s">
        <v>574</v>
      </c>
      <c r="D300" t="s">
        <v>70</v>
      </c>
      <c r="E300" t="s">
        <v>81</v>
      </c>
      <c r="F300" t="s">
        <v>68</v>
      </c>
      <c r="G300">
        <v>1</v>
      </c>
      <c r="H300">
        <v>24.01</v>
      </c>
      <c r="I300">
        <v>24.01</v>
      </c>
      <c r="J300">
        <v>1.58</v>
      </c>
      <c r="K300">
        <v>6.93</v>
      </c>
      <c r="L300" t="s">
        <v>24</v>
      </c>
      <c r="M300" t="s">
        <v>25</v>
      </c>
      <c r="N300" t="s">
        <v>76</v>
      </c>
    </row>
    <row r="301" spans="1:14" x14ac:dyDescent="0.3">
      <c r="A301" t="s">
        <v>707</v>
      </c>
      <c r="B301" t="s">
        <v>1016</v>
      </c>
      <c r="C301" t="s">
        <v>162</v>
      </c>
      <c r="D301" t="s">
        <v>70</v>
      </c>
      <c r="E301" t="s">
        <v>74</v>
      </c>
      <c r="F301" t="s">
        <v>75</v>
      </c>
      <c r="G301">
        <v>45</v>
      </c>
      <c r="H301">
        <v>35.99</v>
      </c>
      <c r="I301">
        <v>1619.55</v>
      </c>
      <c r="J301">
        <v>49.95</v>
      </c>
      <c r="K301">
        <v>444.6</v>
      </c>
      <c r="L301" t="s">
        <v>24</v>
      </c>
      <c r="M301" t="s">
        <v>34</v>
      </c>
      <c r="N301" t="s">
        <v>76</v>
      </c>
    </row>
    <row r="302" spans="1:14" x14ac:dyDescent="0.3">
      <c r="A302" t="s">
        <v>708</v>
      </c>
      <c r="B302" t="s">
        <v>1008</v>
      </c>
      <c r="C302" t="s">
        <v>266</v>
      </c>
      <c r="D302" t="s">
        <v>116</v>
      </c>
      <c r="E302" t="s">
        <v>63</v>
      </c>
      <c r="F302" t="s">
        <v>47</v>
      </c>
      <c r="G302">
        <v>5</v>
      </c>
      <c r="H302">
        <v>25.45</v>
      </c>
      <c r="I302">
        <v>127.25</v>
      </c>
      <c r="J302">
        <v>7.22</v>
      </c>
      <c r="K302">
        <v>20.03</v>
      </c>
      <c r="L302" t="s">
        <v>48</v>
      </c>
      <c r="M302" t="s">
        <v>41</v>
      </c>
      <c r="N302" t="s">
        <v>76</v>
      </c>
    </row>
    <row r="303" spans="1:14" x14ac:dyDescent="0.3">
      <c r="A303" t="s">
        <v>709</v>
      </c>
      <c r="B303" t="s">
        <v>1007</v>
      </c>
      <c r="C303" t="s">
        <v>162</v>
      </c>
      <c r="D303" t="s">
        <v>127</v>
      </c>
      <c r="E303" t="s">
        <v>81</v>
      </c>
      <c r="F303" t="s">
        <v>68</v>
      </c>
      <c r="G303">
        <v>24</v>
      </c>
      <c r="H303">
        <v>19.53</v>
      </c>
      <c r="I303">
        <v>468.72</v>
      </c>
      <c r="J303">
        <v>14.12</v>
      </c>
      <c r="K303">
        <v>82.6</v>
      </c>
      <c r="L303" t="s">
        <v>24</v>
      </c>
      <c r="M303" t="s">
        <v>25</v>
      </c>
      <c r="N303" t="s">
        <v>76</v>
      </c>
    </row>
    <row r="304" spans="1:14" x14ac:dyDescent="0.3">
      <c r="A304" t="s">
        <v>710</v>
      </c>
      <c r="B304" t="s">
        <v>1007</v>
      </c>
      <c r="C304" t="s">
        <v>30</v>
      </c>
      <c r="D304" t="s">
        <v>55</v>
      </c>
      <c r="E304" t="s">
        <v>86</v>
      </c>
      <c r="F304" t="s">
        <v>47</v>
      </c>
      <c r="G304">
        <v>28</v>
      </c>
      <c r="H304">
        <v>22.33</v>
      </c>
      <c r="I304">
        <v>625.24</v>
      </c>
      <c r="J304">
        <v>44.24</v>
      </c>
      <c r="K304">
        <v>224</v>
      </c>
      <c r="L304" t="s">
        <v>24</v>
      </c>
      <c r="M304" t="s">
        <v>25</v>
      </c>
      <c r="N304" t="s">
        <v>98</v>
      </c>
    </row>
    <row r="305" spans="1:14" x14ac:dyDescent="0.3">
      <c r="A305" t="s">
        <v>711</v>
      </c>
      <c r="B305" t="s">
        <v>1022</v>
      </c>
      <c r="C305" t="s">
        <v>148</v>
      </c>
      <c r="D305" t="s">
        <v>37</v>
      </c>
      <c r="E305" t="s">
        <v>46</v>
      </c>
      <c r="F305" t="s">
        <v>47</v>
      </c>
      <c r="G305">
        <v>49</v>
      </c>
      <c r="H305">
        <v>39.31</v>
      </c>
      <c r="I305">
        <v>1926.19</v>
      </c>
      <c r="J305">
        <v>69.7</v>
      </c>
      <c r="K305">
        <v>288.49</v>
      </c>
      <c r="L305" t="s">
        <v>33</v>
      </c>
      <c r="M305" t="s">
        <v>25</v>
      </c>
      <c r="N305" t="s">
        <v>35</v>
      </c>
    </row>
    <row r="306" spans="1:14" x14ac:dyDescent="0.3">
      <c r="A306" t="s">
        <v>713</v>
      </c>
      <c r="B306" t="s">
        <v>1019</v>
      </c>
      <c r="C306" t="s">
        <v>290</v>
      </c>
      <c r="D306" t="s">
        <v>70</v>
      </c>
      <c r="E306" t="s">
        <v>81</v>
      </c>
      <c r="F306" t="s">
        <v>68</v>
      </c>
      <c r="G306">
        <v>6</v>
      </c>
      <c r="H306">
        <v>22.95</v>
      </c>
      <c r="I306">
        <v>137.69999999999999</v>
      </c>
      <c r="J306">
        <v>5.63</v>
      </c>
      <c r="K306">
        <v>39.07</v>
      </c>
      <c r="L306" t="s">
        <v>33</v>
      </c>
      <c r="M306" t="s">
        <v>34</v>
      </c>
      <c r="N306" t="s">
        <v>76</v>
      </c>
    </row>
    <row r="307" spans="1:14" x14ac:dyDescent="0.3">
      <c r="A307" t="s">
        <v>715</v>
      </c>
      <c r="B307" t="s">
        <v>1011</v>
      </c>
      <c r="C307" t="s">
        <v>246</v>
      </c>
      <c r="D307" t="s">
        <v>62</v>
      </c>
      <c r="E307" t="s">
        <v>63</v>
      </c>
      <c r="F307" t="s">
        <v>47</v>
      </c>
      <c r="G307">
        <v>35</v>
      </c>
      <c r="H307">
        <v>27.72</v>
      </c>
      <c r="I307">
        <v>970.2</v>
      </c>
      <c r="J307">
        <v>61.74</v>
      </c>
      <c r="K307">
        <v>208.46</v>
      </c>
      <c r="L307" t="s">
        <v>24</v>
      </c>
      <c r="M307" t="s">
        <v>41</v>
      </c>
      <c r="N307" t="s">
        <v>98</v>
      </c>
    </row>
    <row r="308" spans="1:14" x14ac:dyDescent="0.3">
      <c r="A308" t="s">
        <v>716</v>
      </c>
      <c r="B308" t="s">
        <v>1010</v>
      </c>
      <c r="C308" t="s">
        <v>232</v>
      </c>
      <c r="D308" t="s">
        <v>51</v>
      </c>
      <c r="E308" t="s">
        <v>56</v>
      </c>
      <c r="F308" t="s">
        <v>57</v>
      </c>
      <c r="G308">
        <v>34</v>
      </c>
      <c r="H308">
        <v>64.75</v>
      </c>
      <c r="I308">
        <v>2201.5</v>
      </c>
      <c r="J308">
        <v>68.05</v>
      </c>
      <c r="K308">
        <v>773.45</v>
      </c>
      <c r="L308" t="s">
        <v>48</v>
      </c>
      <c r="M308" t="s">
        <v>41</v>
      </c>
      <c r="N308" t="s">
        <v>76</v>
      </c>
    </row>
    <row r="309" spans="1:14" x14ac:dyDescent="0.3">
      <c r="A309" t="s">
        <v>717</v>
      </c>
      <c r="B309" t="s">
        <v>1015</v>
      </c>
      <c r="C309" t="s">
        <v>191</v>
      </c>
      <c r="D309" t="s">
        <v>206</v>
      </c>
      <c r="E309" t="s">
        <v>63</v>
      </c>
      <c r="F309" t="s">
        <v>47</v>
      </c>
      <c r="G309">
        <v>49</v>
      </c>
      <c r="H309">
        <v>26.02</v>
      </c>
      <c r="I309">
        <v>1274.98</v>
      </c>
      <c r="J309">
        <v>61.84</v>
      </c>
      <c r="K309">
        <v>233.14</v>
      </c>
      <c r="L309" t="s">
        <v>48</v>
      </c>
      <c r="M309" t="s">
        <v>34</v>
      </c>
      <c r="N309" t="s">
        <v>207</v>
      </c>
    </row>
    <row r="310" spans="1:14" x14ac:dyDescent="0.3">
      <c r="A310" t="s">
        <v>719</v>
      </c>
      <c r="B310" t="s">
        <v>1016</v>
      </c>
      <c r="C310" t="s">
        <v>391</v>
      </c>
      <c r="D310" t="s">
        <v>45</v>
      </c>
      <c r="E310" t="s">
        <v>74</v>
      </c>
      <c r="F310" t="s">
        <v>75</v>
      </c>
      <c r="G310">
        <v>1</v>
      </c>
      <c r="H310">
        <v>32.979999999999997</v>
      </c>
      <c r="I310">
        <v>32.979999999999997</v>
      </c>
      <c r="J310">
        <v>1.89</v>
      </c>
      <c r="K310">
        <v>6.09</v>
      </c>
      <c r="L310" t="s">
        <v>48</v>
      </c>
      <c r="M310" t="s">
        <v>34</v>
      </c>
      <c r="N310" t="s">
        <v>49</v>
      </c>
    </row>
    <row r="311" spans="1:14" x14ac:dyDescent="0.3">
      <c r="A311" t="s">
        <v>720</v>
      </c>
      <c r="B311" t="s">
        <v>1022</v>
      </c>
      <c r="C311" t="s">
        <v>499</v>
      </c>
      <c r="D311" t="s">
        <v>45</v>
      </c>
      <c r="E311" t="s">
        <v>86</v>
      </c>
      <c r="F311" t="s">
        <v>47</v>
      </c>
      <c r="G311">
        <v>18</v>
      </c>
      <c r="H311">
        <v>20.09</v>
      </c>
      <c r="I311">
        <v>361.62</v>
      </c>
      <c r="J311">
        <v>8.3800000000000008</v>
      </c>
      <c r="K311">
        <v>123.74</v>
      </c>
      <c r="L311" t="s">
        <v>24</v>
      </c>
      <c r="M311" t="s">
        <v>25</v>
      </c>
      <c r="N311" t="s">
        <v>49</v>
      </c>
    </row>
    <row r="312" spans="1:14" x14ac:dyDescent="0.3">
      <c r="A312" t="s">
        <v>721</v>
      </c>
      <c r="B312" t="s">
        <v>1011</v>
      </c>
      <c r="C312" t="s">
        <v>266</v>
      </c>
      <c r="D312" t="s">
        <v>70</v>
      </c>
      <c r="E312" t="s">
        <v>22</v>
      </c>
      <c r="F312" t="s">
        <v>23</v>
      </c>
      <c r="G312">
        <v>39</v>
      </c>
      <c r="H312">
        <v>49.59</v>
      </c>
      <c r="I312">
        <v>1934.01</v>
      </c>
      <c r="J312">
        <v>62.79</v>
      </c>
      <c r="K312">
        <v>506.22</v>
      </c>
      <c r="L312" t="s">
        <v>33</v>
      </c>
      <c r="M312" t="s">
        <v>34</v>
      </c>
      <c r="N312" t="s">
        <v>76</v>
      </c>
    </row>
    <row r="313" spans="1:14" x14ac:dyDescent="0.3">
      <c r="A313" t="s">
        <v>722</v>
      </c>
      <c r="B313" t="s">
        <v>1015</v>
      </c>
      <c r="C313" t="s">
        <v>462</v>
      </c>
      <c r="D313" t="s">
        <v>55</v>
      </c>
      <c r="E313" t="s">
        <v>46</v>
      </c>
      <c r="F313" t="s">
        <v>47</v>
      </c>
      <c r="G313">
        <v>6</v>
      </c>
      <c r="H313">
        <v>41.99</v>
      </c>
      <c r="I313">
        <v>251.94</v>
      </c>
      <c r="J313">
        <v>10.76</v>
      </c>
      <c r="K313">
        <v>49.18</v>
      </c>
      <c r="L313" t="s">
        <v>24</v>
      </c>
      <c r="M313" t="s">
        <v>25</v>
      </c>
      <c r="N313" t="s">
        <v>98</v>
      </c>
    </row>
    <row r="314" spans="1:14" x14ac:dyDescent="0.3">
      <c r="A314" t="s">
        <v>724</v>
      </c>
      <c r="B314" t="s">
        <v>1021</v>
      </c>
      <c r="C314" t="s">
        <v>113</v>
      </c>
      <c r="D314" t="s">
        <v>116</v>
      </c>
      <c r="E314" t="s">
        <v>22</v>
      </c>
      <c r="F314" t="s">
        <v>23</v>
      </c>
      <c r="G314">
        <v>12</v>
      </c>
      <c r="H314">
        <v>47.4</v>
      </c>
      <c r="I314">
        <v>568.79999999999995</v>
      </c>
      <c r="J314">
        <v>23.31</v>
      </c>
      <c r="K314">
        <v>125.49</v>
      </c>
      <c r="L314" t="s">
        <v>48</v>
      </c>
      <c r="M314" t="s">
        <v>25</v>
      </c>
      <c r="N314" t="s">
        <v>76</v>
      </c>
    </row>
    <row r="315" spans="1:14" x14ac:dyDescent="0.3">
      <c r="A315" t="s">
        <v>725</v>
      </c>
      <c r="B315" t="s">
        <v>1019</v>
      </c>
      <c r="C315" t="s">
        <v>396</v>
      </c>
      <c r="D315" t="s">
        <v>1005</v>
      </c>
      <c r="E315" t="s">
        <v>63</v>
      </c>
      <c r="F315" t="s">
        <v>47</v>
      </c>
      <c r="G315">
        <v>50</v>
      </c>
      <c r="H315">
        <v>34.28</v>
      </c>
      <c r="I315">
        <v>1714</v>
      </c>
      <c r="J315">
        <v>59.84</v>
      </c>
      <c r="K315">
        <v>654.16</v>
      </c>
      <c r="L315" t="s">
        <v>24</v>
      </c>
      <c r="M315" t="s">
        <v>25</v>
      </c>
      <c r="N315" t="s">
        <v>76</v>
      </c>
    </row>
    <row r="316" spans="1:14" x14ac:dyDescent="0.3">
      <c r="A316" t="s">
        <v>727</v>
      </c>
      <c r="B316" t="s">
        <v>1020</v>
      </c>
      <c r="C316" t="s">
        <v>323</v>
      </c>
      <c r="D316" t="s">
        <v>141</v>
      </c>
      <c r="E316" t="s">
        <v>32</v>
      </c>
      <c r="F316" t="s">
        <v>23</v>
      </c>
      <c r="G316">
        <v>50</v>
      </c>
      <c r="H316">
        <v>29.39</v>
      </c>
      <c r="I316">
        <v>1469.5</v>
      </c>
      <c r="J316">
        <v>101.51</v>
      </c>
      <c r="K316">
        <v>467.99</v>
      </c>
      <c r="L316" t="s">
        <v>48</v>
      </c>
      <c r="M316" t="s">
        <v>41</v>
      </c>
      <c r="N316" t="s">
        <v>142</v>
      </c>
    </row>
    <row r="317" spans="1:14" x14ac:dyDescent="0.3">
      <c r="A317" t="s">
        <v>729</v>
      </c>
      <c r="B317" t="s">
        <v>1014</v>
      </c>
      <c r="C317" t="s">
        <v>182</v>
      </c>
      <c r="D317" t="s">
        <v>45</v>
      </c>
      <c r="E317" t="s">
        <v>32</v>
      </c>
      <c r="F317" t="s">
        <v>23</v>
      </c>
      <c r="G317">
        <v>46</v>
      </c>
      <c r="H317">
        <v>30.34</v>
      </c>
      <c r="I317">
        <v>1395.64</v>
      </c>
      <c r="J317">
        <v>104.2</v>
      </c>
      <c r="K317">
        <v>463.44</v>
      </c>
      <c r="L317" t="s">
        <v>24</v>
      </c>
      <c r="M317" t="s">
        <v>34</v>
      </c>
      <c r="N317" t="s">
        <v>49</v>
      </c>
    </row>
    <row r="318" spans="1:14" x14ac:dyDescent="0.3">
      <c r="A318" t="s">
        <v>730</v>
      </c>
      <c r="B318" t="s">
        <v>1018</v>
      </c>
      <c r="C318" t="s">
        <v>732</v>
      </c>
      <c r="D318" t="s">
        <v>116</v>
      </c>
      <c r="E318" t="s">
        <v>86</v>
      </c>
      <c r="F318" t="s">
        <v>47</v>
      </c>
      <c r="G318">
        <v>50</v>
      </c>
      <c r="H318">
        <v>18.809999999999999</v>
      </c>
      <c r="I318">
        <v>940.5</v>
      </c>
      <c r="J318">
        <v>40.25</v>
      </c>
      <c r="K318">
        <v>262.75</v>
      </c>
      <c r="L318" t="s">
        <v>33</v>
      </c>
      <c r="M318" t="s">
        <v>34</v>
      </c>
      <c r="N318" t="s">
        <v>76</v>
      </c>
    </row>
    <row r="319" spans="1:14" x14ac:dyDescent="0.3">
      <c r="A319" t="s">
        <v>733</v>
      </c>
      <c r="B319" t="s">
        <v>1019</v>
      </c>
      <c r="C319" t="s">
        <v>323</v>
      </c>
      <c r="D319" t="s">
        <v>206</v>
      </c>
      <c r="E319" t="s">
        <v>67</v>
      </c>
      <c r="F319" t="s">
        <v>68</v>
      </c>
      <c r="G319">
        <v>2</v>
      </c>
      <c r="H319">
        <v>29.64</v>
      </c>
      <c r="I319">
        <v>59.28</v>
      </c>
      <c r="J319">
        <v>4.59</v>
      </c>
      <c r="K319">
        <v>9.69</v>
      </c>
      <c r="L319" t="s">
        <v>33</v>
      </c>
      <c r="M319" t="s">
        <v>41</v>
      </c>
      <c r="N319" t="s">
        <v>207</v>
      </c>
    </row>
    <row r="320" spans="1:14" x14ac:dyDescent="0.3">
      <c r="A320" t="s">
        <v>735</v>
      </c>
      <c r="B320" t="s">
        <v>1023</v>
      </c>
      <c r="C320" t="s">
        <v>574</v>
      </c>
      <c r="D320" t="s">
        <v>116</v>
      </c>
      <c r="E320" t="s">
        <v>67</v>
      </c>
      <c r="F320" t="s">
        <v>68</v>
      </c>
      <c r="G320">
        <v>48</v>
      </c>
      <c r="H320">
        <v>27.9</v>
      </c>
      <c r="I320">
        <v>1339.2</v>
      </c>
      <c r="J320">
        <v>66.31</v>
      </c>
      <c r="K320">
        <v>192.89</v>
      </c>
      <c r="L320" t="s">
        <v>33</v>
      </c>
      <c r="M320" t="s">
        <v>41</v>
      </c>
      <c r="N320" t="s">
        <v>76</v>
      </c>
    </row>
    <row r="321" spans="1:14" x14ac:dyDescent="0.3">
      <c r="A321" t="s">
        <v>737</v>
      </c>
      <c r="B321" t="s">
        <v>1016</v>
      </c>
      <c r="C321" t="s">
        <v>465</v>
      </c>
      <c r="D321" t="s">
        <v>171</v>
      </c>
      <c r="E321" t="s">
        <v>74</v>
      </c>
      <c r="F321" t="s">
        <v>75</v>
      </c>
      <c r="G321">
        <v>28</v>
      </c>
      <c r="H321">
        <v>38.520000000000003</v>
      </c>
      <c r="I321">
        <v>1078.56</v>
      </c>
      <c r="J321">
        <v>64.510000000000005</v>
      </c>
      <c r="K321">
        <v>314.05</v>
      </c>
      <c r="L321" t="s">
        <v>24</v>
      </c>
      <c r="M321" t="s">
        <v>34</v>
      </c>
      <c r="N321" t="s">
        <v>35</v>
      </c>
    </row>
    <row r="322" spans="1:14" x14ac:dyDescent="0.3">
      <c r="A322" t="s">
        <v>738</v>
      </c>
      <c r="B322" t="s">
        <v>1018</v>
      </c>
      <c r="C322" t="s">
        <v>288</v>
      </c>
      <c r="D322" t="s">
        <v>1004</v>
      </c>
      <c r="E322" t="s">
        <v>67</v>
      </c>
      <c r="F322" t="s">
        <v>68</v>
      </c>
      <c r="G322">
        <v>11</v>
      </c>
      <c r="H322">
        <v>31.08</v>
      </c>
      <c r="I322">
        <v>341.88</v>
      </c>
      <c r="J322">
        <v>17.18</v>
      </c>
      <c r="K322">
        <v>77.2</v>
      </c>
      <c r="L322" t="s">
        <v>48</v>
      </c>
      <c r="M322" t="s">
        <v>41</v>
      </c>
      <c r="N322" t="s">
        <v>35</v>
      </c>
    </row>
    <row r="323" spans="1:14" x14ac:dyDescent="0.3">
      <c r="A323" t="s">
        <v>739</v>
      </c>
      <c r="B323" t="s">
        <v>1010</v>
      </c>
      <c r="C323" t="s">
        <v>391</v>
      </c>
      <c r="D323" t="s">
        <v>62</v>
      </c>
      <c r="E323" t="s">
        <v>63</v>
      </c>
      <c r="F323" t="s">
        <v>47</v>
      </c>
      <c r="G323">
        <v>42</v>
      </c>
      <c r="H323">
        <v>25.95</v>
      </c>
      <c r="I323">
        <v>1089.9000000000001</v>
      </c>
      <c r="J323">
        <v>27.5</v>
      </c>
      <c r="K323">
        <v>222.4</v>
      </c>
      <c r="L323" t="s">
        <v>48</v>
      </c>
      <c r="M323" t="s">
        <v>41</v>
      </c>
      <c r="N323" t="s">
        <v>98</v>
      </c>
    </row>
    <row r="324" spans="1:14" x14ac:dyDescent="0.3">
      <c r="A324" t="s">
        <v>741</v>
      </c>
      <c r="B324" t="s">
        <v>1014</v>
      </c>
      <c r="C324" t="s">
        <v>630</v>
      </c>
      <c r="D324" t="s">
        <v>116</v>
      </c>
      <c r="E324" t="s">
        <v>74</v>
      </c>
      <c r="F324" t="s">
        <v>75</v>
      </c>
      <c r="G324">
        <v>30</v>
      </c>
      <c r="H324">
        <v>30.16</v>
      </c>
      <c r="I324">
        <v>904.8</v>
      </c>
      <c r="J324">
        <v>70.13</v>
      </c>
      <c r="K324">
        <v>84.67</v>
      </c>
      <c r="L324" t="s">
        <v>33</v>
      </c>
      <c r="M324" t="s">
        <v>25</v>
      </c>
      <c r="N324" t="s">
        <v>76</v>
      </c>
    </row>
    <row r="325" spans="1:14" x14ac:dyDescent="0.3">
      <c r="A325" t="s">
        <v>742</v>
      </c>
      <c r="B325" t="s">
        <v>1019</v>
      </c>
      <c r="C325" t="s">
        <v>743</v>
      </c>
      <c r="D325" t="s">
        <v>45</v>
      </c>
      <c r="E325" t="s">
        <v>63</v>
      </c>
      <c r="F325" t="s">
        <v>47</v>
      </c>
      <c r="G325">
        <v>40</v>
      </c>
      <c r="H325">
        <v>30.03</v>
      </c>
      <c r="I325">
        <v>1201.2</v>
      </c>
      <c r="J325">
        <v>71.97</v>
      </c>
      <c r="K325">
        <v>329.23</v>
      </c>
      <c r="L325" t="s">
        <v>33</v>
      </c>
      <c r="M325" t="s">
        <v>25</v>
      </c>
      <c r="N325" t="s">
        <v>49</v>
      </c>
    </row>
    <row r="326" spans="1:14" x14ac:dyDescent="0.3">
      <c r="A326" t="s">
        <v>744</v>
      </c>
      <c r="B326" t="s">
        <v>1010</v>
      </c>
      <c r="C326" t="s">
        <v>162</v>
      </c>
      <c r="D326" t="s">
        <v>141</v>
      </c>
      <c r="E326" t="s">
        <v>63</v>
      </c>
      <c r="F326" t="s">
        <v>47</v>
      </c>
      <c r="G326">
        <v>15</v>
      </c>
      <c r="H326">
        <v>27.12</v>
      </c>
      <c r="I326">
        <v>406.8</v>
      </c>
      <c r="J326">
        <v>24.28</v>
      </c>
      <c r="K326">
        <v>82.52</v>
      </c>
      <c r="L326" t="s">
        <v>33</v>
      </c>
      <c r="M326" t="s">
        <v>34</v>
      </c>
      <c r="N326" t="s">
        <v>142</v>
      </c>
    </row>
    <row r="327" spans="1:14" x14ac:dyDescent="0.3">
      <c r="A327" t="s">
        <v>746</v>
      </c>
      <c r="B327" t="s">
        <v>1010</v>
      </c>
      <c r="C327" t="s">
        <v>257</v>
      </c>
      <c r="D327" t="s">
        <v>171</v>
      </c>
      <c r="E327" t="s">
        <v>86</v>
      </c>
      <c r="F327" t="s">
        <v>47</v>
      </c>
      <c r="G327">
        <v>35</v>
      </c>
      <c r="H327">
        <v>18.350000000000001</v>
      </c>
      <c r="I327">
        <v>642.25</v>
      </c>
      <c r="J327">
        <v>29.35</v>
      </c>
      <c r="K327">
        <v>166.65</v>
      </c>
      <c r="L327" t="s">
        <v>24</v>
      </c>
      <c r="M327" t="s">
        <v>34</v>
      </c>
      <c r="N327" t="s">
        <v>35</v>
      </c>
    </row>
    <row r="328" spans="1:14" x14ac:dyDescent="0.3">
      <c r="A328" t="s">
        <v>747</v>
      </c>
      <c r="B328" t="s">
        <v>1011</v>
      </c>
      <c r="C328" t="s">
        <v>646</v>
      </c>
      <c r="D328" t="s">
        <v>141</v>
      </c>
      <c r="E328" t="s">
        <v>22</v>
      </c>
      <c r="F328" t="s">
        <v>23</v>
      </c>
      <c r="G328">
        <v>21</v>
      </c>
      <c r="H328">
        <v>52.59</v>
      </c>
      <c r="I328">
        <v>1104.3900000000001</v>
      </c>
      <c r="J328">
        <v>57.06</v>
      </c>
      <c r="K328">
        <v>312.33</v>
      </c>
      <c r="L328" t="s">
        <v>33</v>
      </c>
      <c r="M328" t="s">
        <v>34</v>
      </c>
      <c r="N328" t="s">
        <v>142</v>
      </c>
    </row>
    <row r="329" spans="1:14" x14ac:dyDescent="0.3">
      <c r="A329" t="s">
        <v>748</v>
      </c>
      <c r="B329" t="s">
        <v>1013</v>
      </c>
      <c r="C329" t="s">
        <v>574</v>
      </c>
      <c r="D329" t="s">
        <v>51</v>
      </c>
      <c r="E329" t="s">
        <v>137</v>
      </c>
      <c r="F329" t="s">
        <v>68</v>
      </c>
      <c r="G329">
        <v>10</v>
      </c>
      <c r="H329">
        <v>44.2</v>
      </c>
      <c r="I329">
        <v>442</v>
      </c>
      <c r="J329">
        <v>18.45</v>
      </c>
      <c r="K329">
        <v>143.55000000000001</v>
      </c>
      <c r="L329" t="s">
        <v>24</v>
      </c>
      <c r="M329" t="s">
        <v>25</v>
      </c>
      <c r="N329" t="s">
        <v>76</v>
      </c>
    </row>
    <row r="330" spans="1:14" x14ac:dyDescent="0.3">
      <c r="A330" t="s">
        <v>750</v>
      </c>
      <c r="B330" t="s">
        <v>1016</v>
      </c>
      <c r="C330" t="s">
        <v>331</v>
      </c>
      <c r="D330" t="s">
        <v>51</v>
      </c>
      <c r="E330" t="s">
        <v>22</v>
      </c>
      <c r="F330" t="s">
        <v>23</v>
      </c>
      <c r="G330">
        <v>11</v>
      </c>
      <c r="H330">
        <v>60.9</v>
      </c>
      <c r="I330">
        <v>669.9</v>
      </c>
      <c r="J330">
        <v>26.28</v>
      </c>
      <c r="K330">
        <v>258.62</v>
      </c>
      <c r="L330" t="s">
        <v>33</v>
      </c>
      <c r="M330" t="s">
        <v>34</v>
      </c>
      <c r="N330" t="s">
        <v>76</v>
      </c>
    </row>
    <row r="331" spans="1:14" x14ac:dyDescent="0.3">
      <c r="A331" t="s">
        <v>751</v>
      </c>
      <c r="B331" t="s">
        <v>1013</v>
      </c>
      <c r="C331" t="s">
        <v>73</v>
      </c>
      <c r="D331" t="s">
        <v>1005</v>
      </c>
      <c r="E331" t="s">
        <v>86</v>
      </c>
      <c r="F331" t="s">
        <v>47</v>
      </c>
      <c r="G331">
        <v>26</v>
      </c>
      <c r="H331">
        <v>22.32</v>
      </c>
      <c r="I331">
        <v>580.32000000000005</v>
      </c>
      <c r="J331">
        <v>45.08</v>
      </c>
      <c r="K331">
        <v>203.74</v>
      </c>
      <c r="L331" t="s">
        <v>33</v>
      </c>
      <c r="M331" t="s">
        <v>34</v>
      </c>
      <c r="N331" t="s">
        <v>76</v>
      </c>
    </row>
    <row r="332" spans="1:14" x14ac:dyDescent="0.3">
      <c r="A332" t="s">
        <v>753</v>
      </c>
      <c r="B332" t="s">
        <v>1007</v>
      </c>
      <c r="C332" t="s">
        <v>417</v>
      </c>
      <c r="D332" t="s">
        <v>51</v>
      </c>
      <c r="E332" t="s">
        <v>137</v>
      </c>
      <c r="F332" t="s">
        <v>68</v>
      </c>
      <c r="G332">
        <v>46</v>
      </c>
      <c r="H332">
        <v>41.89</v>
      </c>
      <c r="I332">
        <v>1926.94</v>
      </c>
      <c r="J332">
        <v>97.39</v>
      </c>
      <c r="K332">
        <v>541.54999999999995</v>
      </c>
      <c r="L332" t="s">
        <v>24</v>
      </c>
      <c r="M332" t="s">
        <v>41</v>
      </c>
      <c r="N332" t="s">
        <v>76</v>
      </c>
    </row>
    <row r="333" spans="1:14" x14ac:dyDescent="0.3">
      <c r="A333" t="s">
        <v>755</v>
      </c>
      <c r="B333" t="s">
        <v>1010</v>
      </c>
      <c r="C333" t="s">
        <v>277</v>
      </c>
      <c r="D333" t="s">
        <v>1004</v>
      </c>
      <c r="E333" t="s">
        <v>86</v>
      </c>
      <c r="F333" t="s">
        <v>47</v>
      </c>
      <c r="G333">
        <v>43</v>
      </c>
      <c r="H333">
        <v>21.24</v>
      </c>
      <c r="I333">
        <v>913.32</v>
      </c>
      <c r="J333">
        <v>50.32</v>
      </c>
      <c r="K333">
        <v>314.75</v>
      </c>
      <c r="L333" t="s">
        <v>33</v>
      </c>
      <c r="M333" t="s">
        <v>25</v>
      </c>
      <c r="N333" t="s">
        <v>35</v>
      </c>
    </row>
    <row r="334" spans="1:14" x14ac:dyDescent="0.3">
      <c r="A334" t="s">
        <v>756</v>
      </c>
      <c r="B334" t="s">
        <v>1018</v>
      </c>
      <c r="C334" t="s">
        <v>757</v>
      </c>
      <c r="D334" t="s">
        <v>241</v>
      </c>
      <c r="E334" t="s">
        <v>67</v>
      </c>
      <c r="F334" t="s">
        <v>68</v>
      </c>
      <c r="G334">
        <v>28</v>
      </c>
      <c r="H334">
        <v>33.700000000000003</v>
      </c>
      <c r="I334">
        <v>943.6</v>
      </c>
      <c r="J334">
        <v>20.170000000000002</v>
      </c>
      <c r="K334">
        <v>293.43</v>
      </c>
      <c r="L334" t="s">
        <v>24</v>
      </c>
      <c r="M334" t="s">
        <v>34</v>
      </c>
      <c r="N334" t="s">
        <v>35</v>
      </c>
    </row>
    <row r="335" spans="1:14" x14ac:dyDescent="0.3">
      <c r="A335" t="s">
        <v>758</v>
      </c>
      <c r="B335" t="s">
        <v>1014</v>
      </c>
      <c r="C335" t="s">
        <v>334</v>
      </c>
      <c r="D335" t="s">
        <v>70</v>
      </c>
      <c r="E335" t="s">
        <v>22</v>
      </c>
      <c r="F335" t="s">
        <v>23</v>
      </c>
      <c r="G335">
        <v>41</v>
      </c>
      <c r="H335">
        <v>42.74</v>
      </c>
      <c r="I335">
        <v>1752.34</v>
      </c>
      <c r="J335">
        <v>92.09</v>
      </c>
      <c r="K335">
        <v>225.25</v>
      </c>
      <c r="L335" t="s">
        <v>48</v>
      </c>
      <c r="M335" t="s">
        <v>25</v>
      </c>
      <c r="N335" t="s">
        <v>76</v>
      </c>
    </row>
    <row r="336" spans="1:14" x14ac:dyDescent="0.3">
      <c r="A336" t="s">
        <v>760</v>
      </c>
      <c r="B336" t="s">
        <v>1013</v>
      </c>
      <c r="C336" t="s">
        <v>646</v>
      </c>
      <c r="D336" t="s">
        <v>1004</v>
      </c>
      <c r="E336" t="s">
        <v>63</v>
      </c>
      <c r="F336" t="s">
        <v>47</v>
      </c>
      <c r="G336">
        <v>24</v>
      </c>
      <c r="H336">
        <v>30.18</v>
      </c>
      <c r="I336">
        <v>724.32</v>
      </c>
      <c r="J336">
        <v>44.97</v>
      </c>
      <c r="K336">
        <v>199.35</v>
      </c>
      <c r="L336" t="s">
        <v>24</v>
      </c>
      <c r="M336" t="s">
        <v>25</v>
      </c>
      <c r="N336" t="s">
        <v>35</v>
      </c>
    </row>
    <row r="337" spans="1:14" x14ac:dyDescent="0.3">
      <c r="A337" t="s">
        <v>762</v>
      </c>
      <c r="B337" t="s">
        <v>1008</v>
      </c>
      <c r="C337" t="s">
        <v>177</v>
      </c>
      <c r="D337" t="s">
        <v>127</v>
      </c>
      <c r="E337" t="s">
        <v>81</v>
      </c>
      <c r="F337" t="s">
        <v>68</v>
      </c>
      <c r="G337">
        <v>44</v>
      </c>
      <c r="H337">
        <v>20.02</v>
      </c>
      <c r="I337">
        <v>880.88</v>
      </c>
      <c r="J337">
        <v>60.27</v>
      </c>
      <c r="K337">
        <v>138.61000000000001</v>
      </c>
      <c r="L337" t="s">
        <v>33</v>
      </c>
      <c r="M337" t="s">
        <v>34</v>
      </c>
      <c r="N337" t="s">
        <v>76</v>
      </c>
    </row>
    <row r="338" spans="1:14" x14ac:dyDescent="0.3">
      <c r="A338" t="s">
        <v>763</v>
      </c>
      <c r="B338" t="s">
        <v>1014</v>
      </c>
      <c r="C338" t="s">
        <v>174</v>
      </c>
      <c r="D338" t="s">
        <v>1004</v>
      </c>
      <c r="E338" t="s">
        <v>63</v>
      </c>
      <c r="F338" t="s">
        <v>47</v>
      </c>
      <c r="G338">
        <v>12</v>
      </c>
      <c r="H338">
        <v>27.45</v>
      </c>
      <c r="I338">
        <v>329.4</v>
      </c>
      <c r="J338">
        <v>13.22</v>
      </c>
      <c r="K338">
        <v>76.180000000000007</v>
      </c>
      <c r="L338" t="s">
        <v>48</v>
      </c>
      <c r="M338" t="s">
        <v>41</v>
      </c>
      <c r="N338" t="s">
        <v>35</v>
      </c>
    </row>
    <row r="339" spans="1:14" x14ac:dyDescent="0.3">
      <c r="A339" t="s">
        <v>764</v>
      </c>
      <c r="B339" t="s">
        <v>1022</v>
      </c>
      <c r="C339" t="s">
        <v>145</v>
      </c>
      <c r="D339" t="s">
        <v>141</v>
      </c>
      <c r="E339" t="s">
        <v>63</v>
      </c>
      <c r="F339" t="s">
        <v>47</v>
      </c>
      <c r="G339">
        <v>26</v>
      </c>
      <c r="H339">
        <v>30.57</v>
      </c>
      <c r="I339">
        <v>794.82</v>
      </c>
      <c r="J339">
        <v>19.45</v>
      </c>
      <c r="K339">
        <v>255.37</v>
      </c>
      <c r="L339" t="s">
        <v>48</v>
      </c>
      <c r="M339" t="s">
        <v>34</v>
      </c>
      <c r="N339" t="s">
        <v>142</v>
      </c>
    </row>
    <row r="340" spans="1:14" x14ac:dyDescent="0.3">
      <c r="A340" t="s">
        <v>765</v>
      </c>
      <c r="B340" t="s">
        <v>1013</v>
      </c>
      <c r="C340" t="s">
        <v>185</v>
      </c>
      <c r="D340" t="s">
        <v>127</v>
      </c>
      <c r="E340" t="s">
        <v>74</v>
      </c>
      <c r="F340" t="s">
        <v>75</v>
      </c>
      <c r="G340">
        <v>46</v>
      </c>
      <c r="H340">
        <v>32.19</v>
      </c>
      <c r="I340">
        <v>1480.74</v>
      </c>
      <c r="J340">
        <v>111.13</v>
      </c>
      <c r="K340">
        <v>219.61</v>
      </c>
      <c r="L340" t="s">
        <v>48</v>
      </c>
      <c r="M340" t="s">
        <v>34</v>
      </c>
      <c r="N340" t="s">
        <v>76</v>
      </c>
    </row>
    <row r="341" spans="1:14" x14ac:dyDescent="0.3">
      <c r="A341" t="s">
        <v>767</v>
      </c>
      <c r="B341" t="s">
        <v>1020</v>
      </c>
      <c r="C341" t="s">
        <v>140</v>
      </c>
      <c r="D341" t="s">
        <v>116</v>
      </c>
      <c r="E341" t="s">
        <v>32</v>
      </c>
      <c r="F341" t="s">
        <v>23</v>
      </c>
      <c r="G341">
        <v>20</v>
      </c>
      <c r="H341">
        <v>31.79</v>
      </c>
      <c r="I341">
        <v>635.79999999999995</v>
      </c>
      <c r="J341">
        <v>38.43</v>
      </c>
      <c r="K341">
        <v>237.37</v>
      </c>
      <c r="L341" t="s">
        <v>24</v>
      </c>
      <c r="M341" t="s">
        <v>34</v>
      </c>
      <c r="N341" t="s">
        <v>76</v>
      </c>
    </row>
    <row r="342" spans="1:14" x14ac:dyDescent="0.3">
      <c r="A342" t="s">
        <v>769</v>
      </c>
      <c r="B342" t="s">
        <v>1020</v>
      </c>
      <c r="C342" t="s">
        <v>20</v>
      </c>
      <c r="D342" t="s">
        <v>206</v>
      </c>
      <c r="E342" t="s">
        <v>32</v>
      </c>
      <c r="F342" t="s">
        <v>23</v>
      </c>
      <c r="G342">
        <v>8</v>
      </c>
      <c r="H342">
        <v>28.94</v>
      </c>
      <c r="I342">
        <v>231.52</v>
      </c>
      <c r="J342">
        <v>7</v>
      </c>
      <c r="K342">
        <v>80.52</v>
      </c>
      <c r="L342" t="s">
        <v>48</v>
      </c>
      <c r="M342" t="s">
        <v>34</v>
      </c>
      <c r="N342" t="s">
        <v>207</v>
      </c>
    </row>
    <row r="343" spans="1:14" x14ac:dyDescent="0.3">
      <c r="A343" t="s">
        <v>771</v>
      </c>
      <c r="B343" t="s">
        <v>1010</v>
      </c>
      <c r="C343" t="s">
        <v>334</v>
      </c>
      <c r="D343" t="s">
        <v>171</v>
      </c>
      <c r="E343" t="s">
        <v>32</v>
      </c>
      <c r="F343" t="s">
        <v>23</v>
      </c>
      <c r="G343">
        <v>40</v>
      </c>
      <c r="H343">
        <v>30.66</v>
      </c>
      <c r="I343">
        <v>1226.4000000000001</v>
      </c>
      <c r="J343">
        <v>85.24</v>
      </c>
      <c r="K343">
        <v>421.16</v>
      </c>
      <c r="L343" t="s">
        <v>24</v>
      </c>
      <c r="M343" t="s">
        <v>25</v>
      </c>
      <c r="N343" t="s">
        <v>35</v>
      </c>
    </row>
    <row r="344" spans="1:14" x14ac:dyDescent="0.3">
      <c r="A344" t="s">
        <v>773</v>
      </c>
      <c r="B344" t="s">
        <v>1020</v>
      </c>
      <c r="C344" t="s">
        <v>539</v>
      </c>
      <c r="D344" t="s">
        <v>206</v>
      </c>
      <c r="E344" t="s">
        <v>46</v>
      </c>
      <c r="F344" t="s">
        <v>47</v>
      </c>
      <c r="G344">
        <v>44</v>
      </c>
      <c r="H344">
        <v>54.09</v>
      </c>
      <c r="I344">
        <v>2379.96</v>
      </c>
      <c r="J344">
        <v>106.39</v>
      </c>
      <c r="K344">
        <v>865.57</v>
      </c>
      <c r="L344" t="s">
        <v>24</v>
      </c>
      <c r="M344" t="s">
        <v>34</v>
      </c>
      <c r="N344" t="s">
        <v>207</v>
      </c>
    </row>
    <row r="345" spans="1:14" x14ac:dyDescent="0.3">
      <c r="A345" t="s">
        <v>774</v>
      </c>
      <c r="B345" t="s">
        <v>1008</v>
      </c>
      <c r="C345" t="s">
        <v>177</v>
      </c>
      <c r="D345" t="s">
        <v>116</v>
      </c>
      <c r="E345" t="s">
        <v>56</v>
      </c>
      <c r="F345" t="s">
        <v>57</v>
      </c>
      <c r="G345">
        <v>32</v>
      </c>
      <c r="H345">
        <v>68.89</v>
      </c>
      <c r="I345">
        <v>2204.48</v>
      </c>
      <c r="J345">
        <v>152.05000000000001</v>
      </c>
      <c r="K345">
        <v>772.43</v>
      </c>
      <c r="L345" t="s">
        <v>24</v>
      </c>
      <c r="M345" t="s">
        <v>34</v>
      </c>
      <c r="N345" t="s">
        <v>76</v>
      </c>
    </row>
    <row r="346" spans="1:14" x14ac:dyDescent="0.3">
      <c r="A346" t="s">
        <v>775</v>
      </c>
      <c r="B346" t="s">
        <v>1021</v>
      </c>
      <c r="C346" t="s">
        <v>732</v>
      </c>
      <c r="D346" t="s">
        <v>70</v>
      </c>
      <c r="E346" t="s">
        <v>22</v>
      </c>
      <c r="F346" t="s">
        <v>23</v>
      </c>
      <c r="G346">
        <v>44</v>
      </c>
      <c r="H346">
        <v>43.35</v>
      </c>
      <c r="I346">
        <v>1907.4</v>
      </c>
      <c r="J346">
        <v>99.05</v>
      </c>
      <c r="K346">
        <v>268.35000000000002</v>
      </c>
      <c r="L346" t="s">
        <v>48</v>
      </c>
      <c r="M346" t="s">
        <v>34</v>
      </c>
      <c r="N346" t="s">
        <v>76</v>
      </c>
    </row>
    <row r="347" spans="1:14" x14ac:dyDescent="0.3">
      <c r="A347" t="s">
        <v>777</v>
      </c>
      <c r="B347" t="s">
        <v>1019</v>
      </c>
      <c r="C347" t="s">
        <v>30</v>
      </c>
      <c r="D347" t="s">
        <v>62</v>
      </c>
      <c r="E347" t="s">
        <v>137</v>
      </c>
      <c r="F347" t="s">
        <v>68</v>
      </c>
      <c r="G347">
        <v>24</v>
      </c>
      <c r="H347">
        <v>34</v>
      </c>
      <c r="I347">
        <v>816</v>
      </c>
      <c r="J347">
        <v>42.15</v>
      </c>
      <c r="K347">
        <v>101.85</v>
      </c>
      <c r="L347" t="s">
        <v>48</v>
      </c>
      <c r="M347" t="s">
        <v>25</v>
      </c>
      <c r="N347" t="s">
        <v>98</v>
      </c>
    </row>
    <row r="348" spans="1:14" x14ac:dyDescent="0.3">
      <c r="A348" t="s">
        <v>779</v>
      </c>
      <c r="B348" t="s">
        <v>1017</v>
      </c>
      <c r="C348" t="s">
        <v>238</v>
      </c>
      <c r="D348" t="s">
        <v>51</v>
      </c>
      <c r="E348" t="s">
        <v>32</v>
      </c>
      <c r="F348" t="s">
        <v>23</v>
      </c>
      <c r="G348">
        <v>41</v>
      </c>
      <c r="H348">
        <v>30.25</v>
      </c>
      <c r="I348">
        <v>1240.25</v>
      </c>
      <c r="J348">
        <v>92.86</v>
      </c>
      <c r="K348">
        <v>409.39</v>
      </c>
      <c r="L348" t="s">
        <v>24</v>
      </c>
      <c r="M348" t="s">
        <v>25</v>
      </c>
      <c r="N348" t="s">
        <v>76</v>
      </c>
    </row>
    <row r="349" spans="1:14" x14ac:dyDescent="0.3">
      <c r="A349" t="s">
        <v>780</v>
      </c>
      <c r="B349" t="s">
        <v>1020</v>
      </c>
      <c r="C349" t="s">
        <v>20</v>
      </c>
      <c r="D349" t="s">
        <v>141</v>
      </c>
      <c r="E349" t="s">
        <v>81</v>
      </c>
      <c r="F349" t="s">
        <v>68</v>
      </c>
      <c r="G349">
        <v>15</v>
      </c>
      <c r="H349">
        <v>23.71</v>
      </c>
      <c r="I349">
        <v>355.65</v>
      </c>
      <c r="J349">
        <v>7.22</v>
      </c>
      <c r="K349">
        <v>115.93</v>
      </c>
      <c r="L349" t="s">
        <v>33</v>
      </c>
      <c r="M349" t="s">
        <v>34</v>
      </c>
      <c r="N349" t="s">
        <v>142</v>
      </c>
    </row>
    <row r="350" spans="1:14" x14ac:dyDescent="0.3">
      <c r="A350" t="s">
        <v>782</v>
      </c>
      <c r="B350" t="s">
        <v>1014</v>
      </c>
      <c r="C350" t="s">
        <v>197</v>
      </c>
      <c r="D350" t="s">
        <v>116</v>
      </c>
      <c r="E350" t="s">
        <v>46</v>
      </c>
      <c r="F350" t="s">
        <v>47</v>
      </c>
      <c r="G350">
        <v>33</v>
      </c>
      <c r="H350">
        <v>48.64</v>
      </c>
      <c r="I350">
        <v>1605.12</v>
      </c>
      <c r="J350">
        <v>98.71</v>
      </c>
      <c r="K350">
        <v>450.41</v>
      </c>
      <c r="L350" t="s">
        <v>24</v>
      </c>
      <c r="M350" t="s">
        <v>34</v>
      </c>
      <c r="N350" t="s">
        <v>76</v>
      </c>
    </row>
    <row r="351" spans="1:14" x14ac:dyDescent="0.3">
      <c r="A351" t="s">
        <v>783</v>
      </c>
      <c r="B351" t="s">
        <v>1009</v>
      </c>
      <c r="C351" t="s">
        <v>44</v>
      </c>
      <c r="D351" t="s">
        <v>241</v>
      </c>
      <c r="E351" t="s">
        <v>22</v>
      </c>
      <c r="F351" t="s">
        <v>23</v>
      </c>
      <c r="G351">
        <v>7</v>
      </c>
      <c r="H351">
        <v>50.94</v>
      </c>
      <c r="I351">
        <v>356.58</v>
      </c>
      <c r="J351">
        <v>11.19</v>
      </c>
      <c r="K351">
        <v>100.39</v>
      </c>
      <c r="L351" t="s">
        <v>33</v>
      </c>
      <c r="M351" t="s">
        <v>25</v>
      </c>
      <c r="N351" t="s">
        <v>35</v>
      </c>
    </row>
    <row r="352" spans="1:14" x14ac:dyDescent="0.3">
      <c r="A352" t="s">
        <v>785</v>
      </c>
      <c r="B352" t="s">
        <v>1007</v>
      </c>
      <c r="C352" t="s">
        <v>323</v>
      </c>
      <c r="D352" t="s">
        <v>206</v>
      </c>
      <c r="E352" t="s">
        <v>63</v>
      </c>
      <c r="F352" t="s">
        <v>47</v>
      </c>
      <c r="G352">
        <v>1</v>
      </c>
      <c r="H352">
        <v>31.4</v>
      </c>
      <c r="I352">
        <v>31.4</v>
      </c>
      <c r="J352">
        <v>1.1399999999999999</v>
      </c>
      <c r="K352">
        <v>10.26</v>
      </c>
      <c r="L352" t="s">
        <v>48</v>
      </c>
      <c r="M352" t="s">
        <v>34</v>
      </c>
      <c r="N352" t="s">
        <v>207</v>
      </c>
    </row>
    <row r="353" spans="1:14" x14ac:dyDescent="0.3">
      <c r="A353" t="s">
        <v>787</v>
      </c>
      <c r="B353" t="s">
        <v>1019</v>
      </c>
      <c r="C353" t="s">
        <v>317</v>
      </c>
      <c r="D353" t="s">
        <v>37</v>
      </c>
      <c r="E353" t="s">
        <v>86</v>
      </c>
      <c r="F353" t="s">
        <v>47</v>
      </c>
      <c r="G353">
        <v>28</v>
      </c>
      <c r="H353">
        <v>18.59</v>
      </c>
      <c r="I353">
        <v>520.52</v>
      </c>
      <c r="J353">
        <v>14.08</v>
      </c>
      <c r="K353">
        <v>149.44</v>
      </c>
      <c r="L353" t="s">
        <v>24</v>
      </c>
      <c r="M353" t="s">
        <v>25</v>
      </c>
      <c r="N353" t="s">
        <v>35</v>
      </c>
    </row>
    <row r="354" spans="1:14" x14ac:dyDescent="0.3">
      <c r="A354" t="s">
        <v>788</v>
      </c>
      <c r="B354" t="s">
        <v>1020</v>
      </c>
      <c r="C354" t="s">
        <v>790</v>
      </c>
      <c r="D354" t="s">
        <v>171</v>
      </c>
      <c r="E354" t="s">
        <v>81</v>
      </c>
      <c r="F354" t="s">
        <v>68</v>
      </c>
      <c r="G354">
        <v>50</v>
      </c>
      <c r="H354">
        <v>20.66</v>
      </c>
      <c r="I354">
        <v>1033</v>
      </c>
      <c r="J354">
        <v>34.130000000000003</v>
      </c>
      <c r="K354">
        <v>223.87</v>
      </c>
      <c r="L354" t="s">
        <v>48</v>
      </c>
      <c r="M354" t="s">
        <v>34</v>
      </c>
      <c r="N354" t="s">
        <v>35</v>
      </c>
    </row>
    <row r="355" spans="1:14" x14ac:dyDescent="0.3">
      <c r="A355" t="s">
        <v>791</v>
      </c>
      <c r="B355" t="s">
        <v>1007</v>
      </c>
      <c r="C355" t="s">
        <v>249</v>
      </c>
      <c r="D355" t="s">
        <v>51</v>
      </c>
      <c r="E355" t="s">
        <v>22</v>
      </c>
      <c r="F355" t="s">
        <v>23</v>
      </c>
      <c r="G355">
        <v>4</v>
      </c>
      <c r="H355">
        <v>46.62</v>
      </c>
      <c r="I355">
        <v>186.48</v>
      </c>
      <c r="J355">
        <v>13.29</v>
      </c>
      <c r="K355">
        <v>33.19</v>
      </c>
      <c r="L355" t="s">
        <v>33</v>
      </c>
      <c r="M355" t="s">
        <v>25</v>
      </c>
      <c r="N355" t="s">
        <v>76</v>
      </c>
    </row>
    <row r="356" spans="1:14" x14ac:dyDescent="0.3">
      <c r="A356" t="s">
        <v>792</v>
      </c>
      <c r="B356" t="s">
        <v>1007</v>
      </c>
      <c r="C356" t="s">
        <v>732</v>
      </c>
      <c r="D356" t="s">
        <v>141</v>
      </c>
      <c r="E356" t="s">
        <v>81</v>
      </c>
      <c r="F356" t="s">
        <v>68</v>
      </c>
      <c r="G356">
        <v>37</v>
      </c>
      <c r="H356">
        <v>21.81</v>
      </c>
      <c r="I356">
        <v>806.97</v>
      </c>
      <c r="J356">
        <v>19.63</v>
      </c>
      <c r="K356">
        <v>213.84</v>
      </c>
      <c r="L356" t="s">
        <v>48</v>
      </c>
      <c r="M356" t="s">
        <v>41</v>
      </c>
      <c r="N356" t="s">
        <v>142</v>
      </c>
    </row>
    <row r="357" spans="1:14" x14ac:dyDescent="0.3">
      <c r="A357" t="s">
        <v>793</v>
      </c>
      <c r="B357" t="s">
        <v>1009</v>
      </c>
      <c r="C357" t="s">
        <v>216</v>
      </c>
      <c r="D357" t="s">
        <v>51</v>
      </c>
      <c r="E357" t="s">
        <v>81</v>
      </c>
      <c r="F357" t="s">
        <v>68</v>
      </c>
      <c r="G357">
        <v>48</v>
      </c>
      <c r="H357">
        <v>26.68</v>
      </c>
      <c r="I357">
        <v>1280.6400000000001</v>
      </c>
      <c r="J357">
        <v>55.36</v>
      </c>
      <c r="K357">
        <v>481.28</v>
      </c>
      <c r="L357" t="s">
        <v>24</v>
      </c>
      <c r="M357" t="s">
        <v>34</v>
      </c>
      <c r="N357" t="s">
        <v>76</v>
      </c>
    </row>
    <row r="358" spans="1:14" x14ac:dyDescent="0.3">
      <c r="A358" t="s">
        <v>794</v>
      </c>
      <c r="B358" t="s">
        <v>1012</v>
      </c>
      <c r="C358" t="s">
        <v>191</v>
      </c>
      <c r="D358" t="s">
        <v>45</v>
      </c>
      <c r="E358" t="s">
        <v>74</v>
      </c>
      <c r="F358" t="s">
        <v>75</v>
      </c>
      <c r="G358">
        <v>24</v>
      </c>
      <c r="H358">
        <v>42.82</v>
      </c>
      <c r="I358">
        <v>1027.68</v>
      </c>
      <c r="J358">
        <v>69.95</v>
      </c>
      <c r="K358">
        <v>357.73</v>
      </c>
      <c r="L358" t="s">
        <v>24</v>
      </c>
      <c r="M358" t="s">
        <v>25</v>
      </c>
      <c r="N358" t="s">
        <v>49</v>
      </c>
    </row>
    <row r="359" spans="1:14" x14ac:dyDescent="0.3">
      <c r="A359" t="s">
        <v>796</v>
      </c>
      <c r="B359" t="s">
        <v>1007</v>
      </c>
      <c r="C359" t="s">
        <v>194</v>
      </c>
      <c r="D359" t="s">
        <v>206</v>
      </c>
      <c r="E359" t="s">
        <v>67</v>
      </c>
      <c r="F359" t="s">
        <v>68</v>
      </c>
      <c r="G359">
        <v>26</v>
      </c>
      <c r="H359">
        <v>34.4</v>
      </c>
      <c r="I359">
        <v>894.4</v>
      </c>
      <c r="J359">
        <v>40.42</v>
      </c>
      <c r="K359">
        <v>268.98</v>
      </c>
      <c r="L359" t="s">
        <v>24</v>
      </c>
      <c r="M359" t="s">
        <v>25</v>
      </c>
      <c r="N359" t="s">
        <v>207</v>
      </c>
    </row>
    <row r="360" spans="1:14" x14ac:dyDescent="0.3">
      <c r="A360" t="s">
        <v>797</v>
      </c>
      <c r="B360" t="s">
        <v>1011</v>
      </c>
      <c r="C360" t="s">
        <v>321</v>
      </c>
      <c r="D360" t="s">
        <v>37</v>
      </c>
      <c r="E360" t="s">
        <v>22</v>
      </c>
      <c r="F360" t="s">
        <v>23</v>
      </c>
      <c r="G360">
        <v>47</v>
      </c>
      <c r="H360">
        <v>44.89</v>
      </c>
      <c r="I360">
        <v>2109.83</v>
      </c>
      <c r="J360">
        <v>45.91</v>
      </c>
      <c r="K360">
        <v>418.92</v>
      </c>
      <c r="L360" t="s">
        <v>24</v>
      </c>
      <c r="M360" t="s">
        <v>34</v>
      </c>
      <c r="N360" t="s">
        <v>35</v>
      </c>
    </row>
    <row r="361" spans="1:14" x14ac:dyDescent="0.3">
      <c r="A361" t="s">
        <v>799</v>
      </c>
      <c r="B361" t="s">
        <v>1016</v>
      </c>
      <c r="C361" t="s">
        <v>285</v>
      </c>
      <c r="D361" t="s">
        <v>51</v>
      </c>
      <c r="E361" t="s">
        <v>81</v>
      </c>
      <c r="F361" t="s">
        <v>68</v>
      </c>
      <c r="G361">
        <v>1</v>
      </c>
      <c r="H361">
        <v>18.739999999999998</v>
      </c>
      <c r="I361">
        <v>18.739999999999998</v>
      </c>
      <c r="J361">
        <v>0.5</v>
      </c>
      <c r="K361">
        <v>2.74</v>
      </c>
      <c r="L361" t="s">
        <v>48</v>
      </c>
      <c r="M361" t="s">
        <v>34</v>
      </c>
      <c r="N361" t="s">
        <v>76</v>
      </c>
    </row>
    <row r="362" spans="1:14" x14ac:dyDescent="0.3">
      <c r="A362" t="s">
        <v>800</v>
      </c>
      <c r="B362" t="s">
        <v>1016</v>
      </c>
      <c r="C362" t="s">
        <v>272</v>
      </c>
      <c r="D362" t="s">
        <v>116</v>
      </c>
      <c r="E362" t="s">
        <v>67</v>
      </c>
      <c r="F362" t="s">
        <v>68</v>
      </c>
      <c r="G362">
        <v>27</v>
      </c>
      <c r="H362">
        <v>36.270000000000003</v>
      </c>
      <c r="I362">
        <v>979.29</v>
      </c>
      <c r="J362">
        <v>54.58</v>
      </c>
      <c r="K362">
        <v>317.20999999999998</v>
      </c>
      <c r="L362" t="s">
        <v>33</v>
      </c>
      <c r="M362" t="s">
        <v>34</v>
      </c>
      <c r="N362" t="s">
        <v>76</v>
      </c>
    </row>
    <row r="363" spans="1:14" x14ac:dyDescent="0.3">
      <c r="A363" t="s">
        <v>801</v>
      </c>
      <c r="B363" t="s">
        <v>1010</v>
      </c>
      <c r="C363" t="s">
        <v>151</v>
      </c>
      <c r="D363" t="s">
        <v>241</v>
      </c>
      <c r="E363" t="s">
        <v>86</v>
      </c>
      <c r="F363" t="s">
        <v>47</v>
      </c>
      <c r="G363">
        <v>13</v>
      </c>
      <c r="H363">
        <v>18.82</v>
      </c>
      <c r="I363">
        <v>244.66</v>
      </c>
      <c r="J363">
        <v>6.49</v>
      </c>
      <c r="K363">
        <v>72.42</v>
      </c>
      <c r="L363" t="s">
        <v>48</v>
      </c>
      <c r="M363" t="s">
        <v>34</v>
      </c>
      <c r="N363" t="s">
        <v>35</v>
      </c>
    </row>
    <row r="364" spans="1:14" x14ac:dyDescent="0.3">
      <c r="A364" t="s">
        <v>802</v>
      </c>
      <c r="B364" t="s">
        <v>1008</v>
      </c>
      <c r="C364" t="s">
        <v>539</v>
      </c>
      <c r="D364" t="s">
        <v>206</v>
      </c>
      <c r="E364" t="s">
        <v>137</v>
      </c>
      <c r="F364" t="s">
        <v>68</v>
      </c>
      <c r="G364">
        <v>41</v>
      </c>
      <c r="H364">
        <v>43.19</v>
      </c>
      <c r="I364">
        <v>1770.79</v>
      </c>
      <c r="J364">
        <v>83.28</v>
      </c>
      <c r="K364">
        <v>539.51</v>
      </c>
      <c r="L364" t="s">
        <v>33</v>
      </c>
      <c r="M364" t="s">
        <v>25</v>
      </c>
      <c r="N364" t="s">
        <v>207</v>
      </c>
    </row>
    <row r="365" spans="1:14" x14ac:dyDescent="0.3">
      <c r="A365" t="s">
        <v>803</v>
      </c>
      <c r="B365" t="s">
        <v>1018</v>
      </c>
      <c r="C365" t="s">
        <v>110</v>
      </c>
      <c r="D365" t="s">
        <v>51</v>
      </c>
      <c r="E365" t="s">
        <v>137</v>
      </c>
      <c r="F365" t="s">
        <v>68</v>
      </c>
      <c r="G365">
        <v>40</v>
      </c>
      <c r="H365">
        <v>42.31</v>
      </c>
      <c r="I365">
        <v>1692.4</v>
      </c>
      <c r="J365">
        <v>118.59</v>
      </c>
      <c r="K365">
        <v>453.81</v>
      </c>
      <c r="L365" t="s">
        <v>33</v>
      </c>
      <c r="M365" t="s">
        <v>41</v>
      </c>
      <c r="N365" t="s">
        <v>76</v>
      </c>
    </row>
    <row r="366" spans="1:14" x14ac:dyDescent="0.3">
      <c r="A366" t="s">
        <v>805</v>
      </c>
      <c r="B366" t="s">
        <v>1012</v>
      </c>
      <c r="C366" t="s">
        <v>440</v>
      </c>
      <c r="D366" t="s">
        <v>70</v>
      </c>
      <c r="E366" t="s">
        <v>46</v>
      </c>
      <c r="F366" t="s">
        <v>47</v>
      </c>
      <c r="G366">
        <v>1</v>
      </c>
      <c r="H366">
        <v>57.15</v>
      </c>
      <c r="I366">
        <v>57.15</v>
      </c>
      <c r="J366">
        <v>4.1100000000000003</v>
      </c>
      <c r="K366">
        <v>21.04</v>
      </c>
      <c r="L366" t="s">
        <v>33</v>
      </c>
      <c r="M366" t="s">
        <v>25</v>
      </c>
      <c r="N366" t="s">
        <v>76</v>
      </c>
    </row>
    <row r="367" spans="1:14" x14ac:dyDescent="0.3">
      <c r="A367" t="s">
        <v>806</v>
      </c>
      <c r="B367" t="s">
        <v>1021</v>
      </c>
      <c r="C367" t="s">
        <v>269</v>
      </c>
      <c r="D367" t="s">
        <v>55</v>
      </c>
      <c r="E367" t="s">
        <v>63</v>
      </c>
      <c r="F367" t="s">
        <v>47</v>
      </c>
      <c r="G367">
        <v>15</v>
      </c>
      <c r="H367">
        <v>30.03</v>
      </c>
      <c r="I367">
        <v>450.45</v>
      </c>
      <c r="J367">
        <v>29.99</v>
      </c>
      <c r="K367">
        <v>120.46</v>
      </c>
      <c r="L367" t="s">
        <v>48</v>
      </c>
      <c r="M367" t="s">
        <v>34</v>
      </c>
      <c r="N367" t="s">
        <v>98</v>
      </c>
    </row>
    <row r="368" spans="1:14" x14ac:dyDescent="0.3">
      <c r="A368" t="s">
        <v>807</v>
      </c>
      <c r="B368" t="s">
        <v>1021</v>
      </c>
      <c r="C368" t="s">
        <v>257</v>
      </c>
      <c r="D368" t="s">
        <v>45</v>
      </c>
      <c r="E368" t="s">
        <v>63</v>
      </c>
      <c r="F368" t="s">
        <v>47</v>
      </c>
      <c r="G368">
        <v>48</v>
      </c>
      <c r="H368">
        <v>30.91</v>
      </c>
      <c r="I368">
        <v>1483.68</v>
      </c>
      <c r="J368">
        <v>85.5</v>
      </c>
      <c r="K368">
        <v>438.18</v>
      </c>
      <c r="L368" t="s">
        <v>24</v>
      </c>
      <c r="M368" t="s">
        <v>34</v>
      </c>
      <c r="N368" t="s">
        <v>49</v>
      </c>
    </row>
    <row r="369" spans="1:14" x14ac:dyDescent="0.3">
      <c r="A369" t="s">
        <v>809</v>
      </c>
      <c r="B369" t="s">
        <v>1023</v>
      </c>
      <c r="C369" t="s">
        <v>511</v>
      </c>
      <c r="D369" t="s">
        <v>62</v>
      </c>
      <c r="E369" t="s">
        <v>67</v>
      </c>
      <c r="F369" t="s">
        <v>68</v>
      </c>
      <c r="G369">
        <v>8</v>
      </c>
      <c r="H369">
        <v>32.19</v>
      </c>
      <c r="I369">
        <v>257.52</v>
      </c>
      <c r="J369">
        <v>11.85</v>
      </c>
      <c r="K369">
        <v>65.67</v>
      </c>
      <c r="L369" t="s">
        <v>24</v>
      </c>
      <c r="M369" t="s">
        <v>25</v>
      </c>
      <c r="N369" t="s">
        <v>98</v>
      </c>
    </row>
    <row r="370" spans="1:14" x14ac:dyDescent="0.3">
      <c r="A370" t="s">
        <v>811</v>
      </c>
      <c r="B370" t="s">
        <v>1014</v>
      </c>
      <c r="C370" t="s">
        <v>235</v>
      </c>
      <c r="D370" t="s">
        <v>1005</v>
      </c>
      <c r="E370" t="s">
        <v>56</v>
      </c>
      <c r="F370" t="s">
        <v>57</v>
      </c>
      <c r="G370">
        <v>22</v>
      </c>
      <c r="H370">
        <v>60.75</v>
      </c>
      <c r="I370">
        <v>1336.5</v>
      </c>
      <c r="J370">
        <v>38.340000000000003</v>
      </c>
      <c r="K370">
        <v>418.16</v>
      </c>
      <c r="L370" t="s">
        <v>24</v>
      </c>
      <c r="M370" t="s">
        <v>34</v>
      </c>
      <c r="N370" t="s">
        <v>76</v>
      </c>
    </row>
    <row r="371" spans="1:14" x14ac:dyDescent="0.3">
      <c r="A371" t="s">
        <v>813</v>
      </c>
      <c r="B371" t="s">
        <v>1020</v>
      </c>
      <c r="C371" t="s">
        <v>191</v>
      </c>
      <c r="D371" t="s">
        <v>37</v>
      </c>
      <c r="E371" t="s">
        <v>56</v>
      </c>
      <c r="F371" t="s">
        <v>57</v>
      </c>
      <c r="G371">
        <v>38</v>
      </c>
      <c r="H371">
        <v>66.06</v>
      </c>
      <c r="I371">
        <v>2510.2800000000002</v>
      </c>
      <c r="J371">
        <v>50.37</v>
      </c>
      <c r="K371">
        <v>939.91</v>
      </c>
      <c r="L371" t="s">
        <v>24</v>
      </c>
      <c r="M371" t="s">
        <v>25</v>
      </c>
      <c r="N371" t="s">
        <v>35</v>
      </c>
    </row>
    <row r="372" spans="1:14" x14ac:dyDescent="0.3">
      <c r="A372" t="s">
        <v>814</v>
      </c>
      <c r="B372" t="s">
        <v>1013</v>
      </c>
      <c r="C372" t="s">
        <v>157</v>
      </c>
      <c r="D372" t="s">
        <v>1003</v>
      </c>
      <c r="E372" t="s">
        <v>22</v>
      </c>
      <c r="F372" t="s">
        <v>23</v>
      </c>
      <c r="G372">
        <v>33</v>
      </c>
      <c r="H372">
        <v>50.88</v>
      </c>
      <c r="I372">
        <v>1679.04</v>
      </c>
      <c r="J372">
        <v>61.48</v>
      </c>
      <c r="K372">
        <v>462.56</v>
      </c>
      <c r="L372" t="s">
        <v>24</v>
      </c>
      <c r="M372" t="s">
        <v>34</v>
      </c>
      <c r="N372" t="s">
        <v>98</v>
      </c>
    </row>
    <row r="373" spans="1:14" x14ac:dyDescent="0.3">
      <c r="A373" t="s">
        <v>815</v>
      </c>
      <c r="B373" t="s">
        <v>1019</v>
      </c>
      <c r="C373" t="s">
        <v>417</v>
      </c>
      <c r="D373" t="s">
        <v>51</v>
      </c>
      <c r="E373" t="s">
        <v>137</v>
      </c>
      <c r="F373" t="s">
        <v>68</v>
      </c>
      <c r="G373">
        <v>49</v>
      </c>
      <c r="H373">
        <v>34.479999999999997</v>
      </c>
      <c r="I373">
        <v>1689.52</v>
      </c>
      <c r="J373">
        <v>53.06</v>
      </c>
      <c r="K373">
        <v>264.45999999999998</v>
      </c>
      <c r="L373" t="s">
        <v>48</v>
      </c>
      <c r="M373" t="s">
        <v>41</v>
      </c>
      <c r="N373" t="s">
        <v>76</v>
      </c>
    </row>
    <row r="374" spans="1:14" x14ac:dyDescent="0.3">
      <c r="A374" t="s">
        <v>817</v>
      </c>
      <c r="B374" t="s">
        <v>1023</v>
      </c>
      <c r="C374" t="s">
        <v>269</v>
      </c>
      <c r="D374" t="s">
        <v>127</v>
      </c>
      <c r="E374" t="s">
        <v>63</v>
      </c>
      <c r="F374" t="s">
        <v>47</v>
      </c>
      <c r="G374">
        <v>31</v>
      </c>
      <c r="H374">
        <v>25.43</v>
      </c>
      <c r="I374">
        <v>788.33</v>
      </c>
      <c r="J374">
        <v>57.81</v>
      </c>
      <c r="K374">
        <v>110.52</v>
      </c>
      <c r="L374" t="s">
        <v>24</v>
      </c>
      <c r="M374" t="s">
        <v>34</v>
      </c>
      <c r="N374" t="s">
        <v>76</v>
      </c>
    </row>
    <row r="375" spans="1:14" x14ac:dyDescent="0.3">
      <c r="A375" t="s">
        <v>818</v>
      </c>
      <c r="B375" t="s">
        <v>1017</v>
      </c>
      <c r="C375" t="s">
        <v>360</v>
      </c>
      <c r="D375" t="s">
        <v>241</v>
      </c>
      <c r="E375" t="s">
        <v>63</v>
      </c>
      <c r="F375" t="s">
        <v>47</v>
      </c>
      <c r="G375">
        <v>29</v>
      </c>
      <c r="H375">
        <v>31.68</v>
      </c>
      <c r="I375">
        <v>918.72</v>
      </c>
      <c r="J375">
        <v>22.22</v>
      </c>
      <c r="K375">
        <v>316.5</v>
      </c>
      <c r="L375" t="s">
        <v>48</v>
      </c>
      <c r="M375" t="s">
        <v>25</v>
      </c>
      <c r="N375" t="s">
        <v>35</v>
      </c>
    </row>
    <row r="376" spans="1:14" x14ac:dyDescent="0.3">
      <c r="A376" t="s">
        <v>819</v>
      </c>
      <c r="B376" t="s">
        <v>1020</v>
      </c>
      <c r="C376" t="s">
        <v>559</v>
      </c>
      <c r="D376" t="s">
        <v>116</v>
      </c>
      <c r="E376" t="s">
        <v>137</v>
      </c>
      <c r="F376" t="s">
        <v>68</v>
      </c>
      <c r="G376">
        <v>42</v>
      </c>
      <c r="H376">
        <v>33.89</v>
      </c>
      <c r="I376">
        <v>1423.38</v>
      </c>
      <c r="J376">
        <v>85.4</v>
      </c>
      <c r="K376">
        <v>161.97999999999999</v>
      </c>
      <c r="L376" t="s">
        <v>48</v>
      </c>
      <c r="M376" t="s">
        <v>25</v>
      </c>
      <c r="N376" t="s">
        <v>76</v>
      </c>
    </row>
    <row r="377" spans="1:14" x14ac:dyDescent="0.3">
      <c r="A377" t="s">
        <v>820</v>
      </c>
      <c r="B377" t="s">
        <v>1013</v>
      </c>
      <c r="C377" t="s">
        <v>66</v>
      </c>
      <c r="D377" t="s">
        <v>116</v>
      </c>
      <c r="E377" t="s">
        <v>32</v>
      </c>
      <c r="F377" t="s">
        <v>23</v>
      </c>
      <c r="G377">
        <v>13</v>
      </c>
      <c r="H377">
        <v>21.75</v>
      </c>
      <c r="I377">
        <v>282.75</v>
      </c>
      <c r="J377">
        <v>12.5</v>
      </c>
      <c r="K377">
        <v>36.25</v>
      </c>
      <c r="L377" t="s">
        <v>48</v>
      </c>
      <c r="M377" t="s">
        <v>34</v>
      </c>
      <c r="N377" t="s">
        <v>76</v>
      </c>
    </row>
    <row r="378" spans="1:14" x14ac:dyDescent="0.3">
      <c r="A378" t="s">
        <v>822</v>
      </c>
      <c r="B378" t="s">
        <v>1018</v>
      </c>
      <c r="C378" t="s">
        <v>162</v>
      </c>
      <c r="D378" t="s">
        <v>127</v>
      </c>
      <c r="E378" t="s">
        <v>67</v>
      </c>
      <c r="F378" t="s">
        <v>68</v>
      </c>
      <c r="G378">
        <v>25</v>
      </c>
      <c r="H378">
        <v>37.58</v>
      </c>
      <c r="I378">
        <v>939.5</v>
      </c>
      <c r="J378">
        <v>48.44</v>
      </c>
      <c r="K378">
        <v>328.56</v>
      </c>
      <c r="L378" t="s">
        <v>48</v>
      </c>
      <c r="M378" t="s">
        <v>41</v>
      </c>
      <c r="N378" t="s">
        <v>76</v>
      </c>
    </row>
    <row r="379" spans="1:14" x14ac:dyDescent="0.3">
      <c r="A379" t="s">
        <v>824</v>
      </c>
      <c r="B379" t="s">
        <v>1008</v>
      </c>
      <c r="C379" t="s">
        <v>480</v>
      </c>
      <c r="D379" t="s">
        <v>241</v>
      </c>
      <c r="E379" t="s">
        <v>63</v>
      </c>
      <c r="F379" t="s">
        <v>47</v>
      </c>
      <c r="G379">
        <v>16</v>
      </c>
      <c r="H379">
        <v>25.25</v>
      </c>
      <c r="I379">
        <v>404</v>
      </c>
      <c r="J379">
        <v>18.75</v>
      </c>
      <c r="K379">
        <v>65.25</v>
      </c>
      <c r="L379" t="s">
        <v>33</v>
      </c>
      <c r="M379" t="s">
        <v>41</v>
      </c>
      <c r="N379" t="s">
        <v>35</v>
      </c>
    </row>
    <row r="380" spans="1:14" x14ac:dyDescent="0.3">
      <c r="A380" t="s">
        <v>826</v>
      </c>
      <c r="B380" t="s">
        <v>1013</v>
      </c>
      <c r="C380" t="s">
        <v>381</v>
      </c>
      <c r="D380" t="s">
        <v>127</v>
      </c>
      <c r="E380" t="s">
        <v>81</v>
      </c>
      <c r="F380" t="s">
        <v>68</v>
      </c>
      <c r="G380">
        <v>37</v>
      </c>
      <c r="H380">
        <v>25.85</v>
      </c>
      <c r="I380">
        <v>956.45</v>
      </c>
      <c r="J380">
        <v>31.7</v>
      </c>
      <c r="K380">
        <v>351.25</v>
      </c>
      <c r="L380" t="s">
        <v>48</v>
      </c>
      <c r="M380" t="s">
        <v>41</v>
      </c>
      <c r="N380" t="s">
        <v>76</v>
      </c>
    </row>
    <row r="381" spans="1:14" x14ac:dyDescent="0.3">
      <c r="A381" t="s">
        <v>827</v>
      </c>
      <c r="B381" t="s">
        <v>1007</v>
      </c>
      <c r="C381" t="s">
        <v>73</v>
      </c>
      <c r="D381" t="s">
        <v>116</v>
      </c>
      <c r="E381" t="s">
        <v>63</v>
      </c>
      <c r="F381" t="s">
        <v>47</v>
      </c>
      <c r="G381">
        <v>1</v>
      </c>
      <c r="H381">
        <v>25.72</v>
      </c>
      <c r="I381">
        <v>25.72</v>
      </c>
      <c r="J381">
        <v>2.04</v>
      </c>
      <c r="K381">
        <v>3.68</v>
      </c>
      <c r="L381" t="s">
        <v>48</v>
      </c>
      <c r="M381" t="s">
        <v>41</v>
      </c>
      <c r="N381" t="s">
        <v>76</v>
      </c>
    </row>
    <row r="382" spans="1:14" x14ac:dyDescent="0.3">
      <c r="A382" t="s">
        <v>828</v>
      </c>
      <c r="B382" t="s">
        <v>1022</v>
      </c>
      <c r="C382" t="s">
        <v>539</v>
      </c>
      <c r="D382" t="s">
        <v>116</v>
      </c>
      <c r="E382" t="s">
        <v>137</v>
      </c>
      <c r="F382" t="s">
        <v>68</v>
      </c>
      <c r="G382">
        <v>48</v>
      </c>
      <c r="H382">
        <v>47.05</v>
      </c>
      <c r="I382">
        <v>2258.4</v>
      </c>
      <c r="J382">
        <v>179.44</v>
      </c>
      <c r="K382">
        <v>734.96</v>
      </c>
      <c r="L382" t="s">
        <v>33</v>
      </c>
      <c r="M382" t="s">
        <v>34</v>
      </c>
      <c r="N382" t="s">
        <v>76</v>
      </c>
    </row>
    <row r="383" spans="1:14" x14ac:dyDescent="0.3">
      <c r="A383" t="s">
        <v>829</v>
      </c>
      <c r="B383" t="s">
        <v>1018</v>
      </c>
      <c r="C383" t="s">
        <v>197</v>
      </c>
      <c r="D383" t="s">
        <v>45</v>
      </c>
      <c r="E383" t="s">
        <v>63</v>
      </c>
      <c r="F383" t="s">
        <v>47</v>
      </c>
      <c r="G383">
        <v>48</v>
      </c>
      <c r="H383">
        <v>29.94</v>
      </c>
      <c r="I383">
        <v>1437.12</v>
      </c>
      <c r="J383">
        <v>30.14</v>
      </c>
      <c r="K383">
        <v>446.98</v>
      </c>
      <c r="L383" t="s">
        <v>33</v>
      </c>
      <c r="M383" t="s">
        <v>34</v>
      </c>
      <c r="N383" t="s">
        <v>49</v>
      </c>
    </row>
    <row r="384" spans="1:14" x14ac:dyDescent="0.3">
      <c r="A384" t="s">
        <v>831</v>
      </c>
      <c r="B384" t="s">
        <v>1014</v>
      </c>
      <c r="C384" t="s">
        <v>586</v>
      </c>
      <c r="D384" t="s">
        <v>37</v>
      </c>
      <c r="E384" t="s">
        <v>67</v>
      </c>
      <c r="F384" t="s">
        <v>68</v>
      </c>
      <c r="G384">
        <v>12</v>
      </c>
      <c r="H384">
        <v>35.68</v>
      </c>
      <c r="I384">
        <v>428.16</v>
      </c>
      <c r="J384">
        <v>13.07</v>
      </c>
      <c r="K384">
        <v>145.09</v>
      </c>
      <c r="L384" t="s">
        <v>33</v>
      </c>
      <c r="M384" t="s">
        <v>41</v>
      </c>
      <c r="N384" t="s">
        <v>35</v>
      </c>
    </row>
    <row r="385" spans="1:14" x14ac:dyDescent="0.3">
      <c r="A385" t="s">
        <v>833</v>
      </c>
      <c r="B385" t="s">
        <v>1013</v>
      </c>
      <c r="C385" t="s">
        <v>455</v>
      </c>
      <c r="D385" t="s">
        <v>1003</v>
      </c>
      <c r="E385" t="s">
        <v>46</v>
      </c>
      <c r="F385" t="s">
        <v>47</v>
      </c>
      <c r="G385">
        <v>30</v>
      </c>
      <c r="H385">
        <v>49.32</v>
      </c>
      <c r="I385">
        <v>1479.6</v>
      </c>
      <c r="J385">
        <v>105.97</v>
      </c>
      <c r="K385">
        <v>413.63</v>
      </c>
      <c r="L385" t="s">
        <v>33</v>
      </c>
      <c r="M385" t="s">
        <v>34</v>
      </c>
      <c r="N385" t="s">
        <v>98</v>
      </c>
    </row>
    <row r="386" spans="1:14" x14ac:dyDescent="0.3">
      <c r="A386" t="s">
        <v>834</v>
      </c>
      <c r="B386" t="s">
        <v>1023</v>
      </c>
      <c r="C386" t="s">
        <v>475</v>
      </c>
      <c r="D386" t="s">
        <v>171</v>
      </c>
      <c r="E386" t="s">
        <v>137</v>
      </c>
      <c r="F386" t="s">
        <v>68</v>
      </c>
      <c r="G386">
        <v>27</v>
      </c>
      <c r="H386">
        <v>37.68</v>
      </c>
      <c r="I386">
        <v>1017.36</v>
      </c>
      <c r="J386">
        <v>80.739999999999995</v>
      </c>
      <c r="K386">
        <v>180.62</v>
      </c>
      <c r="L386" t="s">
        <v>48</v>
      </c>
      <c r="M386" t="s">
        <v>25</v>
      </c>
      <c r="N386" t="s">
        <v>35</v>
      </c>
    </row>
    <row r="387" spans="1:14" x14ac:dyDescent="0.3">
      <c r="A387" t="s">
        <v>835</v>
      </c>
      <c r="B387" t="s">
        <v>1020</v>
      </c>
      <c r="C387" t="s">
        <v>277</v>
      </c>
      <c r="D387" t="s">
        <v>37</v>
      </c>
      <c r="E387" t="s">
        <v>74</v>
      </c>
      <c r="F387" t="s">
        <v>75</v>
      </c>
      <c r="G387">
        <v>39</v>
      </c>
      <c r="H387">
        <v>36.340000000000003</v>
      </c>
      <c r="I387">
        <v>1417.26</v>
      </c>
      <c r="J387">
        <v>67</v>
      </c>
      <c r="K387">
        <v>375.26</v>
      </c>
      <c r="L387" t="s">
        <v>48</v>
      </c>
      <c r="M387" t="s">
        <v>34</v>
      </c>
      <c r="N387" t="s">
        <v>35</v>
      </c>
    </row>
    <row r="388" spans="1:14" x14ac:dyDescent="0.3">
      <c r="A388" t="s">
        <v>837</v>
      </c>
      <c r="B388" t="s">
        <v>1021</v>
      </c>
      <c r="C388" t="s">
        <v>73</v>
      </c>
      <c r="D388" t="s">
        <v>51</v>
      </c>
      <c r="E388" t="s">
        <v>81</v>
      </c>
      <c r="F388" t="s">
        <v>68</v>
      </c>
      <c r="G388">
        <v>16</v>
      </c>
      <c r="H388">
        <v>24.33</v>
      </c>
      <c r="I388">
        <v>389.28</v>
      </c>
      <c r="J388">
        <v>22.33</v>
      </c>
      <c r="K388">
        <v>118.95</v>
      </c>
      <c r="L388" t="s">
        <v>24</v>
      </c>
      <c r="M388" t="s">
        <v>41</v>
      </c>
      <c r="N388" t="s">
        <v>76</v>
      </c>
    </row>
    <row r="389" spans="1:14" x14ac:dyDescent="0.3">
      <c r="A389" t="s">
        <v>839</v>
      </c>
      <c r="B389" t="s">
        <v>1007</v>
      </c>
      <c r="C389" t="s">
        <v>475</v>
      </c>
      <c r="D389" t="s">
        <v>1005</v>
      </c>
      <c r="E389" t="s">
        <v>81</v>
      </c>
      <c r="F389" t="s">
        <v>68</v>
      </c>
      <c r="G389">
        <v>40</v>
      </c>
      <c r="H389">
        <v>22.28</v>
      </c>
      <c r="I389">
        <v>891.2</v>
      </c>
      <c r="J389">
        <v>32.729999999999997</v>
      </c>
      <c r="K389">
        <v>238.47</v>
      </c>
      <c r="L389" t="s">
        <v>24</v>
      </c>
      <c r="M389" t="s">
        <v>34</v>
      </c>
      <c r="N389" t="s">
        <v>76</v>
      </c>
    </row>
    <row r="390" spans="1:14" x14ac:dyDescent="0.3">
      <c r="A390" t="s">
        <v>840</v>
      </c>
      <c r="B390" t="s">
        <v>1014</v>
      </c>
      <c r="C390" t="s">
        <v>170</v>
      </c>
      <c r="D390" t="s">
        <v>127</v>
      </c>
      <c r="E390" t="s">
        <v>86</v>
      </c>
      <c r="F390" t="s">
        <v>47</v>
      </c>
      <c r="G390">
        <v>45</v>
      </c>
      <c r="H390">
        <v>21.71</v>
      </c>
      <c r="I390">
        <v>976.95</v>
      </c>
      <c r="J390">
        <v>51.6</v>
      </c>
      <c r="K390">
        <v>351.6</v>
      </c>
      <c r="L390" t="s">
        <v>24</v>
      </c>
      <c r="M390" t="s">
        <v>25</v>
      </c>
      <c r="N390" t="s">
        <v>76</v>
      </c>
    </row>
    <row r="391" spans="1:14" x14ac:dyDescent="0.3">
      <c r="A391" t="s">
        <v>841</v>
      </c>
      <c r="B391" t="s">
        <v>1014</v>
      </c>
      <c r="C391" t="s">
        <v>288</v>
      </c>
      <c r="D391" t="s">
        <v>241</v>
      </c>
      <c r="E391" t="s">
        <v>74</v>
      </c>
      <c r="F391" t="s">
        <v>75</v>
      </c>
      <c r="G391">
        <v>8</v>
      </c>
      <c r="H391">
        <v>31.07</v>
      </c>
      <c r="I391">
        <v>248.56</v>
      </c>
      <c r="J391">
        <v>10.97</v>
      </c>
      <c r="K391">
        <v>37.590000000000003</v>
      </c>
      <c r="L391" t="s">
        <v>24</v>
      </c>
      <c r="M391" t="s">
        <v>34</v>
      </c>
      <c r="N391" t="s">
        <v>35</v>
      </c>
    </row>
    <row r="392" spans="1:14" x14ac:dyDescent="0.3">
      <c r="A392" t="s">
        <v>842</v>
      </c>
      <c r="B392" t="s">
        <v>1017</v>
      </c>
      <c r="C392" t="s">
        <v>369</v>
      </c>
      <c r="D392" t="s">
        <v>171</v>
      </c>
      <c r="E392" t="s">
        <v>86</v>
      </c>
      <c r="F392" t="s">
        <v>47</v>
      </c>
      <c r="G392">
        <v>47</v>
      </c>
      <c r="H392">
        <v>21.93</v>
      </c>
      <c r="I392">
        <v>1030.71</v>
      </c>
      <c r="J392">
        <v>70.989999999999995</v>
      </c>
      <c r="K392">
        <v>360.47</v>
      </c>
      <c r="L392" t="s">
        <v>48</v>
      </c>
      <c r="M392" t="s">
        <v>25</v>
      </c>
      <c r="N392" t="s">
        <v>35</v>
      </c>
    </row>
    <row r="393" spans="1:14" x14ac:dyDescent="0.3">
      <c r="A393" t="s">
        <v>844</v>
      </c>
      <c r="B393" t="s">
        <v>1019</v>
      </c>
      <c r="C393" t="s">
        <v>165</v>
      </c>
      <c r="D393" t="s">
        <v>171</v>
      </c>
      <c r="E393" t="s">
        <v>86</v>
      </c>
      <c r="F393" t="s">
        <v>47</v>
      </c>
      <c r="G393">
        <v>46</v>
      </c>
      <c r="H393">
        <v>21.46</v>
      </c>
      <c r="I393">
        <v>987.16</v>
      </c>
      <c r="J393">
        <v>21.64</v>
      </c>
      <c r="K393">
        <v>379.02</v>
      </c>
      <c r="L393" t="s">
        <v>33</v>
      </c>
      <c r="M393" t="s">
        <v>25</v>
      </c>
      <c r="N393" t="s">
        <v>35</v>
      </c>
    </row>
    <row r="394" spans="1:14" x14ac:dyDescent="0.3">
      <c r="A394" t="s">
        <v>846</v>
      </c>
      <c r="B394" t="s">
        <v>1008</v>
      </c>
      <c r="C394" t="s">
        <v>126</v>
      </c>
      <c r="D394" t="s">
        <v>1003</v>
      </c>
      <c r="E394" t="s">
        <v>137</v>
      </c>
      <c r="F394" t="s">
        <v>68</v>
      </c>
      <c r="G394">
        <v>45</v>
      </c>
      <c r="H394">
        <v>47.1</v>
      </c>
      <c r="I394">
        <v>2119.5</v>
      </c>
      <c r="J394">
        <v>120.16</v>
      </c>
      <c r="K394">
        <v>739.34</v>
      </c>
      <c r="L394" t="s">
        <v>33</v>
      </c>
      <c r="M394" t="s">
        <v>34</v>
      </c>
      <c r="N394" t="s">
        <v>98</v>
      </c>
    </row>
    <row r="395" spans="1:14" x14ac:dyDescent="0.3">
      <c r="A395" t="s">
        <v>848</v>
      </c>
      <c r="B395" t="s">
        <v>1020</v>
      </c>
      <c r="C395" t="s">
        <v>20</v>
      </c>
      <c r="D395" t="s">
        <v>70</v>
      </c>
      <c r="E395" t="s">
        <v>22</v>
      </c>
      <c r="F395" t="s">
        <v>23</v>
      </c>
      <c r="G395">
        <v>2</v>
      </c>
      <c r="H395">
        <v>58.32</v>
      </c>
      <c r="I395">
        <v>116.64</v>
      </c>
      <c r="J395">
        <v>8.99</v>
      </c>
      <c r="K395">
        <v>37.65</v>
      </c>
      <c r="L395" t="s">
        <v>24</v>
      </c>
      <c r="M395" t="s">
        <v>34</v>
      </c>
      <c r="N395" t="s">
        <v>76</v>
      </c>
    </row>
    <row r="396" spans="1:14" x14ac:dyDescent="0.3">
      <c r="A396" t="s">
        <v>849</v>
      </c>
      <c r="B396" t="s">
        <v>1017</v>
      </c>
      <c r="C396" t="s">
        <v>475</v>
      </c>
      <c r="D396" t="s">
        <v>171</v>
      </c>
      <c r="E396" t="s">
        <v>22</v>
      </c>
      <c r="F396" t="s">
        <v>23</v>
      </c>
      <c r="G396">
        <v>31</v>
      </c>
      <c r="H396">
        <v>61.34</v>
      </c>
      <c r="I396">
        <v>1901.54</v>
      </c>
      <c r="J396">
        <v>147.43</v>
      </c>
      <c r="K396">
        <v>669.11</v>
      </c>
      <c r="L396" t="s">
        <v>33</v>
      </c>
      <c r="M396" t="s">
        <v>25</v>
      </c>
      <c r="N396" t="s">
        <v>35</v>
      </c>
    </row>
    <row r="397" spans="1:14" x14ac:dyDescent="0.3">
      <c r="A397" t="s">
        <v>851</v>
      </c>
      <c r="B397" t="s">
        <v>1018</v>
      </c>
      <c r="C397" t="s">
        <v>266</v>
      </c>
      <c r="D397" t="s">
        <v>55</v>
      </c>
      <c r="E397" t="s">
        <v>74</v>
      </c>
      <c r="F397" t="s">
        <v>75</v>
      </c>
      <c r="G397">
        <v>15</v>
      </c>
      <c r="H397">
        <v>43.9</v>
      </c>
      <c r="I397">
        <v>658.5</v>
      </c>
      <c r="J397">
        <v>36.479999999999997</v>
      </c>
      <c r="K397">
        <v>247.02</v>
      </c>
      <c r="L397" t="s">
        <v>48</v>
      </c>
      <c r="M397" t="s">
        <v>34</v>
      </c>
      <c r="N397" t="s">
        <v>98</v>
      </c>
    </row>
    <row r="398" spans="1:14" x14ac:dyDescent="0.3">
      <c r="A398" t="s">
        <v>853</v>
      </c>
      <c r="B398" t="s">
        <v>1022</v>
      </c>
      <c r="C398" t="s">
        <v>266</v>
      </c>
      <c r="D398" t="s">
        <v>37</v>
      </c>
      <c r="E398" t="s">
        <v>86</v>
      </c>
      <c r="F398" t="s">
        <v>47</v>
      </c>
      <c r="G398">
        <v>4</v>
      </c>
      <c r="H398">
        <v>20.53</v>
      </c>
      <c r="I398">
        <v>82.12</v>
      </c>
      <c r="J398">
        <v>4.05</v>
      </c>
      <c r="K398">
        <v>27.07</v>
      </c>
      <c r="L398" t="s">
        <v>24</v>
      </c>
      <c r="M398" t="s">
        <v>41</v>
      </c>
      <c r="N398" t="s">
        <v>35</v>
      </c>
    </row>
    <row r="399" spans="1:14" x14ac:dyDescent="0.3">
      <c r="A399" t="s">
        <v>855</v>
      </c>
      <c r="B399" t="s">
        <v>1019</v>
      </c>
      <c r="C399" t="s">
        <v>238</v>
      </c>
      <c r="D399" t="s">
        <v>206</v>
      </c>
      <c r="E399" t="s">
        <v>63</v>
      </c>
      <c r="F399" t="s">
        <v>47</v>
      </c>
      <c r="G399">
        <v>6</v>
      </c>
      <c r="H399">
        <v>24.7</v>
      </c>
      <c r="I399">
        <v>148.19999999999999</v>
      </c>
      <c r="J399">
        <v>3.76</v>
      </c>
      <c r="K399">
        <v>24.44</v>
      </c>
      <c r="L399" t="s">
        <v>48</v>
      </c>
      <c r="M399" t="s">
        <v>25</v>
      </c>
      <c r="N399" t="s">
        <v>207</v>
      </c>
    </row>
    <row r="400" spans="1:14" x14ac:dyDescent="0.3">
      <c r="A400" t="s">
        <v>856</v>
      </c>
      <c r="B400" t="s">
        <v>1016</v>
      </c>
      <c r="C400" t="s">
        <v>521</v>
      </c>
      <c r="D400" t="s">
        <v>45</v>
      </c>
      <c r="E400" t="s">
        <v>86</v>
      </c>
      <c r="F400" t="s">
        <v>47</v>
      </c>
      <c r="G400">
        <v>19</v>
      </c>
      <c r="H400">
        <v>19.170000000000002</v>
      </c>
      <c r="I400">
        <v>364.23</v>
      </c>
      <c r="J400">
        <v>15.16</v>
      </c>
      <c r="K400">
        <v>106.82</v>
      </c>
      <c r="L400" t="s">
        <v>33</v>
      </c>
      <c r="M400" t="s">
        <v>34</v>
      </c>
      <c r="N400" t="s">
        <v>49</v>
      </c>
    </row>
    <row r="401" spans="1:14" x14ac:dyDescent="0.3">
      <c r="A401" t="s">
        <v>858</v>
      </c>
      <c r="B401" t="s">
        <v>1021</v>
      </c>
      <c r="C401" t="s">
        <v>630</v>
      </c>
      <c r="D401" t="s">
        <v>51</v>
      </c>
      <c r="E401" t="s">
        <v>56</v>
      </c>
      <c r="F401" t="s">
        <v>57</v>
      </c>
      <c r="G401">
        <v>2</v>
      </c>
      <c r="H401">
        <v>55.28</v>
      </c>
      <c r="I401">
        <v>110.56</v>
      </c>
      <c r="J401">
        <v>5.37</v>
      </c>
      <c r="K401">
        <v>25.19</v>
      </c>
      <c r="L401" t="s">
        <v>48</v>
      </c>
      <c r="M401" t="s">
        <v>34</v>
      </c>
      <c r="N401" t="s">
        <v>76</v>
      </c>
    </row>
    <row r="402" spans="1:14" x14ac:dyDescent="0.3">
      <c r="A402" t="s">
        <v>859</v>
      </c>
      <c r="B402" t="s">
        <v>1011</v>
      </c>
      <c r="C402" t="s">
        <v>334</v>
      </c>
      <c r="D402" t="s">
        <v>45</v>
      </c>
      <c r="E402" t="s">
        <v>74</v>
      </c>
      <c r="F402" t="s">
        <v>75</v>
      </c>
      <c r="G402">
        <v>49</v>
      </c>
      <c r="H402">
        <v>43.91</v>
      </c>
      <c r="I402">
        <v>2151.59</v>
      </c>
      <c r="J402">
        <v>63.55</v>
      </c>
      <c r="K402">
        <v>863.04</v>
      </c>
      <c r="L402" t="s">
        <v>24</v>
      </c>
      <c r="M402" t="s">
        <v>34</v>
      </c>
      <c r="N402" t="s">
        <v>49</v>
      </c>
    </row>
    <row r="403" spans="1:14" x14ac:dyDescent="0.3">
      <c r="A403" t="s">
        <v>861</v>
      </c>
      <c r="B403" t="s">
        <v>1009</v>
      </c>
      <c r="C403" t="s">
        <v>307</v>
      </c>
      <c r="D403" t="s">
        <v>45</v>
      </c>
      <c r="E403" t="s">
        <v>74</v>
      </c>
      <c r="F403" t="s">
        <v>75</v>
      </c>
      <c r="G403">
        <v>29</v>
      </c>
      <c r="H403">
        <v>41.84</v>
      </c>
      <c r="I403">
        <v>1213.3599999999999</v>
      </c>
      <c r="J403">
        <v>56.83</v>
      </c>
      <c r="K403">
        <v>431.53</v>
      </c>
      <c r="L403" t="s">
        <v>48</v>
      </c>
      <c r="M403" t="s">
        <v>41</v>
      </c>
      <c r="N403" t="s">
        <v>49</v>
      </c>
    </row>
    <row r="404" spans="1:14" x14ac:dyDescent="0.3">
      <c r="A404" t="s">
        <v>863</v>
      </c>
      <c r="B404" t="s">
        <v>1011</v>
      </c>
      <c r="C404" t="s">
        <v>282</v>
      </c>
      <c r="D404" t="s">
        <v>141</v>
      </c>
      <c r="E404" t="s">
        <v>81</v>
      </c>
      <c r="F404" t="s">
        <v>68</v>
      </c>
      <c r="G404">
        <v>43</v>
      </c>
      <c r="H404">
        <v>27.41</v>
      </c>
      <c r="I404">
        <v>1178.6300000000001</v>
      </c>
      <c r="J404">
        <v>55.82</v>
      </c>
      <c r="K404">
        <v>456.31</v>
      </c>
      <c r="L404" t="s">
        <v>48</v>
      </c>
      <c r="M404" t="s">
        <v>34</v>
      </c>
      <c r="N404" t="s">
        <v>142</v>
      </c>
    </row>
    <row r="405" spans="1:14" x14ac:dyDescent="0.3">
      <c r="A405" t="s">
        <v>864</v>
      </c>
      <c r="B405" t="s">
        <v>1014</v>
      </c>
      <c r="C405" t="s">
        <v>743</v>
      </c>
      <c r="D405" t="s">
        <v>62</v>
      </c>
      <c r="E405" t="s">
        <v>63</v>
      </c>
      <c r="F405" t="s">
        <v>47</v>
      </c>
      <c r="G405">
        <v>28</v>
      </c>
      <c r="H405">
        <v>31.84</v>
      </c>
      <c r="I405">
        <v>891.52</v>
      </c>
      <c r="J405">
        <v>54.24</v>
      </c>
      <c r="K405">
        <v>277.27999999999997</v>
      </c>
      <c r="L405" t="s">
        <v>24</v>
      </c>
      <c r="M405" t="s">
        <v>34</v>
      </c>
      <c r="N405" t="s">
        <v>98</v>
      </c>
    </row>
    <row r="406" spans="1:14" x14ac:dyDescent="0.3">
      <c r="A406" t="s">
        <v>865</v>
      </c>
      <c r="B406" t="s">
        <v>1016</v>
      </c>
      <c r="C406" t="s">
        <v>462</v>
      </c>
      <c r="D406" t="s">
        <v>51</v>
      </c>
      <c r="E406" t="s">
        <v>74</v>
      </c>
      <c r="F406" t="s">
        <v>75</v>
      </c>
      <c r="G406">
        <v>42</v>
      </c>
      <c r="H406">
        <v>35.840000000000003</v>
      </c>
      <c r="I406">
        <v>1505.28</v>
      </c>
      <c r="J406">
        <v>60.65</v>
      </c>
      <c r="K406">
        <v>394.63</v>
      </c>
      <c r="L406" t="s">
        <v>48</v>
      </c>
      <c r="M406" t="s">
        <v>34</v>
      </c>
      <c r="N406" t="s">
        <v>76</v>
      </c>
    </row>
    <row r="407" spans="1:14" x14ac:dyDescent="0.3">
      <c r="A407" t="s">
        <v>866</v>
      </c>
      <c r="B407" t="s">
        <v>1013</v>
      </c>
      <c r="C407" t="s">
        <v>85</v>
      </c>
      <c r="D407" t="s">
        <v>116</v>
      </c>
      <c r="E407" t="s">
        <v>67</v>
      </c>
      <c r="F407" t="s">
        <v>68</v>
      </c>
      <c r="G407">
        <v>22</v>
      </c>
      <c r="H407">
        <v>30.55</v>
      </c>
      <c r="I407">
        <v>672.1</v>
      </c>
      <c r="J407">
        <v>46.8</v>
      </c>
      <c r="K407">
        <v>130.30000000000001</v>
      </c>
      <c r="L407" t="s">
        <v>33</v>
      </c>
      <c r="M407" t="s">
        <v>41</v>
      </c>
      <c r="N407" t="s">
        <v>76</v>
      </c>
    </row>
    <row r="408" spans="1:14" x14ac:dyDescent="0.3">
      <c r="A408" t="s">
        <v>867</v>
      </c>
      <c r="B408" t="s">
        <v>1015</v>
      </c>
      <c r="C408" t="s">
        <v>352</v>
      </c>
      <c r="D408" t="s">
        <v>127</v>
      </c>
      <c r="E408" t="s">
        <v>137</v>
      </c>
      <c r="F408" t="s">
        <v>68</v>
      </c>
      <c r="G408">
        <v>13</v>
      </c>
      <c r="H408">
        <v>45.16</v>
      </c>
      <c r="I408">
        <v>587.08000000000004</v>
      </c>
      <c r="J408">
        <v>29.68</v>
      </c>
      <c r="K408">
        <v>193.4</v>
      </c>
      <c r="L408" t="s">
        <v>33</v>
      </c>
      <c r="M408" t="s">
        <v>34</v>
      </c>
      <c r="N408" t="s">
        <v>76</v>
      </c>
    </row>
    <row r="409" spans="1:14" x14ac:dyDescent="0.3">
      <c r="A409" t="s">
        <v>868</v>
      </c>
      <c r="B409" t="s">
        <v>1011</v>
      </c>
      <c r="C409" t="s">
        <v>227</v>
      </c>
      <c r="D409" t="s">
        <v>206</v>
      </c>
      <c r="E409" t="s">
        <v>22</v>
      </c>
      <c r="F409" t="s">
        <v>23</v>
      </c>
      <c r="G409">
        <v>40</v>
      </c>
      <c r="H409">
        <v>45.23</v>
      </c>
      <c r="I409">
        <v>1809.2</v>
      </c>
      <c r="J409">
        <v>136.25</v>
      </c>
      <c r="K409">
        <v>272.95</v>
      </c>
      <c r="L409" t="s">
        <v>48</v>
      </c>
      <c r="M409" t="s">
        <v>41</v>
      </c>
      <c r="N409" t="s">
        <v>207</v>
      </c>
    </row>
    <row r="410" spans="1:14" x14ac:dyDescent="0.3">
      <c r="A410" t="s">
        <v>869</v>
      </c>
      <c r="B410" t="s">
        <v>1023</v>
      </c>
      <c r="C410" t="s">
        <v>410</v>
      </c>
      <c r="D410" t="s">
        <v>127</v>
      </c>
      <c r="E410" t="s">
        <v>32</v>
      </c>
      <c r="F410" t="s">
        <v>23</v>
      </c>
      <c r="G410">
        <v>41</v>
      </c>
      <c r="H410">
        <v>22.78</v>
      </c>
      <c r="I410">
        <v>933.98</v>
      </c>
      <c r="J410">
        <v>38.369999999999997</v>
      </c>
      <c r="K410">
        <v>157.61000000000001</v>
      </c>
      <c r="L410" t="s">
        <v>33</v>
      </c>
      <c r="M410" t="s">
        <v>25</v>
      </c>
      <c r="N410" t="s">
        <v>76</v>
      </c>
    </row>
    <row r="411" spans="1:14" x14ac:dyDescent="0.3">
      <c r="A411" t="s">
        <v>870</v>
      </c>
      <c r="B411" t="s">
        <v>1019</v>
      </c>
      <c r="C411" t="s">
        <v>165</v>
      </c>
      <c r="D411" t="s">
        <v>171</v>
      </c>
      <c r="E411" t="s">
        <v>81</v>
      </c>
      <c r="F411" t="s">
        <v>68</v>
      </c>
      <c r="G411">
        <v>34</v>
      </c>
      <c r="H411">
        <v>24.21</v>
      </c>
      <c r="I411">
        <v>823.14</v>
      </c>
      <c r="J411">
        <v>58.25</v>
      </c>
      <c r="K411">
        <v>237.89</v>
      </c>
      <c r="L411" t="s">
        <v>24</v>
      </c>
      <c r="M411" t="s">
        <v>25</v>
      </c>
      <c r="N411" t="s">
        <v>35</v>
      </c>
    </row>
    <row r="412" spans="1:14" x14ac:dyDescent="0.3">
      <c r="A412" t="s">
        <v>872</v>
      </c>
      <c r="B412" t="s">
        <v>1015</v>
      </c>
      <c r="C412" t="s">
        <v>185</v>
      </c>
      <c r="D412" t="s">
        <v>1004</v>
      </c>
      <c r="E412" t="s">
        <v>63</v>
      </c>
      <c r="F412" t="s">
        <v>47</v>
      </c>
      <c r="G412">
        <v>46</v>
      </c>
      <c r="H412">
        <v>34.64</v>
      </c>
      <c r="I412">
        <v>1593.44</v>
      </c>
      <c r="J412">
        <v>45.93</v>
      </c>
      <c r="K412">
        <v>627.51</v>
      </c>
      <c r="L412" t="s">
        <v>48</v>
      </c>
      <c r="M412" t="s">
        <v>25</v>
      </c>
      <c r="N412" t="s">
        <v>35</v>
      </c>
    </row>
    <row r="413" spans="1:14" x14ac:dyDescent="0.3">
      <c r="A413" t="s">
        <v>873</v>
      </c>
      <c r="B413" t="s">
        <v>1023</v>
      </c>
      <c r="C413" t="s">
        <v>227</v>
      </c>
      <c r="D413" t="s">
        <v>55</v>
      </c>
      <c r="E413" t="s">
        <v>63</v>
      </c>
      <c r="F413" t="s">
        <v>47</v>
      </c>
      <c r="G413">
        <v>10</v>
      </c>
      <c r="H413">
        <v>27.06</v>
      </c>
      <c r="I413">
        <v>270.60000000000002</v>
      </c>
      <c r="J413">
        <v>15.35</v>
      </c>
      <c r="K413">
        <v>55.25</v>
      </c>
      <c r="L413" t="s">
        <v>24</v>
      </c>
      <c r="M413" t="s">
        <v>41</v>
      </c>
      <c r="N413" t="s">
        <v>98</v>
      </c>
    </row>
    <row r="414" spans="1:14" x14ac:dyDescent="0.3">
      <c r="A414" t="s">
        <v>875</v>
      </c>
      <c r="B414" t="s">
        <v>1010</v>
      </c>
      <c r="C414" t="s">
        <v>222</v>
      </c>
      <c r="D414" t="s">
        <v>1004</v>
      </c>
      <c r="E414" t="s">
        <v>32</v>
      </c>
      <c r="F414" t="s">
        <v>23</v>
      </c>
      <c r="G414">
        <v>11</v>
      </c>
      <c r="H414">
        <v>27.74</v>
      </c>
      <c r="I414">
        <v>305.14</v>
      </c>
      <c r="J414">
        <v>10.81</v>
      </c>
      <c r="K414">
        <v>96.33</v>
      </c>
      <c r="L414" t="s">
        <v>33</v>
      </c>
      <c r="M414" t="s">
        <v>41</v>
      </c>
      <c r="N414" t="s">
        <v>35</v>
      </c>
    </row>
    <row r="415" spans="1:14" x14ac:dyDescent="0.3">
      <c r="A415" t="s">
        <v>876</v>
      </c>
      <c r="B415" t="s">
        <v>1023</v>
      </c>
      <c r="C415" t="s">
        <v>157</v>
      </c>
      <c r="D415" t="s">
        <v>55</v>
      </c>
      <c r="E415" t="s">
        <v>137</v>
      </c>
      <c r="F415" t="s">
        <v>68</v>
      </c>
      <c r="G415">
        <v>29</v>
      </c>
      <c r="H415">
        <v>38.08</v>
      </c>
      <c r="I415">
        <v>1104.32</v>
      </c>
      <c r="J415">
        <v>25.63</v>
      </c>
      <c r="K415">
        <v>266.69</v>
      </c>
      <c r="L415" t="s">
        <v>33</v>
      </c>
      <c r="M415" t="s">
        <v>41</v>
      </c>
      <c r="N415" t="s">
        <v>98</v>
      </c>
    </row>
    <row r="416" spans="1:14" x14ac:dyDescent="0.3">
      <c r="A416" t="s">
        <v>878</v>
      </c>
      <c r="B416" t="s">
        <v>1015</v>
      </c>
      <c r="C416" t="s">
        <v>191</v>
      </c>
      <c r="D416" t="s">
        <v>55</v>
      </c>
      <c r="E416" t="s">
        <v>137</v>
      </c>
      <c r="F416" t="s">
        <v>68</v>
      </c>
      <c r="G416">
        <v>18</v>
      </c>
      <c r="H416">
        <v>43.65</v>
      </c>
      <c r="I416">
        <v>785.7</v>
      </c>
      <c r="J416">
        <v>54.52</v>
      </c>
      <c r="K416">
        <v>227.18</v>
      </c>
      <c r="L416" t="s">
        <v>33</v>
      </c>
      <c r="M416" t="s">
        <v>25</v>
      </c>
      <c r="N416" t="s">
        <v>98</v>
      </c>
    </row>
    <row r="417" spans="1:14" x14ac:dyDescent="0.3">
      <c r="A417" t="s">
        <v>879</v>
      </c>
      <c r="B417" t="s">
        <v>1017</v>
      </c>
      <c r="C417" t="s">
        <v>559</v>
      </c>
      <c r="D417" t="s">
        <v>171</v>
      </c>
      <c r="E417" t="s">
        <v>22</v>
      </c>
      <c r="F417" t="s">
        <v>23</v>
      </c>
      <c r="G417">
        <v>49</v>
      </c>
      <c r="H417">
        <v>51.97</v>
      </c>
      <c r="I417">
        <v>2546.5300000000002</v>
      </c>
      <c r="J417">
        <v>112.26</v>
      </c>
      <c r="K417">
        <v>719.27</v>
      </c>
      <c r="L417" t="s">
        <v>33</v>
      </c>
      <c r="M417" t="s">
        <v>34</v>
      </c>
      <c r="N417" t="s">
        <v>35</v>
      </c>
    </row>
    <row r="418" spans="1:14" x14ac:dyDescent="0.3">
      <c r="A418" t="s">
        <v>880</v>
      </c>
      <c r="B418" t="s">
        <v>1007</v>
      </c>
      <c r="C418" t="s">
        <v>197</v>
      </c>
      <c r="D418" t="s">
        <v>116</v>
      </c>
      <c r="E418" t="s">
        <v>74</v>
      </c>
      <c r="F418" t="s">
        <v>75</v>
      </c>
      <c r="G418">
        <v>13</v>
      </c>
      <c r="H418">
        <v>36.85</v>
      </c>
      <c r="I418">
        <v>479.05</v>
      </c>
      <c r="J418">
        <v>10.15</v>
      </c>
      <c r="K418">
        <v>143.9</v>
      </c>
      <c r="L418" t="s">
        <v>24</v>
      </c>
      <c r="M418" t="s">
        <v>41</v>
      </c>
      <c r="N418" t="s">
        <v>76</v>
      </c>
    </row>
    <row r="419" spans="1:14" x14ac:dyDescent="0.3">
      <c r="A419" t="s">
        <v>881</v>
      </c>
      <c r="B419" t="s">
        <v>1021</v>
      </c>
      <c r="C419" t="s">
        <v>122</v>
      </c>
      <c r="D419" t="s">
        <v>55</v>
      </c>
      <c r="E419" t="s">
        <v>46</v>
      </c>
      <c r="F419" t="s">
        <v>47</v>
      </c>
      <c r="G419">
        <v>33</v>
      </c>
      <c r="H419">
        <v>38.520000000000003</v>
      </c>
      <c r="I419">
        <v>1271.1600000000001</v>
      </c>
      <c r="J419">
        <v>81.459999999999994</v>
      </c>
      <c r="K419">
        <v>133.69999999999999</v>
      </c>
      <c r="L419" t="s">
        <v>24</v>
      </c>
      <c r="M419" t="s">
        <v>25</v>
      </c>
      <c r="N419" t="s">
        <v>98</v>
      </c>
    </row>
    <row r="420" spans="1:14" x14ac:dyDescent="0.3">
      <c r="A420" t="s">
        <v>883</v>
      </c>
      <c r="B420" t="s">
        <v>1015</v>
      </c>
      <c r="C420" t="s">
        <v>381</v>
      </c>
      <c r="D420" t="s">
        <v>51</v>
      </c>
      <c r="E420" t="s">
        <v>81</v>
      </c>
      <c r="F420" t="s">
        <v>68</v>
      </c>
      <c r="G420">
        <v>41</v>
      </c>
      <c r="H420">
        <v>26.98</v>
      </c>
      <c r="I420">
        <v>1106.18</v>
      </c>
      <c r="J420">
        <v>51.77</v>
      </c>
      <c r="K420">
        <v>418.91</v>
      </c>
      <c r="L420" t="s">
        <v>48</v>
      </c>
      <c r="M420" t="s">
        <v>34</v>
      </c>
      <c r="N420" t="s">
        <v>76</v>
      </c>
    </row>
    <row r="421" spans="1:14" x14ac:dyDescent="0.3">
      <c r="A421" t="s">
        <v>884</v>
      </c>
      <c r="B421" t="s">
        <v>1017</v>
      </c>
      <c r="C421" t="s">
        <v>157</v>
      </c>
      <c r="D421" t="s">
        <v>171</v>
      </c>
      <c r="E421" t="s">
        <v>81</v>
      </c>
      <c r="F421" t="s">
        <v>68</v>
      </c>
      <c r="G421">
        <v>4</v>
      </c>
      <c r="H421">
        <v>23.56</v>
      </c>
      <c r="I421">
        <v>94.24</v>
      </c>
      <c r="J421">
        <v>7.03</v>
      </c>
      <c r="K421">
        <v>25.21</v>
      </c>
      <c r="L421" t="s">
        <v>48</v>
      </c>
      <c r="M421" t="s">
        <v>41</v>
      </c>
      <c r="N421" t="s">
        <v>35</v>
      </c>
    </row>
    <row r="422" spans="1:14" x14ac:dyDescent="0.3">
      <c r="A422" t="s">
        <v>885</v>
      </c>
      <c r="B422" t="s">
        <v>1019</v>
      </c>
      <c r="C422" t="s">
        <v>471</v>
      </c>
      <c r="D422" t="s">
        <v>70</v>
      </c>
      <c r="E422" t="s">
        <v>46</v>
      </c>
      <c r="F422" t="s">
        <v>47</v>
      </c>
      <c r="G422">
        <v>17</v>
      </c>
      <c r="H422">
        <v>57.14</v>
      </c>
      <c r="I422">
        <v>971.38</v>
      </c>
      <c r="J422">
        <v>70.010000000000005</v>
      </c>
      <c r="K422">
        <v>357.37</v>
      </c>
      <c r="L422" t="s">
        <v>48</v>
      </c>
      <c r="M422" t="s">
        <v>34</v>
      </c>
      <c r="N422" t="s">
        <v>76</v>
      </c>
    </row>
    <row r="423" spans="1:14" x14ac:dyDescent="0.3">
      <c r="A423" t="s">
        <v>886</v>
      </c>
      <c r="B423" t="s">
        <v>1008</v>
      </c>
      <c r="C423" t="s">
        <v>182</v>
      </c>
      <c r="D423" t="s">
        <v>206</v>
      </c>
      <c r="E423" t="s">
        <v>74</v>
      </c>
      <c r="F423" t="s">
        <v>75</v>
      </c>
      <c r="G423">
        <v>44</v>
      </c>
      <c r="H423">
        <v>38.14</v>
      </c>
      <c r="I423">
        <v>1678.16</v>
      </c>
      <c r="J423">
        <v>124.49</v>
      </c>
      <c r="K423">
        <v>453.67</v>
      </c>
      <c r="L423" t="s">
        <v>48</v>
      </c>
      <c r="M423" t="s">
        <v>25</v>
      </c>
      <c r="N423" t="s">
        <v>207</v>
      </c>
    </row>
    <row r="424" spans="1:14" x14ac:dyDescent="0.3">
      <c r="A424" t="s">
        <v>888</v>
      </c>
      <c r="B424" t="s">
        <v>1019</v>
      </c>
      <c r="C424" t="s">
        <v>165</v>
      </c>
      <c r="D424" t="s">
        <v>141</v>
      </c>
      <c r="E424" t="s">
        <v>32</v>
      </c>
      <c r="F424" t="s">
        <v>23</v>
      </c>
      <c r="G424">
        <v>14</v>
      </c>
      <c r="H424">
        <v>24</v>
      </c>
      <c r="I424">
        <v>336</v>
      </c>
      <c r="J424">
        <v>22.88</v>
      </c>
      <c r="K424">
        <v>61.12</v>
      </c>
      <c r="L424" t="s">
        <v>33</v>
      </c>
      <c r="M424" t="s">
        <v>34</v>
      </c>
      <c r="N424" t="s">
        <v>142</v>
      </c>
    </row>
    <row r="425" spans="1:14" x14ac:dyDescent="0.3">
      <c r="A425" t="s">
        <v>889</v>
      </c>
      <c r="B425" t="s">
        <v>1017</v>
      </c>
      <c r="C425" t="s">
        <v>126</v>
      </c>
      <c r="D425" t="s">
        <v>51</v>
      </c>
      <c r="E425" t="s">
        <v>81</v>
      </c>
      <c r="F425" t="s">
        <v>68</v>
      </c>
      <c r="G425">
        <v>50</v>
      </c>
      <c r="H425">
        <v>26.91</v>
      </c>
      <c r="I425">
        <v>1345.5</v>
      </c>
      <c r="J425">
        <v>91.7</v>
      </c>
      <c r="K425">
        <v>478.8</v>
      </c>
      <c r="L425" t="s">
        <v>48</v>
      </c>
      <c r="M425" t="s">
        <v>25</v>
      </c>
      <c r="N425" t="s">
        <v>76</v>
      </c>
    </row>
    <row r="426" spans="1:14" x14ac:dyDescent="0.3">
      <c r="A426" t="s">
        <v>891</v>
      </c>
      <c r="B426" t="s">
        <v>1012</v>
      </c>
      <c r="C426" t="s">
        <v>455</v>
      </c>
      <c r="D426" t="s">
        <v>37</v>
      </c>
      <c r="E426" t="s">
        <v>56</v>
      </c>
      <c r="F426" t="s">
        <v>57</v>
      </c>
      <c r="G426">
        <v>7</v>
      </c>
      <c r="H426">
        <v>59.41</v>
      </c>
      <c r="I426">
        <v>415.87</v>
      </c>
      <c r="J426">
        <v>25.51</v>
      </c>
      <c r="K426">
        <v>110.36</v>
      </c>
      <c r="L426" t="s">
        <v>24</v>
      </c>
      <c r="M426" t="s">
        <v>41</v>
      </c>
      <c r="N426" t="s">
        <v>35</v>
      </c>
    </row>
    <row r="427" spans="1:14" x14ac:dyDescent="0.3">
      <c r="A427" t="s">
        <v>893</v>
      </c>
      <c r="B427" t="s">
        <v>1023</v>
      </c>
      <c r="C427" t="s">
        <v>396</v>
      </c>
      <c r="D427" t="s">
        <v>127</v>
      </c>
      <c r="E427" t="s">
        <v>74</v>
      </c>
      <c r="F427" t="s">
        <v>75</v>
      </c>
      <c r="G427">
        <v>48</v>
      </c>
      <c r="H427">
        <v>37.31</v>
      </c>
      <c r="I427">
        <v>1790.88</v>
      </c>
      <c r="J427">
        <v>67.45</v>
      </c>
      <c r="K427">
        <v>523.42999999999995</v>
      </c>
      <c r="L427" t="s">
        <v>24</v>
      </c>
      <c r="M427" t="s">
        <v>34</v>
      </c>
      <c r="N427" t="s">
        <v>76</v>
      </c>
    </row>
    <row r="428" spans="1:14" x14ac:dyDescent="0.3">
      <c r="A428" t="s">
        <v>894</v>
      </c>
      <c r="B428" t="s">
        <v>1019</v>
      </c>
      <c r="C428" t="s">
        <v>285</v>
      </c>
      <c r="D428" t="s">
        <v>1005</v>
      </c>
      <c r="E428" t="s">
        <v>56</v>
      </c>
      <c r="F428" t="s">
        <v>57</v>
      </c>
      <c r="G428">
        <v>38</v>
      </c>
      <c r="H428">
        <v>52.91</v>
      </c>
      <c r="I428">
        <v>2010.58</v>
      </c>
      <c r="J428">
        <v>94.22</v>
      </c>
      <c r="K428">
        <v>396.36</v>
      </c>
      <c r="L428" t="s">
        <v>24</v>
      </c>
      <c r="M428" t="s">
        <v>25</v>
      </c>
      <c r="N428" t="s">
        <v>76</v>
      </c>
    </row>
    <row r="429" spans="1:14" x14ac:dyDescent="0.3">
      <c r="A429" t="s">
        <v>895</v>
      </c>
      <c r="B429" t="s">
        <v>1012</v>
      </c>
      <c r="C429" t="s">
        <v>113</v>
      </c>
      <c r="D429" t="s">
        <v>1004</v>
      </c>
      <c r="E429" t="s">
        <v>32</v>
      </c>
      <c r="F429" t="s">
        <v>23</v>
      </c>
      <c r="G429">
        <v>14</v>
      </c>
      <c r="H429">
        <v>27.09</v>
      </c>
      <c r="I429">
        <v>379.26</v>
      </c>
      <c r="J429">
        <v>14.42</v>
      </c>
      <c r="K429">
        <v>112.84</v>
      </c>
      <c r="L429" t="s">
        <v>48</v>
      </c>
      <c r="M429" t="s">
        <v>41</v>
      </c>
      <c r="N429" t="s">
        <v>35</v>
      </c>
    </row>
    <row r="430" spans="1:14" x14ac:dyDescent="0.3">
      <c r="A430" t="s">
        <v>897</v>
      </c>
      <c r="B430" t="s">
        <v>1017</v>
      </c>
      <c r="C430" t="s">
        <v>182</v>
      </c>
      <c r="D430" t="s">
        <v>127</v>
      </c>
      <c r="E430" t="s">
        <v>67</v>
      </c>
      <c r="F430" t="s">
        <v>68</v>
      </c>
      <c r="G430">
        <v>41</v>
      </c>
      <c r="H430">
        <v>30.52</v>
      </c>
      <c r="I430">
        <v>1251.32</v>
      </c>
      <c r="J430">
        <v>56.88</v>
      </c>
      <c r="K430">
        <v>271.94</v>
      </c>
      <c r="L430" t="s">
        <v>24</v>
      </c>
      <c r="M430" t="s">
        <v>41</v>
      </c>
      <c r="N430" t="s">
        <v>76</v>
      </c>
    </row>
    <row r="431" spans="1:14" x14ac:dyDescent="0.3">
      <c r="A431" t="s">
        <v>898</v>
      </c>
      <c r="B431" t="s">
        <v>1021</v>
      </c>
      <c r="C431" t="s">
        <v>369</v>
      </c>
      <c r="D431" t="s">
        <v>55</v>
      </c>
      <c r="E431" t="s">
        <v>137</v>
      </c>
      <c r="F431" t="s">
        <v>68</v>
      </c>
      <c r="G431">
        <v>23</v>
      </c>
      <c r="H431">
        <v>40.94</v>
      </c>
      <c r="I431">
        <v>941.62</v>
      </c>
      <c r="J431">
        <v>71.66</v>
      </c>
      <c r="K431">
        <v>225.96</v>
      </c>
      <c r="L431" t="s">
        <v>33</v>
      </c>
      <c r="M431" t="s">
        <v>41</v>
      </c>
      <c r="N431" t="s">
        <v>98</v>
      </c>
    </row>
    <row r="432" spans="1:14" x14ac:dyDescent="0.3">
      <c r="A432" t="s">
        <v>900</v>
      </c>
      <c r="B432" t="s">
        <v>1011</v>
      </c>
      <c r="C432" t="s">
        <v>471</v>
      </c>
      <c r="D432" t="s">
        <v>241</v>
      </c>
      <c r="E432" t="s">
        <v>137</v>
      </c>
      <c r="F432" t="s">
        <v>68</v>
      </c>
      <c r="G432">
        <v>34</v>
      </c>
      <c r="H432">
        <v>41.77</v>
      </c>
      <c r="I432">
        <v>1420.18</v>
      </c>
      <c r="J432">
        <v>112.45</v>
      </c>
      <c r="K432">
        <v>355.73</v>
      </c>
      <c r="L432" t="s">
        <v>33</v>
      </c>
      <c r="M432" t="s">
        <v>41</v>
      </c>
      <c r="N432" t="s">
        <v>35</v>
      </c>
    </row>
    <row r="433" spans="1:14" x14ac:dyDescent="0.3">
      <c r="A433" t="s">
        <v>901</v>
      </c>
      <c r="B433" t="s">
        <v>1014</v>
      </c>
      <c r="C433" t="s">
        <v>165</v>
      </c>
      <c r="D433" t="s">
        <v>70</v>
      </c>
      <c r="E433" t="s">
        <v>56</v>
      </c>
      <c r="F433" t="s">
        <v>57</v>
      </c>
      <c r="G433">
        <v>32</v>
      </c>
      <c r="H433">
        <v>69.98</v>
      </c>
      <c r="I433">
        <v>2239.36</v>
      </c>
      <c r="J433">
        <v>133.51</v>
      </c>
      <c r="K433">
        <v>825.85</v>
      </c>
      <c r="L433" t="s">
        <v>48</v>
      </c>
      <c r="M433" t="s">
        <v>25</v>
      </c>
      <c r="N433" t="s">
        <v>76</v>
      </c>
    </row>
    <row r="434" spans="1:14" x14ac:dyDescent="0.3">
      <c r="A434" t="s">
        <v>903</v>
      </c>
      <c r="B434" t="s">
        <v>1023</v>
      </c>
      <c r="C434" t="s">
        <v>266</v>
      </c>
      <c r="D434" t="s">
        <v>1004</v>
      </c>
      <c r="E434" t="s">
        <v>22</v>
      </c>
      <c r="F434" t="s">
        <v>23</v>
      </c>
      <c r="G434">
        <v>25</v>
      </c>
      <c r="H434">
        <v>42.91</v>
      </c>
      <c r="I434">
        <v>1072.75</v>
      </c>
      <c r="J434">
        <v>80.02</v>
      </c>
      <c r="K434">
        <v>117.73</v>
      </c>
      <c r="L434" t="s">
        <v>33</v>
      </c>
      <c r="M434" t="s">
        <v>34</v>
      </c>
      <c r="N434" t="s">
        <v>35</v>
      </c>
    </row>
    <row r="435" spans="1:14" x14ac:dyDescent="0.3">
      <c r="A435" t="s">
        <v>904</v>
      </c>
      <c r="B435" t="s">
        <v>1016</v>
      </c>
      <c r="C435" t="s">
        <v>643</v>
      </c>
      <c r="D435" t="s">
        <v>55</v>
      </c>
      <c r="E435" t="s">
        <v>86</v>
      </c>
      <c r="F435" t="s">
        <v>47</v>
      </c>
      <c r="G435">
        <v>7</v>
      </c>
      <c r="H435">
        <v>22.6</v>
      </c>
      <c r="I435">
        <v>158.19999999999999</v>
      </c>
      <c r="J435">
        <v>7.04</v>
      </c>
      <c r="K435">
        <v>61.91</v>
      </c>
      <c r="L435" t="s">
        <v>48</v>
      </c>
      <c r="M435" t="s">
        <v>25</v>
      </c>
      <c r="N435" t="s">
        <v>98</v>
      </c>
    </row>
    <row r="436" spans="1:14" x14ac:dyDescent="0.3">
      <c r="A436" t="s">
        <v>905</v>
      </c>
      <c r="B436" t="s">
        <v>1011</v>
      </c>
      <c r="C436" t="s">
        <v>145</v>
      </c>
      <c r="D436" t="s">
        <v>1003</v>
      </c>
      <c r="E436" t="s">
        <v>86</v>
      </c>
      <c r="F436" t="s">
        <v>47</v>
      </c>
      <c r="G436">
        <v>48</v>
      </c>
      <c r="H436">
        <v>19.5</v>
      </c>
      <c r="I436">
        <v>936</v>
      </c>
      <c r="J436">
        <v>70.069999999999993</v>
      </c>
      <c r="K436">
        <v>253.93</v>
      </c>
      <c r="L436" t="s">
        <v>24</v>
      </c>
      <c r="M436" t="s">
        <v>34</v>
      </c>
      <c r="N436" t="s">
        <v>98</v>
      </c>
    </row>
    <row r="437" spans="1:14" x14ac:dyDescent="0.3">
      <c r="A437" t="s">
        <v>907</v>
      </c>
      <c r="B437" t="s">
        <v>1013</v>
      </c>
      <c r="C437" t="s">
        <v>40</v>
      </c>
      <c r="D437" t="s">
        <v>206</v>
      </c>
      <c r="E437" t="s">
        <v>56</v>
      </c>
      <c r="F437" t="s">
        <v>57</v>
      </c>
      <c r="G437">
        <v>32</v>
      </c>
      <c r="H437">
        <v>49.97</v>
      </c>
      <c r="I437">
        <v>1599.04</v>
      </c>
      <c r="J437">
        <v>43.1</v>
      </c>
      <c r="K437">
        <v>275.94</v>
      </c>
      <c r="L437" t="s">
        <v>33</v>
      </c>
      <c r="M437" t="s">
        <v>41</v>
      </c>
      <c r="N437" t="s">
        <v>207</v>
      </c>
    </row>
    <row r="438" spans="1:14" x14ac:dyDescent="0.3">
      <c r="A438" t="s">
        <v>908</v>
      </c>
      <c r="B438" t="s">
        <v>1007</v>
      </c>
      <c r="C438" t="s">
        <v>20</v>
      </c>
      <c r="D438" t="s">
        <v>171</v>
      </c>
      <c r="E438" t="s">
        <v>81</v>
      </c>
      <c r="F438" t="s">
        <v>68</v>
      </c>
      <c r="G438">
        <v>41</v>
      </c>
      <c r="H438">
        <v>25.62</v>
      </c>
      <c r="I438">
        <v>1050.42</v>
      </c>
      <c r="J438">
        <v>79.2</v>
      </c>
      <c r="K438">
        <v>335.72</v>
      </c>
      <c r="L438" t="s">
        <v>24</v>
      </c>
      <c r="M438" t="s">
        <v>34</v>
      </c>
      <c r="N438" t="s">
        <v>35</v>
      </c>
    </row>
    <row r="439" spans="1:14" x14ac:dyDescent="0.3">
      <c r="A439" t="s">
        <v>909</v>
      </c>
      <c r="B439" t="s">
        <v>1017</v>
      </c>
      <c r="C439" t="s">
        <v>465</v>
      </c>
      <c r="D439" t="s">
        <v>1003</v>
      </c>
      <c r="E439" t="s">
        <v>86</v>
      </c>
      <c r="F439" t="s">
        <v>47</v>
      </c>
      <c r="G439">
        <v>46</v>
      </c>
      <c r="H439">
        <v>16.78</v>
      </c>
      <c r="I439">
        <v>771.88</v>
      </c>
      <c r="J439">
        <v>18.04</v>
      </c>
      <c r="K439">
        <v>167.34</v>
      </c>
      <c r="L439" t="s">
        <v>48</v>
      </c>
      <c r="M439" t="s">
        <v>41</v>
      </c>
      <c r="N439" t="s">
        <v>98</v>
      </c>
    </row>
    <row r="440" spans="1:14" x14ac:dyDescent="0.3">
      <c r="A440" t="s">
        <v>910</v>
      </c>
      <c r="B440" t="s">
        <v>1017</v>
      </c>
      <c r="C440" t="s">
        <v>505</v>
      </c>
      <c r="D440" t="s">
        <v>37</v>
      </c>
      <c r="E440" t="s">
        <v>46</v>
      </c>
      <c r="F440" t="s">
        <v>47</v>
      </c>
      <c r="G440">
        <v>16</v>
      </c>
      <c r="H440">
        <v>42.18</v>
      </c>
      <c r="I440">
        <v>674.88</v>
      </c>
      <c r="J440">
        <v>19.100000000000001</v>
      </c>
      <c r="K440">
        <v>143.78</v>
      </c>
      <c r="L440" t="s">
        <v>24</v>
      </c>
      <c r="M440" t="s">
        <v>41</v>
      </c>
      <c r="N440" t="s">
        <v>35</v>
      </c>
    </row>
    <row r="441" spans="1:14" x14ac:dyDescent="0.3">
      <c r="A441" t="s">
        <v>912</v>
      </c>
      <c r="B441" t="s">
        <v>1014</v>
      </c>
      <c r="C441" t="s">
        <v>113</v>
      </c>
      <c r="D441" t="s">
        <v>171</v>
      </c>
      <c r="E441" t="s">
        <v>74</v>
      </c>
      <c r="F441" t="s">
        <v>75</v>
      </c>
      <c r="G441">
        <v>12</v>
      </c>
      <c r="H441">
        <v>34.97</v>
      </c>
      <c r="I441">
        <v>419.64</v>
      </c>
      <c r="J441">
        <v>28.48</v>
      </c>
      <c r="K441">
        <v>91.16</v>
      </c>
      <c r="L441" t="s">
        <v>24</v>
      </c>
      <c r="M441" t="s">
        <v>25</v>
      </c>
      <c r="N441" t="s">
        <v>35</v>
      </c>
    </row>
    <row r="442" spans="1:14" x14ac:dyDescent="0.3">
      <c r="A442" t="s">
        <v>913</v>
      </c>
      <c r="B442" t="s">
        <v>1016</v>
      </c>
      <c r="C442" t="s">
        <v>219</v>
      </c>
      <c r="D442" t="s">
        <v>45</v>
      </c>
      <c r="E442" t="s">
        <v>63</v>
      </c>
      <c r="F442" t="s">
        <v>47</v>
      </c>
      <c r="G442">
        <v>31</v>
      </c>
      <c r="H442">
        <v>33.619999999999997</v>
      </c>
      <c r="I442">
        <v>1042.22</v>
      </c>
      <c r="J442">
        <v>26.33</v>
      </c>
      <c r="K442">
        <v>395.89</v>
      </c>
      <c r="L442" t="s">
        <v>48</v>
      </c>
      <c r="M442" t="s">
        <v>41</v>
      </c>
      <c r="N442" t="s">
        <v>49</v>
      </c>
    </row>
    <row r="443" spans="1:14" x14ac:dyDescent="0.3">
      <c r="A443" t="s">
        <v>914</v>
      </c>
      <c r="B443" t="s">
        <v>1022</v>
      </c>
      <c r="C443" t="s">
        <v>666</v>
      </c>
      <c r="D443" t="s">
        <v>1005</v>
      </c>
      <c r="E443" t="s">
        <v>67</v>
      </c>
      <c r="F443" t="s">
        <v>68</v>
      </c>
      <c r="G443">
        <v>40</v>
      </c>
      <c r="H443">
        <v>30.56</v>
      </c>
      <c r="I443">
        <v>1222.4000000000001</v>
      </c>
      <c r="J443">
        <v>26.42</v>
      </c>
      <c r="K443">
        <v>295.98</v>
      </c>
      <c r="L443" t="s">
        <v>24</v>
      </c>
      <c r="M443" t="s">
        <v>25</v>
      </c>
      <c r="N443" t="s">
        <v>76</v>
      </c>
    </row>
    <row r="444" spans="1:14" x14ac:dyDescent="0.3">
      <c r="A444" t="s">
        <v>915</v>
      </c>
      <c r="B444" t="s">
        <v>1007</v>
      </c>
      <c r="C444" t="s">
        <v>227</v>
      </c>
      <c r="D444" t="s">
        <v>241</v>
      </c>
      <c r="E444" t="s">
        <v>22</v>
      </c>
      <c r="F444" t="s">
        <v>23</v>
      </c>
      <c r="G444">
        <v>15</v>
      </c>
      <c r="H444">
        <v>61.93</v>
      </c>
      <c r="I444">
        <v>928.95</v>
      </c>
      <c r="J444">
        <v>25.68</v>
      </c>
      <c r="K444">
        <v>378.27</v>
      </c>
      <c r="L444" t="s">
        <v>33</v>
      </c>
      <c r="M444" t="s">
        <v>41</v>
      </c>
      <c r="N444" t="s">
        <v>35</v>
      </c>
    </row>
    <row r="445" spans="1:14" x14ac:dyDescent="0.3">
      <c r="A445" t="s">
        <v>917</v>
      </c>
      <c r="B445" t="s">
        <v>1023</v>
      </c>
      <c r="C445" t="s">
        <v>194</v>
      </c>
      <c r="D445" t="s">
        <v>51</v>
      </c>
      <c r="E445" t="s">
        <v>63</v>
      </c>
      <c r="F445" t="s">
        <v>47</v>
      </c>
      <c r="G445">
        <v>20</v>
      </c>
      <c r="H445">
        <v>35.770000000000003</v>
      </c>
      <c r="I445">
        <v>715.4</v>
      </c>
      <c r="J445">
        <v>39.229999999999997</v>
      </c>
      <c r="K445">
        <v>276.17</v>
      </c>
      <c r="L445" t="s">
        <v>24</v>
      </c>
      <c r="M445" t="s">
        <v>25</v>
      </c>
      <c r="N445" t="s">
        <v>76</v>
      </c>
    </row>
    <row r="446" spans="1:14" x14ac:dyDescent="0.3">
      <c r="A446" t="s">
        <v>919</v>
      </c>
      <c r="B446" t="s">
        <v>1011</v>
      </c>
      <c r="C446" t="s">
        <v>391</v>
      </c>
      <c r="D446" t="s">
        <v>1004</v>
      </c>
      <c r="E446" t="s">
        <v>86</v>
      </c>
      <c r="F446" t="s">
        <v>47</v>
      </c>
      <c r="G446">
        <v>21</v>
      </c>
      <c r="H446">
        <v>22.48</v>
      </c>
      <c r="I446">
        <v>472.08</v>
      </c>
      <c r="J446">
        <v>12.96</v>
      </c>
      <c r="K446">
        <v>191.37</v>
      </c>
      <c r="L446" t="s">
        <v>33</v>
      </c>
      <c r="M446" t="s">
        <v>25</v>
      </c>
      <c r="N446" t="s">
        <v>35</v>
      </c>
    </row>
    <row r="447" spans="1:14" x14ac:dyDescent="0.3">
      <c r="A447" t="s">
        <v>920</v>
      </c>
      <c r="B447" t="s">
        <v>1007</v>
      </c>
      <c r="C447" t="s">
        <v>437</v>
      </c>
      <c r="D447" t="s">
        <v>51</v>
      </c>
      <c r="E447" t="s">
        <v>32</v>
      </c>
      <c r="F447" t="s">
        <v>23</v>
      </c>
      <c r="G447">
        <v>8</v>
      </c>
      <c r="H447">
        <v>27.53</v>
      </c>
      <c r="I447">
        <v>220.24</v>
      </c>
      <c r="J447">
        <v>12.66</v>
      </c>
      <c r="K447">
        <v>63.58</v>
      </c>
      <c r="L447" t="s">
        <v>33</v>
      </c>
      <c r="M447" t="s">
        <v>34</v>
      </c>
      <c r="N447" t="s">
        <v>76</v>
      </c>
    </row>
    <row r="448" spans="1:14" x14ac:dyDescent="0.3">
      <c r="A448" t="s">
        <v>922</v>
      </c>
      <c r="B448" t="s">
        <v>1013</v>
      </c>
      <c r="C448" t="s">
        <v>360</v>
      </c>
      <c r="D448" t="s">
        <v>70</v>
      </c>
      <c r="E448" t="s">
        <v>67</v>
      </c>
      <c r="F448" t="s">
        <v>68</v>
      </c>
      <c r="G448">
        <v>35</v>
      </c>
      <c r="H448">
        <v>39.65</v>
      </c>
      <c r="I448">
        <v>1387.75</v>
      </c>
      <c r="J448">
        <v>60.95</v>
      </c>
      <c r="K448">
        <v>539.29999999999995</v>
      </c>
      <c r="L448" t="s">
        <v>48</v>
      </c>
      <c r="M448" t="s">
        <v>34</v>
      </c>
      <c r="N448" t="s">
        <v>76</v>
      </c>
    </row>
    <row r="449" spans="1:14" x14ac:dyDescent="0.3">
      <c r="A449" t="s">
        <v>923</v>
      </c>
      <c r="B449" t="s">
        <v>1017</v>
      </c>
      <c r="C449" t="s">
        <v>288</v>
      </c>
      <c r="D449" t="s">
        <v>141</v>
      </c>
      <c r="E449" t="s">
        <v>81</v>
      </c>
      <c r="F449" t="s">
        <v>68</v>
      </c>
      <c r="G449">
        <v>50</v>
      </c>
      <c r="H449">
        <v>23.68</v>
      </c>
      <c r="I449">
        <v>1184</v>
      </c>
      <c r="J449">
        <v>46.62</v>
      </c>
      <c r="K449">
        <v>362.38</v>
      </c>
      <c r="L449" t="s">
        <v>33</v>
      </c>
      <c r="M449" t="s">
        <v>34</v>
      </c>
      <c r="N449" t="s">
        <v>142</v>
      </c>
    </row>
    <row r="450" spans="1:14" x14ac:dyDescent="0.3">
      <c r="A450" t="s">
        <v>925</v>
      </c>
      <c r="B450" t="s">
        <v>1008</v>
      </c>
      <c r="C450" t="s">
        <v>290</v>
      </c>
      <c r="D450" t="s">
        <v>1005</v>
      </c>
      <c r="E450" t="s">
        <v>86</v>
      </c>
      <c r="F450" t="s">
        <v>47</v>
      </c>
      <c r="G450">
        <v>5</v>
      </c>
      <c r="H450">
        <v>19.809999999999999</v>
      </c>
      <c r="I450">
        <v>99.05</v>
      </c>
      <c r="J450">
        <v>5.91</v>
      </c>
      <c r="K450">
        <v>29.39</v>
      </c>
      <c r="L450" t="s">
        <v>33</v>
      </c>
      <c r="M450" t="s">
        <v>41</v>
      </c>
      <c r="N450" t="s">
        <v>76</v>
      </c>
    </row>
    <row r="451" spans="1:14" x14ac:dyDescent="0.3">
      <c r="A451" t="s">
        <v>926</v>
      </c>
      <c r="B451" t="s">
        <v>1021</v>
      </c>
      <c r="C451" t="s">
        <v>126</v>
      </c>
      <c r="D451" t="s">
        <v>45</v>
      </c>
      <c r="E451" t="s">
        <v>86</v>
      </c>
      <c r="F451" t="s">
        <v>47</v>
      </c>
      <c r="G451">
        <v>27</v>
      </c>
      <c r="H451">
        <v>18.03</v>
      </c>
      <c r="I451">
        <v>486.81</v>
      </c>
      <c r="J451">
        <v>36.630000000000003</v>
      </c>
      <c r="K451">
        <v>105.93</v>
      </c>
      <c r="L451" t="s">
        <v>24</v>
      </c>
      <c r="M451" t="s">
        <v>41</v>
      </c>
      <c r="N451" t="s">
        <v>49</v>
      </c>
    </row>
    <row r="452" spans="1:14" x14ac:dyDescent="0.3">
      <c r="A452" t="s">
        <v>927</v>
      </c>
      <c r="B452" t="s">
        <v>1009</v>
      </c>
      <c r="C452" t="s">
        <v>417</v>
      </c>
      <c r="D452" t="s">
        <v>141</v>
      </c>
      <c r="E452" t="s">
        <v>32</v>
      </c>
      <c r="F452" t="s">
        <v>23</v>
      </c>
      <c r="G452">
        <v>45</v>
      </c>
      <c r="H452">
        <v>26.93</v>
      </c>
      <c r="I452">
        <v>1211.8499999999999</v>
      </c>
      <c r="J452">
        <v>62.85</v>
      </c>
      <c r="K452">
        <v>339</v>
      </c>
      <c r="L452" t="s">
        <v>33</v>
      </c>
      <c r="M452" t="s">
        <v>34</v>
      </c>
      <c r="N452" t="s">
        <v>142</v>
      </c>
    </row>
    <row r="453" spans="1:14" x14ac:dyDescent="0.3">
      <c r="A453" t="s">
        <v>929</v>
      </c>
      <c r="B453" t="s">
        <v>1011</v>
      </c>
      <c r="C453" t="s">
        <v>505</v>
      </c>
      <c r="D453" t="s">
        <v>37</v>
      </c>
      <c r="E453" t="s">
        <v>63</v>
      </c>
      <c r="F453" t="s">
        <v>47</v>
      </c>
      <c r="G453">
        <v>40</v>
      </c>
      <c r="H453">
        <v>32.54</v>
      </c>
      <c r="I453">
        <v>1301.5999999999999</v>
      </c>
      <c r="J453">
        <v>47.06</v>
      </c>
      <c r="K453">
        <v>454.54</v>
      </c>
      <c r="L453" t="s">
        <v>24</v>
      </c>
      <c r="M453" t="s">
        <v>34</v>
      </c>
      <c r="N453" t="s">
        <v>35</v>
      </c>
    </row>
    <row r="454" spans="1:14" x14ac:dyDescent="0.3">
      <c r="A454" t="s">
        <v>931</v>
      </c>
      <c r="B454" t="s">
        <v>1012</v>
      </c>
      <c r="C454" t="s">
        <v>140</v>
      </c>
      <c r="D454" t="s">
        <v>70</v>
      </c>
      <c r="E454" t="s">
        <v>67</v>
      </c>
      <c r="F454" t="s">
        <v>68</v>
      </c>
      <c r="G454">
        <v>26</v>
      </c>
      <c r="H454">
        <v>35.32</v>
      </c>
      <c r="I454">
        <v>918.32</v>
      </c>
      <c r="J454">
        <v>60.02</v>
      </c>
      <c r="K454">
        <v>273.3</v>
      </c>
      <c r="L454" t="s">
        <v>48</v>
      </c>
      <c r="M454" t="s">
        <v>25</v>
      </c>
      <c r="N454" t="s">
        <v>76</v>
      </c>
    </row>
    <row r="455" spans="1:14" x14ac:dyDescent="0.3">
      <c r="A455" t="s">
        <v>932</v>
      </c>
      <c r="B455" t="s">
        <v>1007</v>
      </c>
      <c r="C455" t="s">
        <v>151</v>
      </c>
      <c r="D455" t="s">
        <v>45</v>
      </c>
      <c r="E455" t="s">
        <v>86</v>
      </c>
      <c r="F455" t="s">
        <v>47</v>
      </c>
      <c r="G455">
        <v>16</v>
      </c>
      <c r="H455">
        <v>16.440000000000001</v>
      </c>
      <c r="I455">
        <v>263.04000000000002</v>
      </c>
      <c r="J455">
        <v>17.64</v>
      </c>
      <c r="K455">
        <v>41.4</v>
      </c>
      <c r="L455" t="s">
        <v>24</v>
      </c>
      <c r="M455" t="s">
        <v>25</v>
      </c>
      <c r="N455" t="s">
        <v>49</v>
      </c>
    </row>
    <row r="456" spans="1:14" x14ac:dyDescent="0.3">
      <c r="A456" t="s">
        <v>933</v>
      </c>
      <c r="B456" t="s">
        <v>1020</v>
      </c>
      <c r="C456" t="s">
        <v>360</v>
      </c>
      <c r="D456" t="s">
        <v>171</v>
      </c>
      <c r="E456" t="s">
        <v>137</v>
      </c>
      <c r="F456" t="s">
        <v>68</v>
      </c>
      <c r="G456">
        <v>39</v>
      </c>
      <c r="H456">
        <v>46.27</v>
      </c>
      <c r="I456">
        <v>1804.53</v>
      </c>
      <c r="J456">
        <v>38.57</v>
      </c>
      <c r="K456">
        <v>673.96</v>
      </c>
      <c r="L456" t="s">
        <v>48</v>
      </c>
      <c r="M456" t="s">
        <v>41</v>
      </c>
      <c r="N456" t="s">
        <v>35</v>
      </c>
    </row>
    <row r="457" spans="1:14" x14ac:dyDescent="0.3">
      <c r="A457" t="s">
        <v>934</v>
      </c>
      <c r="B457" t="s">
        <v>1010</v>
      </c>
      <c r="C457" t="s">
        <v>246</v>
      </c>
      <c r="D457" t="s">
        <v>1004</v>
      </c>
      <c r="E457" t="s">
        <v>74</v>
      </c>
      <c r="F457" t="s">
        <v>75</v>
      </c>
      <c r="G457">
        <v>15</v>
      </c>
      <c r="H457">
        <v>33.22</v>
      </c>
      <c r="I457">
        <v>498.3</v>
      </c>
      <c r="J457">
        <v>36.85</v>
      </c>
      <c r="K457">
        <v>86.45</v>
      </c>
      <c r="L457" t="s">
        <v>48</v>
      </c>
      <c r="M457" t="s">
        <v>41</v>
      </c>
      <c r="N457" t="s">
        <v>35</v>
      </c>
    </row>
    <row r="458" spans="1:14" x14ac:dyDescent="0.3">
      <c r="A458" t="s">
        <v>935</v>
      </c>
      <c r="B458" t="s">
        <v>1011</v>
      </c>
      <c r="C458" t="s">
        <v>328</v>
      </c>
      <c r="D458" t="s">
        <v>141</v>
      </c>
      <c r="E458" t="s">
        <v>56</v>
      </c>
      <c r="F458" t="s">
        <v>57</v>
      </c>
      <c r="G458">
        <v>35</v>
      </c>
      <c r="H458">
        <v>71.02</v>
      </c>
      <c r="I458">
        <v>2485.6999999999998</v>
      </c>
      <c r="J458">
        <v>137.22</v>
      </c>
      <c r="K458">
        <v>948.48</v>
      </c>
      <c r="L458" t="s">
        <v>33</v>
      </c>
      <c r="M458" t="s">
        <v>34</v>
      </c>
      <c r="N458" t="s">
        <v>142</v>
      </c>
    </row>
    <row r="459" spans="1:14" x14ac:dyDescent="0.3">
      <c r="A459" t="s">
        <v>936</v>
      </c>
      <c r="B459" t="s">
        <v>1013</v>
      </c>
      <c r="C459" t="s">
        <v>165</v>
      </c>
      <c r="D459" t="s">
        <v>1005</v>
      </c>
      <c r="E459" t="s">
        <v>137</v>
      </c>
      <c r="F459" t="s">
        <v>68</v>
      </c>
      <c r="G459">
        <v>2</v>
      </c>
      <c r="H459">
        <v>42.31</v>
      </c>
      <c r="I459">
        <v>84.62</v>
      </c>
      <c r="J459">
        <v>4.28</v>
      </c>
      <c r="K459">
        <v>24.34</v>
      </c>
      <c r="L459" t="s">
        <v>33</v>
      </c>
      <c r="M459" t="s">
        <v>34</v>
      </c>
      <c r="N459" t="s">
        <v>76</v>
      </c>
    </row>
    <row r="460" spans="1:14" x14ac:dyDescent="0.3">
      <c r="A460" t="s">
        <v>937</v>
      </c>
      <c r="B460" t="s">
        <v>1015</v>
      </c>
      <c r="C460" t="s">
        <v>148</v>
      </c>
      <c r="D460" t="s">
        <v>116</v>
      </c>
      <c r="E460" t="s">
        <v>74</v>
      </c>
      <c r="F460" t="s">
        <v>75</v>
      </c>
      <c r="G460">
        <v>8</v>
      </c>
      <c r="H460">
        <v>41.36</v>
      </c>
      <c r="I460">
        <v>330.88</v>
      </c>
      <c r="J460">
        <v>11.78</v>
      </c>
      <c r="K460">
        <v>119.1</v>
      </c>
      <c r="L460" t="s">
        <v>24</v>
      </c>
      <c r="M460" t="s">
        <v>25</v>
      </c>
      <c r="N460" t="s">
        <v>76</v>
      </c>
    </row>
    <row r="461" spans="1:14" x14ac:dyDescent="0.3">
      <c r="A461" t="s">
        <v>938</v>
      </c>
      <c r="B461" t="s">
        <v>1013</v>
      </c>
      <c r="C461" t="s">
        <v>194</v>
      </c>
      <c r="D461" t="s">
        <v>55</v>
      </c>
      <c r="E461" t="s">
        <v>32</v>
      </c>
      <c r="F461" t="s">
        <v>23</v>
      </c>
      <c r="G461">
        <v>3</v>
      </c>
      <c r="H461">
        <v>31.39</v>
      </c>
      <c r="I461">
        <v>94.17</v>
      </c>
      <c r="J461">
        <v>2.52</v>
      </c>
      <c r="K461">
        <v>37.65</v>
      </c>
      <c r="L461" t="s">
        <v>48</v>
      </c>
      <c r="M461" t="s">
        <v>41</v>
      </c>
      <c r="N461" t="s">
        <v>98</v>
      </c>
    </row>
    <row r="462" spans="1:14" x14ac:dyDescent="0.3">
      <c r="A462" t="s">
        <v>940</v>
      </c>
      <c r="B462" t="s">
        <v>1007</v>
      </c>
      <c r="C462" t="s">
        <v>232</v>
      </c>
      <c r="D462" t="s">
        <v>171</v>
      </c>
      <c r="E462" t="s">
        <v>67</v>
      </c>
      <c r="F462" t="s">
        <v>68</v>
      </c>
      <c r="G462">
        <v>48</v>
      </c>
      <c r="H462">
        <v>33.61</v>
      </c>
      <c r="I462">
        <v>1613.28</v>
      </c>
      <c r="J462">
        <v>109.92</v>
      </c>
      <c r="K462">
        <v>423.36</v>
      </c>
      <c r="L462" t="s">
        <v>24</v>
      </c>
      <c r="M462" t="s">
        <v>41</v>
      </c>
      <c r="N462" t="s">
        <v>35</v>
      </c>
    </row>
    <row r="463" spans="1:14" x14ac:dyDescent="0.3">
      <c r="A463" t="s">
        <v>942</v>
      </c>
      <c r="B463" t="s">
        <v>1017</v>
      </c>
      <c r="C463" t="s">
        <v>277</v>
      </c>
      <c r="D463" t="s">
        <v>241</v>
      </c>
      <c r="E463" t="s">
        <v>46</v>
      </c>
      <c r="F463" t="s">
        <v>47</v>
      </c>
      <c r="G463">
        <v>9</v>
      </c>
      <c r="H463">
        <v>50.29</v>
      </c>
      <c r="I463">
        <v>452.61</v>
      </c>
      <c r="J463">
        <v>32.93</v>
      </c>
      <c r="K463">
        <v>131.68</v>
      </c>
      <c r="L463" t="s">
        <v>33</v>
      </c>
      <c r="M463" t="s">
        <v>41</v>
      </c>
      <c r="N463" t="s">
        <v>35</v>
      </c>
    </row>
    <row r="464" spans="1:14" x14ac:dyDescent="0.3">
      <c r="A464" t="s">
        <v>944</v>
      </c>
      <c r="B464" t="s">
        <v>1010</v>
      </c>
      <c r="C464" t="s">
        <v>232</v>
      </c>
      <c r="D464" t="s">
        <v>1003</v>
      </c>
      <c r="E464" t="s">
        <v>67</v>
      </c>
      <c r="F464" t="s">
        <v>68</v>
      </c>
      <c r="G464">
        <v>12</v>
      </c>
      <c r="H464">
        <v>34.96</v>
      </c>
      <c r="I464">
        <v>419.52</v>
      </c>
      <c r="J464">
        <v>15.43</v>
      </c>
      <c r="K464">
        <v>134.09</v>
      </c>
      <c r="L464" t="s">
        <v>33</v>
      </c>
      <c r="M464" t="s">
        <v>41</v>
      </c>
      <c r="N464" t="s">
        <v>98</v>
      </c>
    </row>
    <row r="465" spans="1:14" x14ac:dyDescent="0.3">
      <c r="A465" t="s">
        <v>946</v>
      </c>
      <c r="B465" t="s">
        <v>1008</v>
      </c>
      <c r="C465" t="s">
        <v>586</v>
      </c>
      <c r="D465" t="s">
        <v>206</v>
      </c>
      <c r="E465" t="s">
        <v>22</v>
      </c>
      <c r="F465" t="s">
        <v>23</v>
      </c>
      <c r="G465">
        <v>29</v>
      </c>
      <c r="H465">
        <v>52.72</v>
      </c>
      <c r="I465">
        <v>1528.88</v>
      </c>
      <c r="J465">
        <v>96.91</v>
      </c>
      <c r="K465">
        <v>416.97</v>
      </c>
      <c r="L465" t="s">
        <v>33</v>
      </c>
      <c r="M465" t="s">
        <v>41</v>
      </c>
      <c r="N465" t="s">
        <v>207</v>
      </c>
    </row>
    <row r="466" spans="1:14" x14ac:dyDescent="0.3">
      <c r="A466" t="s">
        <v>948</v>
      </c>
      <c r="B466" t="s">
        <v>1008</v>
      </c>
      <c r="C466" t="s">
        <v>521</v>
      </c>
      <c r="D466" t="s">
        <v>55</v>
      </c>
      <c r="E466" t="s">
        <v>81</v>
      </c>
      <c r="F466" t="s">
        <v>68</v>
      </c>
      <c r="G466">
        <v>39</v>
      </c>
      <c r="H466">
        <v>22.18</v>
      </c>
      <c r="I466">
        <v>865.02</v>
      </c>
      <c r="J466">
        <v>26.23</v>
      </c>
      <c r="K466">
        <v>234.29</v>
      </c>
      <c r="L466" t="s">
        <v>24</v>
      </c>
      <c r="M466" t="s">
        <v>41</v>
      </c>
      <c r="N466" t="s">
        <v>98</v>
      </c>
    </row>
    <row r="467" spans="1:14" x14ac:dyDescent="0.3">
      <c r="A467" t="s">
        <v>949</v>
      </c>
      <c r="B467" t="s">
        <v>1008</v>
      </c>
      <c r="C467" t="s">
        <v>511</v>
      </c>
      <c r="D467" t="s">
        <v>116</v>
      </c>
      <c r="E467" t="s">
        <v>81</v>
      </c>
      <c r="F467" t="s">
        <v>68</v>
      </c>
      <c r="G467">
        <v>11</v>
      </c>
      <c r="H467">
        <v>21.4</v>
      </c>
      <c r="I467">
        <v>235.4</v>
      </c>
      <c r="J467">
        <v>11.64</v>
      </c>
      <c r="K467">
        <v>53.26</v>
      </c>
      <c r="L467" t="s">
        <v>24</v>
      </c>
      <c r="M467" t="s">
        <v>41</v>
      </c>
      <c r="N467" t="s">
        <v>76</v>
      </c>
    </row>
    <row r="468" spans="1:14" x14ac:dyDescent="0.3">
      <c r="A468" t="s">
        <v>950</v>
      </c>
      <c r="B468" t="s">
        <v>1009</v>
      </c>
      <c r="C468" t="s">
        <v>462</v>
      </c>
      <c r="D468" t="s">
        <v>116</v>
      </c>
      <c r="E468" t="s">
        <v>74</v>
      </c>
      <c r="F468" t="s">
        <v>75</v>
      </c>
      <c r="G468">
        <v>21</v>
      </c>
      <c r="H468">
        <v>36.26</v>
      </c>
      <c r="I468">
        <v>761.46</v>
      </c>
      <c r="J468">
        <v>56.99</v>
      </c>
      <c r="K468">
        <v>179.47</v>
      </c>
      <c r="L468" t="s">
        <v>33</v>
      </c>
      <c r="M468" t="s">
        <v>25</v>
      </c>
      <c r="N468" t="s">
        <v>76</v>
      </c>
    </row>
    <row r="469" spans="1:14" x14ac:dyDescent="0.3">
      <c r="A469" t="s">
        <v>952</v>
      </c>
      <c r="B469" t="s">
        <v>1010</v>
      </c>
      <c r="C469" t="s">
        <v>328</v>
      </c>
      <c r="D469" t="s">
        <v>51</v>
      </c>
      <c r="E469" t="s">
        <v>67</v>
      </c>
      <c r="F469" t="s">
        <v>68</v>
      </c>
      <c r="G469">
        <v>39</v>
      </c>
      <c r="H469">
        <v>35.409999999999997</v>
      </c>
      <c r="I469">
        <v>1380.99</v>
      </c>
      <c r="J469">
        <v>84.56</v>
      </c>
      <c r="K469">
        <v>418.93</v>
      </c>
      <c r="L469" t="s">
        <v>33</v>
      </c>
      <c r="M469" t="s">
        <v>25</v>
      </c>
      <c r="N469" t="s">
        <v>76</v>
      </c>
    </row>
    <row r="470" spans="1:14" x14ac:dyDescent="0.3">
      <c r="A470" t="s">
        <v>953</v>
      </c>
      <c r="B470" t="s">
        <v>1009</v>
      </c>
      <c r="C470" t="s">
        <v>177</v>
      </c>
      <c r="D470" t="s">
        <v>51</v>
      </c>
      <c r="E470" t="s">
        <v>32</v>
      </c>
      <c r="F470" t="s">
        <v>23</v>
      </c>
      <c r="G470">
        <v>13</v>
      </c>
      <c r="H470">
        <v>27.35</v>
      </c>
      <c r="I470">
        <v>355.55</v>
      </c>
      <c r="J470">
        <v>26.23</v>
      </c>
      <c r="K470">
        <v>95.32</v>
      </c>
      <c r="L470" t="s">
        <v>33</v>
      </c>
      <c r="M470" t="s">
        <v>41</v>
      </c>
      <c r="N470" t="s">
        <v>76</v>
      </c>
    </row>
    <row r="471" spans="1:14" x14ac:dyDescent="0.3">
      <c r="A471" t="s">
        <v>954</v>
      </c>
      <c r="B471" t="s">
        <v>1023</v>
      </c>
      <c r="C471" t="s">
        <v>148</v>
      </c>
      <c r="D471" t="s">
        <v>45</v>
      </c>
      <c r="E471" t="s">
        <v>86</v>
      </c>
      <c r="F471" t="s">
        <v>47</v>
      </c>
      <c r="G471">
        <v>40</v>
      </c>
      <c r="H471">
        <v>21.08</v>
      </c>
      <c r="I471">
        <v>843.2</v>
      </c>
      <c r="J471">
        <v>66.81</v>
      </c>
      <c r="K471">
        <v>266.39</v>
      </c>
      <c r="L471" t="s">
        <v>48</v>
      </c>
      <c r="M471" t="s">
        <v>34</v>
      </c>
      <c r="N471" t="s">
        <v>49</v>
      </c>
    </row>
    <row r="472" spans="1:14" x14ac:dyDescent="0.3">
      <c r="A472" t="s">
        <v>955</v>
      </c>
      <c r="B472" t="s">
        <v>1010</v>
      </c>
      <c r="C472" t="s">
        <v>586</v>
      </c>
      <c r="D472" t="s">
        <v>62</v>
      </c>
      <c r="E472" t="s">
        <v>81</v>
      </c>
      <c r="F472" t="s">
        <v>68</v>
      </c>
      <c r="G472">
        <v>47</v>
      </c>
      <c r="H472">
        <v>27.54</v>
      </c>
      <c r="I472">
        <v>1294.3800000000001</v>
      </c>
      <c r="J472">
        <v>62.78</v>
      </c>
      <c r="K472">
        <v>503.1</v>
      </c>
      <c r="L472" t="s">
        <v>24</v>
      </c>
      <c r="M472" t="s">
        <v>25</v>
      </c>
      <c r="N472" t="s">
        <v>98</v>
      </c>
    </row>
    <row r="473" spans="1:14" x14ac:dyDescent="0.3">
      <c r="A473" t="s">
        <v>956</v>
      </c>
      <c r="B473" t="s">
        <v>1018</v>
      </c>
      <c r="C473" t="s">
        <v>44</v>
      </c>
      <c r="D473" t="s">
        <v>70</v>
      </c>
      <c r="E473" t="s">
        <v>46</v>
      </c>
      <c r="F473" t="s">
        <v>47</v>
      </c>
      <c r="G473">
        <v>16</v>
      </c>
      <c r="H473">
        <v>45.08</v>
      </c>
      <c r="I473">
        <v>721.28</v>
      </c>
      <c r="J473">
        <v>21.61</v>
      </c>
      <c r="K473">
        <v>187.67</v>
      </c>
      <c r="L473" t="s">
        <v>33</v>
      </c>
      <c r="M473" t="s">
        <v>41</v>
      </c>
      <c r="N473" t="s">
        <v>76</v>
      </c>
    </row>
    <row r="474" spans="1:14" x14ac:dyDescent="0.3">
      <c r="A474" t="s">
        <v>958</v>
      </c>
      <c r="B474" t="s">
        <v>1015</v>
      </c>
      <c r="C474" t="s">
        <v>197</v>
      </c>
      <c r="D474" t="s">
        <v>1005</v>
      </c>
      <c r="E474" t="s">
        <v>67</v>
      </c>
      <c r="F474" t="s">
        <v>68</v>
      </c>
      <c r="G474">
        <v>37</v>
      </c>
      <c r="H474">
        <v>33.200000000000003</v>
      </c>
      <c r="I474">
        <v>1228.4000000000001</v>
      </c>
      <c r="J474">
        <v>41.34</v>
      </c>
      <c r="K474">
        <v>354.56</v>
      </c>
      <c r="L474" t="s">
        <v>48</v>
      </c>
      <c r="M474" t="s">
        <v>34</v>
      </c>
      <c r="N474" t="s">
        <v>76</v>
      </c>
    </row>
    <row r="475" spans="1:14" x14ac:dyDescent="0.3">
      <c r="A475" t="s">
        <v>959</v>
      </c>
      <c r="B475" t="s">
        <v>1016</v>
      </c>
      <c r="C475" t="s">
        <v>20</v>
      </c>
      <c r="D475" t="s">
        <v>1005</v>
      </c>
      <c r="E475" t="s">
        <v>32</v>
      </c>
      <c r="F475" t="s">
        <v>23</v>
      </c>
      <c r="G475">
        <v>8</v>
      </c>
      <c r="H475">
        <v>27.31</v>
      </c>
      <c r="I475">
        <v>218.48</v>
      </c>
      <c r="J475">
        <v>9.51</v>
      </c>
      <c r="K475">
        <v>64.97</v>
      </c>
      <c r="L475" t="s">
        <v>48</v>
      </c>
      <c r="M475" t="s">
        <v>25</v>
      </c>
      <c r="N475" t="s">
        <v>76</v>
      </c>
    </row>
    <row r="476" spans="1:14" x14ac:dyDescent="0.3">
      <c r="A476" t="s">
        <v>960</v>
      </c>
      <c r="B476" t="s">
        <v>1009</v>
      </c>
      <c r="C476" t="s">
        <v>157</v>
      </c>
      <c r="D476" t="s">
        <v>141</v>
      </c>
      <c r="E476" t="s">
        <v>32</v>
      </c>
      <c r="F476" t="s">
        <v>23</v>
      </c>
      <c r="G476">
        <v>19</v>
      </c>
      <c r="H476">
        <v>29.14</v>
      </c>
      <c r="I476">
        <v>553.66</v>
      </c>
      <c r="J476">
        <v>19.7</v>
      </c>
      <c r="K476">
        <v>191.96</v>
      </c>
      <c r="L476" t="s">
        <v>24</v>
      </c>
      <c r="M476" t="s">
        <v>34</v>
      </c>
      <c r="N476" t="s">
        <v>142</v>
      </c>
    </row>
    <row r="477" spans="1:14" x14ac:dyDescent="0.3">
      <c r="A477" t="s">
        <v>961</v>
      </c>
      <c r="B477" t="s">
        <v>1013</v>
      </c>
      <c r="C477" t="s">
        <v>331</v>
      </c>
      <c r="D477" t="s">
        <v>116</v>
      </c>
      <c r="E477" t="s">
        <v>22</v>
      </c>
      <c r="F477" t="s">
        <v>23</v>
      </c>
      <c r="G477">
        <v>6</v>
      </c>
      <c r="H477">
        <v>55.41</v>
      </c>
      <c r="I477">
        <v>332.46</v>
      </c>
      <c r="J477">
        <v>15.57</v>
      </c>
      <c r="K477">
        <v>106.89</v>
      </c>
      <c r="L477" t="s">
        <v>24</v>
      </c>
      <c r="M477" t="s">
        <v>25</v>
      </c>
      <c r="N477" t="s">
        <v>76</v>
      </c>
    </row>
    <row r="478" spans="1:14" x14ac:dyDescent="0.3">
      <c r="A478" t="s">
        <v>962</v>
      </c>
      <c r="B478" t="s">
        <v>1015</v>
      </c>
      <c r="C478" t="s">
        <v>307</v>
      </c>
      <c r="D478" t="s">
        <v>1005</v>
      </c>
      <c r="E478" t="s">
        <v>32</v>
      </c>
      <c r="F478" t="s">
        <v>23</v>
      </c>
      <c r="G478">
        <v>48</v>
      </c>
      <c r="H478">
        <v>29.07</v>
      </c>
      <c r="I478">
        <v>1395.36</v>
      </c>
      <c r="J478">
        <v>70.38</v>
      </c>
      <c r="K478">
        <v>460.98</v>
      </c>
      <c r="L478" t="s">
        <v>33</v>
      </c>
      <c r="M478" t="s">
        <v>41</v>
      </c>
      <c r="N478" t="s">
        <v>76</v>
      </c>
    </row>
    <row r="479" spans="1:14" x14ac:dyDescent="0.3">
      <c r="A479" t="s">
        <v>963</v>
      </c>
      <c r="B479" t="s">
        <v>1021</v>
      </c>
      <c r="C479" t="s">
        <v>455</v>
      </c>
      <c r="D479" t="s">
        <v>45</v>
      </c>
      <c r="E479" t="s">
        <v>67</v>
      </c>
      <c r="F479" t="s">
        <v>68</v>
      </c>
      <c r="G479">
        <v>26</v>
      </c>
      <c r="H479">
        <v>27.17</v>
      </c>
      <c r="I479">
        <v>706.42</v>
      </c>
      <c r="J479">
        <v>33.94</v>
      </c>
      <c r="K479">
        <v>87.48</v>
      </c>
      <c r="L479" t="s">
        <v>48</v>
      </c>
      <c r="M479" t="s">
        <v>34</v>
      </c>
      <c r="N479" t="s">
        <v>49</v>
      </c>
    </row>
    <row r="480" spans="1:14" x14ac:dyDescent="0.3">
      <c r="A480" t="s">
        <v>965</v>
      </c>
      <c r="B480" t="s">
        <v>1021</v>
      </c>
      <c r="C480" t="s">
        <v>170</v>
      </c>
      <c r="D480" t="s">
        <v>127</v>
      </c>
      <c r="E480" t="s">
        <v>22</v>
      </c>
      <c r="F480" t="s">
        <v>23</v>
      </c>
      <c r="G480">
        <v>9</v>
      </c>
      <c r="H480">
        <v>48.76</v>
      </c>
      <c r="I480">
        <v>438.84</v>
      </c>
      <c r="J480">
        <v>16.91</v>
      </c>
      <c r="K480">
        <v>106.93</v>
      </c>
      <c r="L480" t="s">
        <v>48</v>
      </c>
      <c r="M480" t="s">
        <v>25</v>
      </c>
      <c r="N480" t="s">
        <v>76</v>
      </c>
    </row>
    <row r="481" spans="1:14" x14ac:dyDescent="0.3">
      <c r="A481" t="s">
        <v>966</v>
      </c>
      <c r="B481" t="s">
        <v>1023</v>
      </c>
      <c r="C481" t="s">
        <v>360</v>
      </c>
      <c r="D481" t="s">
        <v>1004</v>
      </c>
      <c r="E481" t="s">
        <v>67</v>
      </c>
      <c r="F481" t="s">
        <v>68</v>
      </c>
      <c r="G481">
        <v>37</v>
      </c>
      <c r="H481">
        <v>33.21</v>
      </c>
      <c r="I481">
        <v>1228.77</v>
      </c>
      <c r="J481">
        <v>96.12</v>
      </c>
      <c r="K481">
        <v>300.14999999999998</v>
      </c>
      <c r="L481" t="s">
        <v>48</v>
      </c>
      <c r="M481" t="s">
        <v>34</v>
      </c>
      <c r="N481" t="s">
        <v>35</v>
      </c>
    </row>
    <row r="482" spans="1:14" x14ac:dyDescent="0.3">
      <c r="A482" t="s">
        <v>967</v>
      </c>
      <c r="B482" t="s">
        <v>1011</v>
      </c>
      <c r="C482" t="s">
        <v>170</v>
      </c>
      <c r="D482" t="s">
        <v>45</v>
      </c>
      <c r="E482" t="s">
        <v>86</v>
      </c>
      <c r="F482" t="s">
        <v>47</v>
      </c>
      <c r="G482">
        <v>29</v>
      </c>
      <c r="H482">
        <v>16.54</v>
      </c>
      <c r="I482">
        <v>479.66</v>
      </c>
      <c r="J482">
        <v>30.23</v>
      </c>
      <c r="K482">
        <v>79.680000000000007</v>
      </c>
      <c r="L482" t="s">
        <v>33</v>
      </c>
      <c r="M482" t="s">
        <v>41</v>
      </c>
      <c r="N482" t="s">
        <v>49</v>
      </c>
    </row>
    <row r="483" spans="1:14" x14ac:dyDescent="0.3">
      <c r="A483" t="s">
        <v>968</v>
      </c>
      <c r="B483" t="s">
        <v>1015</v>
      </c>
      <c r="C483" t="s">
        <v>126</v>
      </c>
      <c r="D483" t="s">
        <v>206</v>
      </c>
      <c r="E483" t="s">
        <v>74</v>
      </c>
      <c r="F483" t="s">
        <v>75</v>
      </c>
      <c r="G483">
        <v>11</v>
      </c>
      <c r="H483">
        <v>44.56</v>
      </c>
      <c r="I483">
        <v>490.16</v>
      </c>
      <c r="J483">
        <v>23.97</v>
      </c>
      <c r="K483">
        <v>191.19</v>
      </c>
      <c r="L483" t="s">
        <v>33</v>
      </c>
      <c r="M483" t="s">
        <v>41</v>
      </c>
      <c r="N483" t="s">
        <v>207</v>
      </c>
    </row>
    <row r="484" spans="1:14" x14ac:dyDescent="0.3">
      <c r="A484" t="s">
        <v>969</v>
      </c>
      <c r="B484" t="s">
        <v>1022</v>
      </c>
      <c r="C484" t="s">
        <v>66</v>
      </c>
      <c r="D484" t="s">
        <v>62</v>
      </c>
      <c r="E484" t="s">
        <v>46</v>
      </c>
      <c r="F484" t="s">
        <v>47</v>
      </c>
      <c r="G484">
        <v>50</v>
      </c>
      <c r="H484">
        <v>44.78</v>
      </c>
      <c r="I484">
        <v>2239</v>
      </c>
      <c r="J484">
        <v>169.97</v>
      </c>
      <c r="K484">
        <v>469.03</v>
      </c>
      <c r="L484" t="s">
        <v>24</v>
      </c>
      <c r="M484" t="s">
        <v>41</v>
      </c>
      <c r="N484" t="s">
        <v>98</v>
      </c>
    </row>
    <row r="485" spans="1:14" x14ac:dyDescent="0.3">
      <c r="A485" t="s">
        <v>970</v>
      </c>
      <c r="B485" t="s">
        <v>1016</v>
      </c>
      <c r="C485" t="s">
        <v>122</v>
      </c>
      <c r="D485" t="s">
        <v>1003</v>
      </c>
      <c r="E485" t="s">
        <v>32</v>
      </c>
      <c r="F485" t="s">
        <v>23</v>
      </c>
      <c r="G485">
        <v>30</v>
      </c>
      <c r="H485">
        <v>22.51</v>
      </c>
      <c r="I485">
        <v>675.3</v>
      </c>
      <c r="J485">
        <v>26.26</v>
      </c>
      <c r="K485">
        <v>109.04</v>
      </c>
      <c r="L485" t="s">
        <v>24</v>
      </c>
      <c r="M485" t="s">
        <v>25</v>
      </c>
      <c r="N485" t="s">
        <v>98</v>
      </c>
    </row>
    <row r="486" spans="1:14" x14ac:dyDescent="0.3">
      <c r="A486" t="s">
        <v>972</v>
      </c>
      <c r="B486" t="s">
        <v>1018</v>
      </c>
      <c r="C486" t="s">
        <v>391</v>
      </c>
      <c r="D486" t="s">
        <v>206</v>
      </c>
      <c r="E486" t="s">
        <v>81</v>
      </c>
      <c r="F486" t="s">
        <v>68</v>
      </c>
      <c r="G486">
        <v>50</v>
      </c>
      <c r="H486">
        <v>27.18</v>
      </c>
      <c r="I486">
        <v>1359</v>
      </c>
      <c r="J486">
        <v>45.67</v>
      </c>
      <c r="K486">
        <v>538.33000000000004</v>
      </c>
      <c r="L486" t="s">
        <v>24</v>
      </c>
      <c r="M486" t="s">
        <v>41</v>
      </c>
      <c r="N486" t="s">
        <v>207</v>
      </c>
    </row>
    <row r="487" spans="1:14" x14ac:dyDescent="0.3">
      <c r="A487" t="s">
        <v>974</v>
      </c>
      <c r="B487" t="s">
        <v>1013</v>
      </c>
      <c r="C487" t="s">
        <v>216</v>
      </c>
      <c r="D487" t="s">
        <v>37</v>
      </c>
      <c r="E487" t="s">
        <v>137</v>
      </c>
      <c r="F487" t="s">
        <v>68</v>
      </c>
      <c r="G487">
        <v>28</v>
      </c>
      <c r="H487">
        <v>37.51</v>
      </c>
      <c r="I487">
        <v>1050.28</v>
      </c>
      <c r="J487">
        <v>45.83</v>
      </c>
      <c r="K487">
        <v>220.45</v>
      </c>
      <c r="L487" t="s">
        <v>48</v>
      </c>
      <c r="M487" t="s">
        <v>34</v>
      </c>
      <c r="N487" t="s">
        <v>35</v>
      </c>
    </row>
    <row r="488" spans="1:14" x14ac:dyDescent="0.3">
      <c r="A488" t="s">
        <v>975</v>
      </c>
      <c r="B488" t="s">
        <v>1018</v>
      </c>
      <c r="C488" t="s">
        <v>113</v>
      </c>
      <c r="D488" t="s">
        <v>206</v>
      </c>
      <c r="E488" t="s">
        <v>56</v>
      </c>
      <c r="F488" t="s">
        <v>57</v>
      </c>
      <c r="G488">
        <v>50</v>
      </c>
      <c r="H488">
        <v>53.71</v>
      </c>
      <c r="I488">
        <v>2685.5</v>
      </c>
      <c r="J488">
        <v>197.89</v>
      </c>
      <c r="K488">
        <v>487.61</v>
      </c>
      <c r="L488" t="s">
        <v>33</v>
      </c>
      <c r="M488" t="s">
        <v>41</v>
      </c>
      <c r="N488" t="s">
        <v>207</v>
      </c>
    </row>
    <row r="489" spans="1:14" x14ac:dyDescent="0.3">
      <c r="A489" t="s">
        <v>976</v>
      </c>
      <c r="B489" t="s">
        <v>1016</v>
      </c>
      <c r="C489" t="s">
        <v>630</v>
      </c>
      <c r="D489" t="s">
        <v>141</v>
      </c>
      <c r="E489" t="s">
        <v>81</v>
      </c>
      <c r="F489" t="s">
        <v>68</v>
      </c>
      <c r="G489">
        <v>24</v>
      </c>
      <c r="H489">
        <v>18.62</v>
      </c>
      <c r="I489">
        <v>446.88</v>
      </c>
      <c r="J489">
        <v>26.91</v>
      </c>
      <c r="K489">
        <v>47.97</v>
      </c>
      <c r="L489" t="s">
        <v>33</v>
      </c>
      <c r="M489" t="s">
        <v>34</v>
      </c>
      <c r="N489" t="s">
        <v>142</v>
      </c>
    </row>
    <row r="490" spans="1:14" x14ac:dyDescent="0.3">
      <c r="A490" t="s">
        <v>978</v>
      </c>
      <c r="B490" t="s">
        <v>1007</v>
      </c>
      <c r="C490" t="s">
        <v>290</v>
      </c>
      <c r="D490" t="s">
        <v>116</v>
      </c>
      <c r="E490" t="s">
        <v>56</v>
      </c>
      <c r="F490" t="s">
        <v>57</v>
      </c>
      <c r="G490">
        <v>10</v>
      </c>
      <c r="H490">
        <v>49.15</v>
      </c>
      <c r="I490">
        <v>491.5</v>
      </c>
      <c r="J490">
        <v>13.3</v>
      </c>
      <c r="K490">
        <v>78.2</v>
      </c>
      <c r="L490" t="s">
        <v>48</v>
      </c>
      <c r="M490" t="s">
        <v>41</v>
      </c>
      <c r="N490" t="s">
        <v>76</v>
      </c>
    </row>
    <row r="491" spans="1:14" x14ac:dyDescent="0.3">
      <c r="A491" t="s">
        <v>979</v>
      </c>
      <c r="B491" t="s">
        <v>1016</v>
      </c>
      <c r="C491" t="s">
        <v>328</v>
      </c>
      <c r="D491" t="s">
        <v>51</v>
      </c>
      <c r="E491" t="s">
        <v>56</v>
      </c>
      <c r="F491" t="s">
        <v>57</v>
      </c>
      <c r="G491">
        <v>42</v>
      </c>
      <c r="H491">
        <v>50.96</v>
      </c>
      <c r="I491">
        <v>2140.3200000000002</v>
      </c>
      <c r="J491">
        <v>127.85</v>
      </c>
      <c r="K491">
        <v>332.47</v>
      </c>
      <c r="L491" t="s">
        <v>24</v>
      </c>
      <c r="M491" t="s">
        <v>34</v>
      </c>
      <c r="N491" t="s">
        <v>76</v>
      </c>
    </row>
    <row r="492" spans="1:14" x14ac:dyDescent="0.3">
      <c r="A492" t="s">
        <v>981</v>
      </c>
      <c r="B492" t="s">
        <v>1023</v>
      </c>
      <c r="C492" t="s">
        <v>323</v>
      </c>
      <c r="D492" t="s">
        <v>51</v>
      </c>
      <c r="E492" t="s">
        <v>74</v>
      </c>
      <c r="F492" t="s">
        <v>75</v>
      </c>
      <c r="G492">
        <v>39</v>
      </c>
      <c r="H492">
        <v>37.46</v>
      </c>
      <c r="I492">
        <v>1460.94</v>
      </c>
      <c r="J492">
        <v>82.25</v>
      </c>
      <c r="K492">
        <v>403.69</v>
      </c>
      <c r="L492" t="s">
        <v>48</v>
      </c>
      <c r="M492" t="s">
        <v>25</v>
      </c>
      <c r="N492" t="s">
        <v>76</v>
      </c>
    </row>
    <row r="493" spans="1:14" x14ac:dyDescent="0.3">
      <c r="A493" t="s">
        <v>983</v>
      </c>
      <c r="B493" t="s">
        <v>1012</v>
      </c>
      <c r="C493" t="s">
        <v>174</v>
      </c>
      <c r="D493" t="s">
        <v>171</v>
      </c>
      <c r="E493" t="s">
        <v>86</v>
      </c>
      <c r="F493" t="s">
        <v>47</v>
      </c>
      <c r="G493">
        <v>7</v>
      </c>
      <c r="H493">
        <v>20.2</v>
      </c>
      <c r="I493">
        <v>141.4</v>
      </c>
      <c r="J493">
        <v>4.3499999999999996</v>
      </c>
      <c r="K493">
        <v>47.8</v>
      </c>
      <c r="L493" t="s">
        <v>33</v>
      </c>
      <c r="M493" t="s">
        <v>41</v>
      </c>
      <c r="N493" t="s">
        <v>35</v>
      </c>
    </row>
    <row r="494" spans="1:14" x14ac:dyDescent="0.3">
      <c r="A494" t="s">
        <v>985</v>
      </c>
      <c r="B494" t="s">
        <v>1013</v>
      </c>
      <c r="C494" t="s">
        <v>197</v>
      </c>
      <c r="D494" t="s">
        <v>55</v>
      </c>
      <c r="E494" t="s">
        <v>86</v>
      </c>
      <c r="F494" t="s">
        <v>47</v>
      </c>
      <c r="G494">
        <v>18</v>
      </c>
      <c r="H494">
        <v>18.63</v>
      </c>
      <c r="I494">
        <v>335.34</v>
      </c>
      <c r="J494">
        <v>26.18</v>
      </c>
      <c r="K494">
        <v>79.66</v>
      </c>
      <c r="L494" t="s">
        <v>33</v>
      </c>
      <c r="M494" t="s">
        <v>25</v>
      </c>
      <c r="N494" t="s">
        <v>98</v>
      </c>
    </row>
    <row r="495" spans="1:14" x14ac:dyDescent="0.3">
      <c r="A495" t="s">
        <v>987</v>
      </c>
      <c r="B495" t="s">
        <v>1021</v>
      </c>
      <c r="C495" t="s">
        <v>462</v>
      </c>
      <c r="D495" t="s">
        <v>206</v>
      </c>
      <c r="E495" t="s">
        <v>67</v>
      </c>
      <c r="F495" t="s">
        <v>68</v>
      </c>
      <c r="G495">
        <v>12</v>
      </c>
      <c r="H495">
        <v>27.08</v>
      </c>
      <c r="I495">
        <v>324.95999999999998</v>
      </c>
      <c r="J495">
        <v>15.59</v>
      </c>
      <c r="K495">
        <v>39.369999999999997</v>
      </c>
      <c r="L495" t="s">
        <v>33</v>
      </c>
      <c r="M495" t="s">
        <v>41</v>
      </c>
      <c r="N495" t="s">
        <v>207</v>
      </c>
    </row>
    <row r="496" spans="1:14" x14ac:dyDescent="0.3">
      <c r="A496" t="s">
        <v>989</v>
      </c>
      <c r="B496" t="s">
        <v>1015</v>
      </c>
      <c r="C496" t="s">
        <v>499</v>
      </c>
      <c r="D496" t="s">
        <v>171</v>
      </c>
      <c r="E496" t="s">
        <v>74</v>
      </c>
      <c r="F496" t="s">
        <v>75</v>
      </c>
      <c r="G496">
        <v>50</v>
      </c>
      <c r="H496">
        <v>32.21</v>
      </c>
      <c r="I496">
        <v>1610.5</v>
      </c>
      <c r="J496">
        <v>32.68</v>
      </c>
      <c r="K496">
        <v>327.82</v>
      </c>
      <c r="L496" t="s">
        <v>33</v>
      </c>
      <c r="M496" t="s">
        <v>41</v>
      </c>
      <c r="N496" t="s">
        <v>35</v>
      </c>
    </row>
    <row r="497" spans="1:14" x14ac:dyDescent="0.3">
      <c r="A497" t="s">
        <v>990</v>
      </c>
      <c r="B497" t="s">
        <v>1020</v>
      </c>
      <c r="C497" t="s">
        <v>646</v>
      </c>
      <c r="D497" t="s">
        <v>141</v>
      </c>
      <c r="E497" t="s">
        <v>86</v>
      </c>
      <c r="F497" t="s">
        <v>47</v>
      </c>
      <c r="G497">
        <v>49</v>
      </c>
      <c r="H497">
        <v>20.59</v>
      </c>
      <c r="I497">
        <v>1008.91</v>
      </c>
      <c r="J497">
        <v>78.03</v>
      </c>
      <c r="K497">
        <v>306.13</v>
      </c>
      <c r="L497" t="s">
        <v>33</v>
      </c>
      <c r="M497" t="s">
        <v>41</v>
      </c>
      <c r="N497" t="s">
        <v>142</v>
      </c>
    </row>
    <row r="498" spans="1:14" x14ac:dyDescent="0.3">
      <c r="A498" t="s">
        <v>991</v>
      </c>
      <c r="B498" t="s">
        <v>1009</v>
      </c>
      <c r="C498" t="s">
        <v>140</v>
      </c>
      <c r="D498" t="s">
        <v>37</v>
      </c>
      <c r="E498" t="s">
        <v>63</v>
      </c>
      <c r="F498" t="s">
        <v>47</v>
      </c>
      <c r="G498">
        <v>22</v>
      </c>
      <c r="H498">
        <v>28.63</v>
      </c>
      <c r="I498">
        <v>629.86</v>
      </c>
      <c r="J498">
        <v>29.08</v>
      </c>
      <c r="K498">
        <v>160.78</v>
      </c>
      <c r="L498" t="s">
        <v>33</v>
      </c>
      <c r="M498" t="s">
        <v>34</v>
      </c>
      <c r="N498" t="s">
        <v>35</v>
      </c>
    </row>
    <row r="499" spans="1:14" x14ac:dyDescent="0.3">
      <c r="A499" t="s">
        <v>993</v>
      </c>
      <c r="B499" t="s">
        <v>1008</v>
      </c>
      <c r="C499" t="s">
        <v>290</v>
      </c>
      <c r="D499" t="s">
        <v>51</v>
      </c>
      <c r="E499" t="s">
        <v>56</v>
      </c>
      <c r="F499" t="s">
        <v>57</v>
      </c>
      <c r="G499">
        <v>11</v>
      </c>
      <c r="H499">
        <v>56.12</v>
      </c>
      <c r="I499">
        <v>617.32000000000005</v>
      </c>
      <c r="J499">
        <v>38.26</v>
      </c>
      <c r="K499">
        <v>139.06</v>
      </c>
      <c r="L499" t="s">
        <v>33</v>
      </c>
      <c r="M499" t="s">
        <v>34</v>
      </c>
      <c r="N499" t="s">
        <v>76</v>
      </c>
    </row>
    <row r="500" spans="1:14" x14ac:dyDescent="0.3">
      <c r="A500" t="s">
        <v>995</v>
      </c>
      <c r="B500" t="s">
        <v>1009</v>
      </c>
      <c r="C500" t="s">
        <v>54</v>
      </c>
      <c r="D500" t="s">
        <v>1003</v>
      </c>
      <c r="E500" t="s">
        <v>74</v>
      </c>
      <c r="F500" t="s">
        <v>75</v>
      </c>
      <c r="G500">
        <v>2</v>
      </c>
      <c r="H500">
        <v>30.88</v>
      </c>
      <c r="I500">
        <v>61.76</v>
      </c>
      <c r="J500">
        <v>4.42</v>
      </c>
      <c r="K500">
        <v>7.34</v>
      </c>
      <c r="L500" t="s">
        <v>48</v>
      </c>
      <c r="M500" t="s">
        <v>34</v>
      </c>
      <c r="N500" t="s">
        <v>98</v>
      </c>
    </row>
    <row r="501" spans="1:14" x14ac:dyDescent="0.3">
      <c r="A501" t="s">
        <v>997</v>
      </c>
      <c r="B501" t="s">
        <v>1019</v>
      </c>
      <c r="C501" t="s">
        <v>471</v>
      </c>
      <c r="D501" t="s">
        <v>206</v>
      </c>
      <c r="E501" t="s">
        <v>56</v>
      </c>
      <c r="F501" t="s">
        <v>57</v>
      </c>
      <c r="G501">
        <v>34</v>
      </c>
      <c r="H501">
        <v>63.8</v>
      </c>
      <c r="I501">
        <v>2169.1999999999998</v>
      </c>
      <c r="J501">
        <v>69.650000000000006</v>
      </c>
      <c r="K501">
        <v>739.55</v>
      </c>
      <c r="L501" t="s">
        <v>33</v>
      </c>
      <c r="M501" t="s">
        <v>41</v>
      </c>
      <c r="N501" t="s">
        <v>207</v>
      </c>
    </row>
    <row r="502" spans="1:14" x14ac:dyDescent="0.3">
      <c r="A502" t="s">
        <v>999</v>
      </c>
      <c r="B502" t="s">
        <v>1016</v>
      </c>
      <c r="C502" t="s">
        <v>282</v>
      </c>
      <c r="D502" t="s">
        <v>62</v>
      </c>
      <c r="E502" t="s">
        <v>137</v>
      </c>
      <c r="F502" t="s">
        <v>68</v>
      </c>
      <c r="G502">
        <v>50</v>
      </c>
      <c r="H502">
        <v>44.61</v>
      </c>
      <c r="I502">
        <v>2230.5</v>
      </c>
      <c r="J502">
        <v>91.32</v>
      </c>
      <c r="K502">
        <v>739.18</v>
      </c>
      <c r="L502" t="s">
        <v>48</v>
      </c>
      <c r="M502" t="s">
        <v>25</v>
      </c>
      <c r="N502" t="s">
        <v>98</v>
      </c>
    </row>
    <row r="503" spans="1:14" x14ac:dyDescent="0.3">
      <c r="A503" t="s">
        <v>1000</v>
      </c>
      <c r="B503" t="s">
        <v>1013</v>
      </c>
      <c r="C503" t="s">
        <v>119</v>
      </c>
      <c r="D503" t="s">
        <v>1005</v>
      </c>
      <c r="E503" t="s">
        <v>86</v>
      </c>
      <c r="F503" t="s">
        <v>47</v>
      </c>
      <c r="G503">
        <v>14</v>
      </c>
      <c r="H503">
        <v>18.61</v>
      </c>
      <c r="I503">
        <v>260.54000000000002</v>
      </c>
      <c r="J503">
        <v>5.39</v>
      </c>
      <c r="K503">
        <v>76.650000000000006</v>
      </c>
      <c r="L503" t="s">
        <v>33</v>
      </c>
      <c r="M503" t="s">
        <v>41</v>
      </c>
      <c r="N503" t="s">
        <v>76</v>
      </c>
    </row>
    <row r="504" spans="1:14" x14ac:dyDescent="0.3">
      <c r="A504" t="s">
        <v>1002</v>
      </c>
      <c r="B504" t="s">
        <v>1019</v>
      </c>
      <c r="C504" t="s">
        <v>455</v>
      </c>
      <c r="D504" t="s">
        <v>1004</v>
      </c>
      <c r="E504" t="s">
        <v>81</v>
      </c>
      <c r="F504" t="s">
        <v>68</v>
      </c>
      <c r="G504">
        <v>7</v>
      </c>
      <c r="H504">
        <v>24.61</v>
      </c>
      <c r="I504">
        <v>172.27</v>
      </c>
      <c r="J504">
        <v>9.64</v>
      </c>
      <c r="K504">
        <v>54.13</v>
      </c>
      <c r="L504" t="s">
        <v>48</v>
      </c>
      <c r="M504" t="s">
        <v>41</v>
      </c>
      <c r="N504" t="s">
        <v>35</v>
      </c>
    </row>
    <row r="505" spans="1:14" x14ac:dyDescent="0.3">
      <c r="D505" t="s">
        <v>1006</v>
      </c>
    </row>
    <row r="506" spans="1:14" x14ac:dyDescent="0.3">
      <c r="D506" t="s">
        <v>1006</v>
      </c>
    </row>
  </sheetData>
  <mergeCells count="1">
    <mergeCell ref="A1:R3"/>
  </mergeCells>
  <conditionalFormatting sqref="K5:K504">
    <cfRule type="cellIs" dxfId="2" priority="1" operator="lessThan">
      <formula>0</formula>
    </cfRule>
  </conditionalFormatting>
  <pageMargins left="0.75" right="0.75" top="1" bottom="1" header="0.5" footer="0.5"/>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R505"/>
  <sheetViews>
    <sheetView zoomScale="86" workbookViewId="0">
      <selection activeCell="R14" sqref="R14"/>
    </sheetView>
  </sheetViews>
  <sheetFormatPr defaultRowHeight="14.4" x14ac:dyDescent="0.3"/>
  <cols>
    <col min="1" max="1" width="17.21875" customWidth="1"/>
    <col min="2" max="2" width="14.6640625" customWidth="1"/>
    <col min="3" max="3" width="17.77734375" customWidth="1"/>
    <col min="4" max="4" width="9.44140625" customWidth="1"/>
    <col min="5" max="5" width="17.44140625" customWidth="1"/>
    <col min="6" max="6" width="12" customWidth="1"/>
    <col min="7" max="7" width="10.21875" customWidth="1"/>
    <col min="8" max="8" width="11.44140625" customWidth="1"/>
    <col min="9" max="9" width="12.109375" customWidth="1"/>
    <col min="10" max="10" width="14.5546875" customWidth="1"/>
    <col min="12" max="12" width="12.5546875" customWidth="1"/>
    <col min="13" max="13" width="14.88671875" customWidth="1"/>
    <col min="14" max="14" width="13.77734375" customWidth="1"/>
    <col min="16" max="16" width="17.21875" customWidth="1"/>
    <col min="17" max="17" width="13.6640625" customWidth="1"/>
    <col min="18" max="18" width="10.33203125" customWidth="1"/>
  </cols>
  <sheetData>
    <row r="1" spans="1:18" x14ac:dyDescent="0.3">
      <c r="A1" s="36" t="s">
        <v>89</v>
      </c>
      <c r="B1" s="37"/>
      <c r="C1" s="37"/>
      <c r="D1" s="37"/>
      <c r="E1" s="37"/>
      <c r="F1" s="37"/>
      <c r="G1" s="37"/>
      <c r="H1" s="37"/>
      <c r="I1" s="37"/>
      <c r="J1" s="37"/>
      <c r="K1" s="37"/>
      <c r="L1" s="37"/>
      <c r="M1" s="37"/>
      <c r="N1" s="37"/>
      <c r="O1" s="37"/>
      <c r="P1" s="37"/>
    </row>
    <row r="2" spans="1:18" x14ac:dyDescent="0.3">
      <c r="A2" s="37"/>
      <c r="B2" s="37"/>
      <c r="C2" s="37"/>
      <c r="D2" s="37"/>
      <c r="E2" s="37"/>
      <c r="F2" s="37"/>
      <c r="G2" s="37"/>
      <c r="H2" s="37"/>
      <c r="I2" s="37"/>
      <c r="J2" s="37"/>
      <c r="K2" s="37"/>
      <c r="L2" s="37"/>
      <c r="M2" s="37"/>
      <c r="N2" s="37"/>
      <c r="O2" s="37"/>
      <c r="P2" s="37"/>
    </row>
    <row r="3" spans="1:18" ht="127.5" customHeight="1" x14ac:dyDescent="0.3">
      <c r="A3" s="37"/>
      <c r="B3" s="37"/>
      <c r="C3" s="37"/>
      <c r="D3" s="37"/>
      <c r="E3" s="37"/>
      <c r="F3" s="37"/>
      <c r="G3" s="37"/>
      <c r="H3" s="37"/>
      <c r="I3" s="37"/>
      <c r="J3" s="37"/>
      <c r="K3" s="37"/>
      <c r="L3" s="37"/>
      <c r="M3" s="37"/>
      <c r="N3" s="37"/>
      <c r="O3" s="37"/>
      <c r="P3" s="37"/>
    </row>
    <row r="5" spans="1:18" x14ac:dyDescent="0.3">
      <c r="A5" s="8" t="s">
        <v>1024</v>
      </c>
      <c r="B5" s="8" t="s">
        <v>2</v>
      </c>
      <c r="C5" s="8" t="s">
        <v>3</v>
      </c>
      <c r="D5" s="8" t="s">
        <v>4</v>
      </c>
      <c r="E5" s="8" t="s">
        <v>5</v>
      </c>
      <c r="F5" s="8" t="s">
        <v>6</v>
      </c>
      <c r="G5" s="8" t="s">
        <v>7</v>
      </c>
      <c r="H5" s="8" t="s">
        <v>8</v>
      </c>
      <c r="I5" s="8" t="s">
        <v>9</v>
      </c>
      <c r="J5" s="8" t="s">
        <v>10</v>
      </c>
      <c r="K5" s="8" t="s">
        <v>11</v>
      </c>
      <c r="L5" s="8" t="s">
        <v>12</v>
      </c>
      <c r="M5" s="8" t="s">
        <v>13</v>
      </c>
      <c r="N5" s="8" t="s">
        <v>14</v>
      </c>
      <c r="O5" s="9" t="s">
        <v>1025</v>
      </c>
      <c r="P5" s="9" t="s">
        <v>1030</v>
      </c>
    </row>
    <row r="6" spans="1:18" x14ac:dyDescent="0.3">
      <c r="A6" t="s">
        <v>19</v>
      </c>
      <c r="B6" t="s">
        <v>97</v>
      </c>
      <c r="C6" t="s">
        <v>20</v>
      </c>
      <c r="D6" t="s">
        <v>21</v>
      </c>
      <c r="E6" t="s">
        <v>22</v>
      </c>
      <c r="F6" t="s">
        <v>23</v>
      </c>
      <c r="G6">
        <v>20</v>
      </c>
      <c r="H6">
        <v>55.22</v>
      </c>
      <c r="I6">
        <v>1104.4000000000001</v>
      </c>
      <c r="J6">
        <v>49.36</v>
      </c>
      <c r="K6">
        <v>355.04</v>
      </c>
      <c r="L6" t="s">
        <v>24</v>
      </c>
      <c r="M6" t="s">
        <v>25</v>
      </c>
      <c r="N6" t="s">
        <v>98</v>
      </c>
      <c r="O6">
        <v>700.00000000000011</v>
      </c>
      <c r="P6" s="5">
        <f>K6/I6</f>
        <v>0.32147772546178921</v>
      </c>
      <c r="Q6" s="6" t="s">
        <v>1029</v>
      </c>
      <c r="R6" s="6" t="s">
        <v>1024</v>
      </c>
    </row>
    <row r="7" spans="1:18" x14ac:dyDescent="0.3">
      <c r="A7" t="s">
        <v>29</v>
      </c>
      <c r="B7" t="s">
        <v>99</v>
      </c>
      <c r="C7" t="s">
        <v>30</v>
      </c>
      <c r="D7" t="s">
        <v>31</v>
      </c>
      <c r="E7" t="s">
        <v>32</v>
      </c>
      <c r="F7" t="s">
        <v>23</v>
      </c>
      <c r="G7">
        <v>33</v>
      </c>
      <c r="H7">
        <v>32.03</v>
      </c>
      <c r="I7">
        <v>1056.99</v>
      </c>
      <c r="J7">
        <v>59.59</v>
      </c>
      <c r="K7">
        <v>403.4</v>
      </c>
      <c r="L7" t="s">
        <v>33</v>
      </c>
      <c r="M7" t="s">
        <v>34</v>
      </c>
      <c r="N7" t="s">
        <v>35</v>
      </c>
      <c r="O7">
        <v>594</v>
      </c>
      <c r="P7" s="5">
        <f t="shared" ref="P7:P70" si="0">K7/I7</f>
        <v>0.38164977908967918</v>
      </c>
      <c r="Q7" t="s">
        <v>1027</v>
      </c>
      <c r="R7" s="7">
        <f>MAX(P6:P505)</f>
        <v>0.42019875028231574</v>
      </c>
    </row>
    <row r="8" spans="1:18" x14ac:dyDescent="0.3">
      <c r="A8" t="s">
        <v>39</v>
      </c>
      <c r="B8" t="s">
        <v>100</v>
      </c>
      <c r="C8" t="s">
        <v>40</v>
      </c>
      <c r="D8" t="s">
        <v>37</v>
      </c>
      <c r="E8" t="s">
        <v>32</v>
      </c>
      <c r="F8" t="s">
        <v>23</v>
      </c>
      <c r="G8">
        <v>34</v>
      </c>
      <c r="H8">
        <v>28.48</v>
      </c>
      <c r="I8">
        <v>968.32</v>
      </c>
      <c r="J8">
        <v>73.95</v>
      </c>
      <c r="K8">
        <v>282.37</v>
      </c>
      <c r="L8" t="s">
        <v>24</v>
      </c>
      <c r="M8" t="s">
        <v>41</v>
      </c>
      <c r="N8" t="s">
        <v>35</v>
      </c>
      <c r="O8">
        <v>612</v>
      </c>
      <c r="P8" s="5">
        <f t="shared" si="0"/>
        <v>0.2916081460674157</v>
      </c>
      <c r="Q8" t="s">
        <v>1028</v>
      </c>
      <c r="R8" s="7">
        <f>MIN(P6:P505)</f>
        <v>9.3578691423519017E-2</v>
      </c>
    </row>
    <row r="9" spans="1:18" x14ac:dyDescent="0.3">
      <c r="A9" t="s">
        <v>43</v>
      </c>
      <c r="B9" t="s">
        <v>101</v>
      </c>
      <c r="C9" t="s">
        <v>44</v>
      </c>
      <c r="D9" t="s">
        <v>45</v>
      </c>
      <c r="E9" t="s">
        <v>46</v>
      </c>
      <c r="F9" t="s">
        <v>47</v>
      </c>
      <c r="G9">
        <v>6</v>
      </c>
      <c r="H9">
        <v>56.36</v>
      </c>
      <c r="I9">
        <v>338.16</v>
      </c>
      <c r="J9">
        <v>11.39</v>
      </c>
      <c r="K9">
        <v>134.77000000000001</v>
      </c>
      <c r="L9" t="s">
        <v>48</v>
      </c>
      <c r="M9" t="s">
        <v>34</v>
      </c>
      <c r="N9" t="s">
        <v>49</v>
      </c>
      <c r="O9">
        <v>192</v>
      </c>
      <c r="P9" s="5">
        <f t="shared" si="0"/>
        <v>0.39853915306363852</v>
      </c>
      <c r="Q9" t="s">
        <v>1026</v>
      </c>
      <c r="R9" s="7">
        <f>AVERAGE(P6:P505)</f>
        <v>0.27267437490594432</v>
      </c>
    </row>
    <row r="10" spans="1:18" x14ac:dyDescent="0.3">
      <c r="A10" t="s">
        <v>53</v>
      </c>
      <c r="B10" t="s">
        <v>102</v>
      </c>
      <c r="C10" t="s">
        <v>54</v>
      </c>
      <c r="D10" t="s">
        <v>55</v>
      </c>
      <c r="E10" t="s">
        <v>56</v>
      </c>
      <c r="F10" t="s">
        <v>57</v>
      </c>
      <c r="G10">
        <v>17</v>
      </c>
      <c r="H10">
        <v>69.22</v>
      </c>
      <c r="I10">
        <v>1176.74</v>
      </c>
      <c r="J10">
        <v>65.94</v>
      </c>
      <c r="K10">
        <v>430.8</v>
      </c>
      <c r="L10" t="s">
        <v>33</v>
      </c>
      <c r="M10" t="s">
        <v>25</v>
      </c>
      <c r="N10" t="s">
        <v>98</v>
      </c>
      <c r="O10">
        <v>680</v>
      </c>
      <c r="P10" s="5">
        <f t="shared" si="0"/>
        <v>0.36609616397844896</v>
      </c>
    </row>
    <row r="11" spans="1:18" x14ac:dyDescent="0.3">
      <c r="A11" t="s">
        <v>60</v>
      </c>
      <c r="B11" t="s">
        <v>103</v>
      </c>
      <c r="C11" t="s">
        <v>61</v>
      </c>
      <c r="D11" t="s">
        <v>62</v>
      </c>
      <c r="E11" t="s">
        <v>63</v>
      </c>
      <c r="F11" t="s">
        <v>47</v>
      </c>
      <c r="G11">
        <v>13</v>
      </c>
      <c r="H11">
        <v>27.94</v>
      </c>
      <c r="I11">
        <v>363.22</v>
      </c>
      <c r="J11">
        <v>15.36</v>
      </c>
      <c r="K11">
        <v>87.86</v>
      </c>
      <c r="L11" t="s">
        <v>33</v>
      </c>
      <c r="M11" t="s">
        <v>25</v>
      </c>
      <c r="N11" t="s">
        <v>98</v>
      </c>
      <c r="O11">
        <v>260</v>
      </c>
      <c r="P11" s="5">
        <f t="shared" si="0"/>
        <v>0.2418919663014151</v>
      </c>
    </row>
    <row r="12" spans="1:18" x14ac:dyDescent="0.3">
      <c r="A12" t="s">
        <v>65</v>
      </c>
      <c r="B12" t="s">
        <v>104</v>
      </c>
      <c r="C12" t="s">
        <v>66</v>
      </c>
      <c r="D12" t="s">
        <v>31</v>
      </c>
      <c r="E12" t="s">
        <v>67</v>
      </c>
      <c r="F12" t="s">
        <v>68</v>
      </c>
      <c r="G12">
        <v>3</v>
      </c>
      <c r="H12">
        <v>31.52</v>
      </c>
      <c r="I12">
        <v>94.56</v>
      </c>
      <c r="J12">
        <v>6.98</v>
      </c>
      <c r="K12">
        <v>20.079999999999998</v>
      </c>
      <c r="L12" t="s">
        <v>24</v>
      </c>
      <c r="M12" t="s">
        <v>41</v>
      </c>
      <c r="N12" t="s">
        <v>35</v>
      </c>
      <c r="O12">
        <v>67.5</v>
      </c>
      <c r="P12" s="5">
        <f t="shared" si="0"/>
        <v>0.21235194585448391</v>
      </c>
    </row>
    <row r="13" spans="1:18" x14ac:dyDescent="0.3">
      <c r="A13" t="s">
        <v>72</v>
      </c>
      <c r="B13" t="s">
        <v>105</v>
      </c>
      <c r="C13" t="s">
        <v>73</v>
      </c>
      <c r="D13" t="s">
        <v>51</v>
      </c>
      <c r="E13" t="s">
        <v>74</v>
      </c>
      <c r="F13" t="s">
        <v>75</v>
      </c>
      <c r="G13">
        <v>14</v>
      </c>
      <c r="H13">
        <v>30.71</v>
      </c>
      <c r="I13">
        <v>429.94</v>
      </c>
      <c r="J13">
        <v>13.03</v>
      </c>
      <c r="K13">
        <v>66.91</v>
      </c>
      <c r="L13" t="s">
        <v>33</v>
      </c>
      <c r="M13" t="s">
        <v>25</v>
      </c>
      <c r="N13" t="s">
        <v>76</v>
      </c>
      <c r="O13">
        <v>350</v>
      </c>
      <c r="P13" s="5">
        <f t="shared" si="0"/>
        <v>0.15562636646973996</v>
      </c>
    </row>
    <row r="14" spans="1:18" x14ac:dyDescent="0.3">
      <c r="A14" t="s">
        <v>80</v>
      </c>
      <c r="B14" t="s">
        <v>106</v>
      </c>
      <c r="C14" t="s">
        <v>40</v>
      </c>
      <c r="D14" t="s">
        <v>21</v>
      </c>
      <c r="E14" t="s">
        <v>81</v>
      </c>
      <c r="F14" t="s">
        <v>68</v>
      </c>
      <c r="G14">
        <v>47</v>
      </c>
      <c r="H14">
        <v>24.47</v>
      </c>
      <c r="I14">
        <v>1150.0899999999999</v>
      </c>
      <c r="J14">
        <v>61.3</v>
      </c>
      <c r="K14">
        <v>360.29</v>
      </c>
      <c r="L14" t="s">
        <v>33</v>
      </c>
      <c r="M14" t="s">
        <v>25</v>
      </c>
      <c r="N14" t="s">
        <v>98</v>
      </c>
      <c r="O14">
        <v>728.5</v>
      </c>
      <c r="P14" s="5">
        <f t="shared" si="0"/>
        <v>0.31327113530245465</v>
      </c>
    </row>
    <row r="15" spans="1:18" x14ac:dyDescent="0.3">
      <c r="A15" t="s">
        <v>84</v>
      </c>
      <c r="B15" t="s">
        <v>107</v>
      </c>
      <c r="C15" t="s">
        <v>85</v>
      </c>
      <c r="D15" t="s">
        <v>37</v>
      </c>
      <c r="E15" t="s">
        <v>86</v>
      </c>
      <c r="F15" t="s">
        <v>47</v>
      </c>
      <c r="G15">
        <v>27</v>
      </c>
      <c r="H15">
        <v>18.98</v>
      </c>
      <c r="I15">
        <v>512.46</v>
      </c>
      <c r="J15">
        <v>28.89</v>
      </c>
      <c r="K15">
        <v>139.32</v>
      </c>
      <c r="L15" t="s">
        <v>33</v>
      </c>
      <c r="M15" t="s">
        <v>41</v>
      </c>
      <c r="N15" t="s">
        <v>35</v>
      </c>
      <c r="O15">
        <v>344.25000000000006</v>
      </c>
      <c r="P15" s="5">
        <f t="shared" si="0"/>
        <v>0.27186512118018963</v>
      </c>
    </row>
    <row r="16" spans="1:18" x14ac:dyDescent="0.3">
      <c r="A16" t="s">
        <v>108</v>
      </c>
      <c r="B16" t="s">
        <v>109</v>
      </c>
      <c r="C16" t="s">
        <v>110</v>
      </c>
      <c r="D16" t="s">
        <v>51</v>
      </c>
      <c r="E16" t="s">
        <v>22</v>
      </c>
      <c r="F16" t="s">
        <v>23</v>
      </c>
      <c r="G16">
        <v>32</v>
      </c>
      <c r="H16">
        <v>57.84</v>
      </c>
      <c r="I16">
        <v>1850.88</v>
      </c>
      <c r="J16">
        <v>55.15</v>
      </c>
      <c r="K16">
        <v>675.73</v>
      </c>
      <c r="L16" t="s">
        <v>24</v>
      </c>
      <c r="M16" t="s">
        <v>25</v>
      </c>
      <c r="N16" t="s">
        <v>76</v>
      </c>
      <c r="O16">
        <v>1120</v>
      </c>
      <c r="P16" s="5">
        <f t="shared" si="0"/>
        <v>0.36508579702627936</v>
      </c>
    </row>
    <row r="17" spans="1:16" x14ac:dyDescent="0.3">
      <c r="A17" t="s">
        <v>111</v>
      </c>
      <c r="B17" t="s">
        <v>112</v>
      </c>
      <c r="C17" t="s">
        <v>113</v>
      </c>
      <c r="D17" t="s">
        <v>55</v>
      </c>
      <c r="E17" t="s">
        <v>56</v>
      </c>
      <c r="F17" t="s">
        <v>57</v>
      </c>
      <c r="G17">
        <v>49</v>
      </c>
      <c r="H17">
        <v>58.77</v>
      </c>
      <c r="I17">
        <v>2879.73</v>
      </c>
      <c r="J17">
        <v>140.29</v>
      </c>
      <c r="K17">
        <v>779.44</v>
      </c>
      <c r="L17" t="s">
        <v>48</v>
      </c>
      <c r="M17" t="s">
        <v>41</v>
      </c>
      <c r="N17" t="s">
        <v>98</v>
      </c>
      <c r="O17">
        <v>1960</v>
      </c>
      <c r="P17" s="5">
        <f t="shared" si="0"/>
        <v>0.27066426366360735</v>
      </c>
    </row>
    <row r="18" spans="1:16" x14ac:dyDescent="0.3">
      <c r="A18" t="s">
        <v>114</v>
      </c>
      <c r="B18" t="s">
        <v>115</v>
      </c>
      <c r="C18" t="s">
        <v>110</v>
      </c>
      <c r="D18" t="s">
        <v>116</v>
      </c>
      <c r="E18" t="s">
        <v>22</v>
      </c>
      <c r="F18" t="s">
        <v>23</v>
      </c>
      <c r="G18">
        <v>43</v>
      </c>
      <c r="H18">
        <v>56.92</v>
      </c>
      <c r="I18">
        <v>2447.56</v>
      </c>
      <c r="J18">
        <v>140.4</v>
      </c>
      <c r="K18">
        <v>802.16</v>
      </c>
      <c r="L18" t="s">
        <v>24</v>
      </c>
      <c r="M18" t="s">
        <v>34</v>
      </c>
      <c r="N18" t="s">
        <v>76</v>
      </c>
      <c r="O18">
        <v>1505</v>
      </c>
      <c r="P18" s="5">
        <f t="shared" si="0"/>
        <v>0.3277386458350357</v>
      </c>
    </row>
    <row r="19" spans="1:16" x14ac:dyDescent="0.3">
      <c r="A19" t="s">
        <v>117</v>
      </c>
      <c r="B19" t="s">
        <v>118</v>
      </c>
      <c r="C19" t="s">
        <v>119</v>
      </c>
      <c r="D19" t="s">
        <v>37</v>
      </c>
      <c r="E19" t="s">
        <v>74</v>
      </c>
      <c r="F19" t="s">
        <v>75</v>
      </c>
      <c r="G19">
        <v>32</v>
      </c>
      <c r="H19">
        <v>43.45</v>
      </c>
      <c r="I19">
        <v>1390.4</v>
      </c>
      <c r="J19">
        <v>30.04</v>
      </c>
      <c r="K19">
        <v>560.36</v>
      </c>
      <c r="L19" t="s">
        <v>24</v>
      </c>
      <c r="M19" t="s">
        <v>41</v>
      </c>
      <c r="N19" t="s">
        <v>35</v>
      </c>
      <c r="O19">
        <v>800.00000000000011</v>
      </c>
      <c r="P19" s="5">
        <f t="shared" si="0"/>
        <v>0.4030207134637514</v>
      </c>
    </row>
    <row r="20" spans="1:16" x14ac:dyDescent="0.3">
      <c r="A20" t="s">
        <v>120</v>
      </c>
      <c r="B20" t="s">
        <v>121</v>
      </c>
      <c r="C20" t="s">
        <v>122</v>
      </c>
      <c r="D20" t="s">
        <v>123</v>
      </c>
      <c r="E20" t="s">
        <v>74</v>
      </c>
      <c r="F20" t="s">
        <v>75</v>
      </c>
      <c r="G20">
        <v>22</v>
      </c>
      <c r="H20">
        <v>42.59</v>
      </c>
      <c r="I20">
        <v>936.98</v>
      </c>
      <c r="J20">
        <v>29.87</v>
      </c>
      <c r="K20">
        <v>357.11</v>
      </c>
      <c r="L20" t="s">
        <v>33</v>
      </c>
      <c r="M20" t="s">
        <v>41</v>
      </c>
      <c r="N20" t="s">
        <v>76</v>
      </c>
      <c r="O20">
        <v>550</v>
      </c>
      <c r="P20" s="5">
        <f t="shared" si="0"/>
        <v>0.38112873273709152</v>
      </c>
    </row>
    <row r="21" spans="1:16" x14ac:dyDescent="0.3">
      <c r="A21" t="s">
        <v>124</v>
      </c>
      <c r="B21" t="s">
        <v>125</v>
      </c>
      <c r="C21" t="s">
        <v>126</v>
      </c>
      <c r="D21" t="s">
        <v>127</v>
      </c>
      <c r="E21" t="s">
        <v>63</v>
      </c>
      <c r="F21" t="s">
        <v>47</v>
      </c>
      <c r="G21">
        <v>48</v>
      </c>
      <c r="H21">
        <v>25.36</v>
      </c>
      <c r="I21">
        <v>1217.28</v>
      </c>
      <c r="J21">
        <v>49.68</v>
      </c>
      <c r="K21">
        <v>207.6</v>
      </c>
      <c r="L21" t="s">
        <v>33</v>
      </c>
      <c r="M21" t="s">
        <v>25</v>
      </c>
      <c r="N21" t="s">
        <v>76</v>
      </c>
      <c r="O21">
        <v>960</v>
      </c>
      <c r="P21" s="5">
        <f t="shared" si="0"/>
        <v>0.17054416403785488</v>
      </c>
    </row>
    <row r="22" spans="1:16" x14ac:dyDescent="0.3">
      <c r="A22" t="s">
        <v>128</v>
      </c>
      <c r="B22" t="s">
        <v>129</v>
      </c>
      <c r="C22" t="s">
        <v>110</v>
      </c>
      <c r="D22" t="s">
        <v>123</v>
      </c>
      <c r="E22" t="s">
        <v>32</v>
      </c>
      <c r="F22" t="s">
        <v>23</v>
      </c>
      <c r="G22">
        <v>48</v>
      </c>
      <c r="H22">
        <v>30.07</v>
      </c>
      <c r="I22">
        <v>1443.36</v>
      </c>
      <c r="J22">
        <v>102.31</v>
      </c>
      <c r="K22">
        <v>477.05</v>
      </c>
      <c r="L22" t="s">
        <v>48</v>
      </c>
      <c r="M22" t="s">
        <v>25</v>
      </c>
      <c r="N22" t="s">
        <v>76</v>
      </c>
      <c r="O22">
        <v>864</v>
      </c>
      <c r="P22" s="5">
        <f t="shared" si="0"/>
        <v>0.33051352399955664</v>
      </c>
    </row>
    <row r="23" spans="1:16" x14ac:dyDescent="0.3">
      <c r="A23" t="s">
        <v>130</v>
      </c>
      <c r="B23" t="s">
        <v>131</v>
      </c>
      <c r="C23" t="s">
        <v>61</v>
      </c>
      <c r="D23" t="s">
        <v>123</v>
      </c>
      <c r="E23" t="s">
        <v>63</v>
      </c>
      <c r="F23" t="s">
        <v>47</v>
      </c>
      <c r="G23">
        <v>6</v>
      </c>
      <c r="H23">
        <v>32.17</v>
      </c>
      <c r="I23">
        <v>193.02</v>
      </c>
      <c r="J23">
        <v>14.45</v>
      </c>
      <c r="K23">
        <v>58.57</v>
      </c>
      <c r="L23" t="s">
        <v>48</v>
      </c>
      <c r="M23" t="s">
        <v>25</v>
      </c>
      <c r="N23" t="s">
        <v>76</v>
      </c>
      <c r="O23">
        <v>120.00000000000003</v>
      </c>
      <c r="P23" s="5">
        <f t="shared" si="0"/>
        <v>0.30344005802507512</v>
      </c>
    </row>
    <row r="24" spans="1:16" x14ac:dyDescent="0.3">
      <c r="A24" t="s">
        <v>132</v>
      </c>
      <c r="B24" t="s">
        <v>133</v>
      </c>
      <c r="C24" t="s">
        <v>134</v>
      </c>
      <c r="D24" t="s">
        <v>116</v>
      </c>
      <c r="E24" t="s">
        <v>32</v>
      </c>
      <c r="F24" t="s">
        <v>23</v>
      </c>
      <c r="G24">
        <v>37</v>
      </c>
      <c r="H24">
        <v>24.14</v>
      </c>
      <c r="I24">
        <v>893.18</v>
      </c>
      <c r="J24">
        <v>31.39</v>
      </c>
      <c r="K24">
        <v>195.79</v>
      </c>
      <c r="L24" t="s">
        <v>33</v>
      </c>
      <c r="M24" t="s">
        <v>34</v>
      </c>
      <c r="N24" t="s">
        <v>76</v>
      </c>
      <c r="O24">
        <v>666</v>
      </c>
      <c r="P24" s="5">
        <f t="shared" si="0"/>
        <v>0.21920553527844333</v>
      </c>
    </row>
    <row r="25" spans="1:16" x14ac:dyDescent="0.3">
      <c r="A25" t="s">
        <v>135</v>
      </c>
      <c r="B25" t="s">
        <v>136</v>
      </c>
      <c r="C25" t="s">
        <v>54</v>
      </c>
      <c r="D25" t="s">
        <v>31</v>
      </c>
      <c r="E25" t="s">
        <v>137</v>
      </c>
      <c r="F25" t="s">
        <v>68</v>
      </c>
      <c r="G25">
        <v>39</v>
      </c>
      <c r="H25">
        <v>37.840000000000003</v>
      </c>
      <c r="I25">
        <v>1475.76</v>
      </c>
      <c r="J25">
        <v>73.400000000000006</v>
      </c>
      <c r="K25">
        <v>310.36</v>
      </c>
      <c r="L25" t="s">
        <v>33</v>
      </c>
      <c r="M25" t="s">
        <v>41</v>
      </c>
      <c r="N25" t="s">
        <v>35</v>
      </c>
      <c r="O25">
        <v>1092</v>
      </c>
      <c r="P25" s="5">
        <f t="shared" si="0"/>
        <v>0.21030519867729172</v>
      </c>
    </row>
    <row r="26" spans="1:16" x14ac:dyDescent="0.3">
      <c r="A26" t="s">
        <v>138</v>
      </c>
      <c r="B26" t="s">
        <v>139</v>
      </c>
      <c r="C26" t="s">
        <v>140</v>
      </c>
      <c r="D26" t="s">
        <v>141</v>
      </c>
      <c r="E26" t="s">
        <v>56</v>
      </c>
      <c r="F26" t="s">
        <v>57</v>
      </c>
      <c r="G26">
        <v>6</v>
      </c>
      <c r="H26">
        <v>68.77</v>
      </c>
      <c r="I26">
        <v>412.62</v>
      </c>
      <c r="J26">
        <v>17.18</v>
      </c>
      <c r="K26">
        <v>155.44</v>
      </c>
      <c r="L26" t="s">
        <v>33</v>
      </c>
      <c r="M26" t="s">
        <v>25</v>
      </c>
      <c r="N26" t="s">
        <v>142</v>
      </c>
      <c r="O26">
        <v>240</v>
      </c>
      <c r="P26" s="5">
        <f t="shared" si="0"/>
        <v>0.37671465270709126</v>
      </c>
    </row>
    <row r="27" spans="1:16" x14ac:dyDescent="0.3">
      <c r="A27" t="s">
        <v>143</v>
      </c>
      <c r="B27" t="s">
        <v>144</v>
      </c>
      <c r="C27" t="s">
        <v>145</v>
      </c>
      <c r="D27" t="s">
        <v>55</v>
      </c>
      <c r="E27" t="s">
        <v>86</v>
      </c>
      <c r="F27" t="s">
        <v>47</v>
      </c>
      <c r="G27">
        <v>6</v>
      </c>
      <c r="H27">
        <v>18.5</v>
      </c>
      <c r="I27">
        <v>111</v>
      </c>
      <c r="J27">
        <v>5.26</v>
      </c>
      <c r="K27">
        <v>29.24</v>
      </c>
      <c r="L27" t="s">
        <v>48</v>
      </c>
      <c r="M27" t="s">
        <v>34</v>
      </c>
      <c r="N27" t="s">
        <v>98</v>
      </c>
      <c r="O27">
        <v>76.5</v>
      </c>
      <c r="P27" s="5">
        <f t="shared" si="0"/>
        <v>0.2634234234234234</v>
      </c>
    </row>
    <row r="28" spans="1:16" x14ac:dyDescent="0.3">
      <c r="A28" t="s">
        <v>146</v>
      </c>
      <c r="B28" t="s">
        <v>147</v>
      </c>
      <c r="C28" t="s">
        <v>148</v>
      </c>
      <c r="D28" t="s">
        <v>37</v>
      </c>
      <c r="E28" t="s">
        <v>67</v>
      </c>
      <c r="F28" t="s">
        <v>68</v>
      </c>
      <c r="G28">
        <v>33</v>
      </c>
      <c r="H28">
        <v>28.96</v>
      </c>
      <c r="I28">
        <v>955.68</v>
      </c>
      <c r="J28">
        <v>49.07</v>
      </c>
      <c r="K28">
        <v>164.11</v>
      </c>
      <c r="L28" t="s">
        <v>33</v>
      </c>
      <c r="M28" t="s">
        <v>25</v>
      </c>
      <c r="N28" t="s">
        <v>35</v>
      </c>
      <c r="O28">
        <v>742.49999999999989</v>
      </c>
      <c r="P28" s="5">
        <f t="shared" si="0"/>
        <v>0.17172065963502431</v>
      </c>
    </row>
    <row r="29" spans="1:16" x14ac:dyDescent="0.3">
      <c r="A29" t="s">
        <v>149</v>
      </c>
      <c r="B29" t="s">
        <v>150</v>
      </c>
      <c r="C29" t="s">
        <v>151</v>
      </c>
      <c r="D29" t="s">
        <v>55</v>
      </c>
      <c r="E29" t="s">
        <v>67</v>
      </c>
      <c r="F29" t="s">
        <v>68</v>
      </c>
      <c r="G29">
        <v>31</v>
      </c>
      <c r="H29">
        <v>35.020000000000003</v>
      </c>
      <c r="I29">
        <v>1085.6199999999999</v>
      </c>
      <c r="J29">
        <v>74.650000000000006</v>
      </c>
      <c r="K29">
        <v>313.47000000000003</v>
      </c>
      <c r="L29" t="s">
        <v>48</v>
      </c>
      <c r="M29" t="s">
        <v>25</v>
      </c>
      <c r="N29" t="s">
        <v>98</v>
      </c>
      <c r="O29">
        <v>697.49999999999989</v>
      </c>
      <c r="P29" s="5">
        <f t="shared" si="0"/>
        <v>0.2887474438569666</v>
      </c>
    </row>
    <row r="30" spans="1:16" x14ac:dyDescent="0.3">
      <c r="A30" t="s">
        <v>152</v>
      </c>
      <c r="B30" t="s">
        <v>153</v>
      </c>
      <c r="C30" t="s">
        <v>154</v>
      </c>
      <c r="D30" t="s">
        <v>55</v>
      </c>
      <c r="E30" t="s">
        <v>63</v>
      </c>
      <c r="F30" t="s">
        <v>47</v>
      </c>
      <c r="G30">
        <v>25</v>
      </c>
      <c r="H30">
        <v>31.57</v>
      </c>
      <c r="I30">
        <v>789.25</v>
      </c>
      <c r="J30">
        <v>56.47</v>
      </c>
      <c r="K30">
        <v>232.78</v>
      </c>
      <c r="L30" t="s">
        <v>33</v>
      </c>
      <c r="M30" t="s">
        <v>34</v>
      </c>
      <c r="N30" t="s">
        <v>98</v>
      </c>
      <c r="O30">
        <v>500</v>
      </c>
      <c r="P30" s="5">
        <f t="shared" si="0"/>
        <v>0.29493823249920809</v>
      </c>
    </row>
    <row r="31" spans="1:16" x14ac:dyDescent="0.3">
      <c r="A31" t="s">
        <v>155</v>
      </c>
      <c r="B31" t="s">
        <v>156</v>
      </c>
      <c r="C31" t="s">
        <v>157</v>
      </c>
      <c r="D31" t="s">
        <v>37</v>
      </c>
      <c r="E31" t="s">
        <v>81</v>
      </c>
      <c r="F31" t="s">
        <v>68</v>
      </c>
      <c r="G31">
        <v>14</v>
      </c>
      <c r="H31">
        <v>27.08</v>
      </c>
      <c r="I31">
        <v>379.12</v>
      </c>
      <c r="J31">
        <v>11.12</v>
      </c>
      <c r="K31">
        <v>151</v>
      </c>
      <c r="L31" t="s">
        <v>33</v>
      </c>
      <c r="M31" t="s">
        <v>41</v>
      </c>
      <c r="N31" t="s">
        <v>35</v>
      </c>
      <c r="O31">
        <v>217</v>
      </c>
      <c r="P31" s="5">
        <f t="shared" si="0"/>
        <v>0.39829077864528378</v>
      </c>
    </row>
    <row r="32" spans="1:16" x14ac:dyDescent="0.3">
      <c r="A32" t="s">
        <v>158</v>
      </c>
      <c r="B32" t="s">
        <v>159</v>
      </c>
      <c r="C32" t="s">
        <v>44</v>
      </c>
      <c r="D32" t="s">
        <v>37</v>
      </c>
      <c r="E32" t="s">
        <v>137</v>
      </c>
      <c r="F32" t="s">
        <v>68</v>
      </c>
      <c r="G32">
        <v>39</v>
      </c>
      <c r="H32">
        <v>35.32</v>
      </c>
      <c r="I32">
        <v>1377.48</v>
      </c>
      <c r="J32">
        <v>63.72</v>
      </c>
      <c r="K32">
        <v>221.76</v>
      </c>
      <c r="L32" t="s">
        <v>33</v>
      </c>
      <c r="M32" t="s">
        <v>34</v>
      </c>
      <c r="N32" t="s">
        <v>35</v>
      </c>
      <c r="O32">
        <v>1092</v>
      </c>
      <c r="P32" s="5">
        <f t="shared" si="0"/>
        <v>0.16098963324331386</v>
      </c>
    </row>
    <row r="33" spans="1:16" x14ac:dyDescent="0.3">
      <c r="A33" t="s">
        <v>160</v>
      </c>
      <c r="B33" t="s">
        <v>161</v>
      </c>
      <c r="C33" t="s">
        <v>162</v>
      </c>
      <c r="D33" t="s">
        <v>51</v>
      </c>
      <c r="E33" t="s">
        <v>67</v>
      </c>
      <c r="F33" t="s">
        <v>68</v>
      </c>
      <c r="G33">
        <v>6</v>
      </c>
      <c r="H33">
        <v>39.630000000000003</v>
      </c>
      <c r="I33">
        <v>237.78</v>
      </c>
      <c r="J33">
        <v>8.08</v>
      </c>
      <c r="K33">
        <v>94.7</v>
      </c>
      <c r="L33" t="s">
        <v>24</v>
      </c>
      <c r="M33" t="s">
        <v>41</v>
      </c>
      <c r="N33" t="s">
        <v>76</v>
      </c>
      <c r="O33">
        <v>134.99999999999997</v>
      </c>
      <c r="P33" s="5">
        <f t="shared" si="0"/>
        <v>0.39826730591302884</v>
      </c>
    </row>
    <row r="34" spans="1:16" x14ac:dyDescent="0.3">
      <c r="A34" t="s">
        <v>163</v>
      </c>
      <c r="B34" t="s">
        <v>164</v>
      </c>
      <c r="C34" t="s">
        <v>165</v>
      </c>
      <c r="D34" t="s">
        <v>141</v>
      </c>
      <c r="E34" t="s">
        <v>56</v>
      </c>
      <c r="F34" t="s">
        <v>57</v>
      </c>
      <c r="G34">
        <v>36</v>
      </c>
      <c r="H34">
        <v>68.400000000000006</v>
      </c>
      <c r="I34">
        <v>2462.4</v>
      </c>
      <c r="J34">
        <v>150.83000000000001</v>
      </c>
      <c r="K34">
        <v>871.57</v>
      </c>
      <c r="L34" t="s">
        <v>33</v>
      </c>
      <c r="M34" t="s">
        <v>25</v>
      </c>
      <c r="N34" t="s">
        <v>142</v>
      </c>
      <c r="O34">
        <v>1440</v>
      </c>
      <c r="P34" s="5">
        <f t="shared" si="0"/>
        <v>0.35395142949967512</v>
      </c>
    </row>
    <row r="35" spans="1:16" x14ac:dyDescent="0.3">
      <c r="A35" t="s">
        <v>166</v>
      </c>
      <c r="B35" t="s">
        <v>167</v>
      </c>
      <c r="C35" t="s">
        <v>126</v>
      </c>
      <c r="D35" t="s">
        <v>37</v>
      </c>
      <c r="E35" t="s">
        <v>74</v>
      </c>
      <c r="F35" t="s">
        <v>75</v>
      </c>
      <c r="G35">
        <v>1</v>
      </c>
      <c r="H35">
        <v>44.98</v>
      </c>
      <c r="I35">
        <v>44.98</v>
      </c>
      <c r="J35">
        <v>2.81</v>
      </c>
      <c r="K35">
        <v>17.170000000000002</v>
      </c>
      <c r="L35" t="s">
        <v>33</v>
      </c>
      <c r="M35" t="s">
        <v>34</v>
      </c>
      <c r="N35" t="s">
        <v>35</v>
      </c>
      <c r="O35">
        <v>24.999999999999996</v>
      </c>
      <c r="P35" s="5">
        <f t="shared" si="0"/>
        <v>0.38172521120498004</v>
      </c>
    </row>
    <row r="36" spans="1:16" x14ac:dyDescent="0.3">
      <c r="A36" t="s">
        <v>168</v>
      </c>
      <c r="B36" t="s">
        <v>169</v>
      </c>
      <c r="C36" t="s">
        <v>170</v>
      </c>
      <c r="D36" t="s">
        <v>171</v>
      </c>
      <c r="E36" t="s">
        <v>137</v>
      </c>
      <c r="F36" t="s">
        <v>68</v>
      </c>
      <c r="G36">
        <v>3</v>
      </c>
      <c r="H36">
        <v>37.74</v>
      </c>
      <c r="I36">
        <v>113.22</v>
      </c>
      <c r="J36">
        <v>4.04</v>
      </c>
      <c r="K36">
        <v>25.18</v>
      </c>
      <c r="L36" t="s">
        <v>33</v>
      </c>
      <c r="M36" t="s">
        <v>34</v>
      </c>
      <c r="N36" t="s">
        <v>35</v>
      </c>
      <c r="O36">
        <v>83.999999999999986</v>
      </c>
      <c r="P36" s="5">
        <f t="shared" si="0"/>
        <v>0.22239886945769299</v>
      </c>
    </row>
    <row r="37" spans="1:16" x14ac:dyDescent="0.3">
      <c r="A37" t="s">
        <v>172</v>
      </c>
      <c r="B37" t="s">
        <v>173</v>
      </c>
      <c r="C37" t="s">
        <v>174</v>
      </c>
      <c r="D37" t="s">
        <v>171</v>
      </c>
      <c r="E37" t="s">
        <v>74</v>
      </c>
      <c r="F37" t="s">
        <v>75</v>
      </c>
      <c r="G37">
        <v>12</v>
      </c>
      <c r="H37">
        <v>39.799999999999997</v>
      </c>
      <c r="I37">
        <v>477.6</v>
      </c>
      <c r="J37">
        <v>20.54</v>
      </c>
      <c r="K37">
        <v>157.06</v>
      </c>
      <c r="L37" t="s">
        <v>48</v>
      </c>
      <c r="M37" t="s">
        <v>34</v>
      </c>
      <c r="N37" t="s">
        <v>35</v>
      </c>
      <c r="O37">
        <v>300</v>
      </c>
      <c r="P37" s="5">
        <f t="shared" si="0"/>
        <v>0.32885259631490787</v>
      </c>
    </row>
    <row r="38" spans="1:16" x14ac:dyDescent="0.3">
      <c r="A38" t="s">
        <v>175</v>
      </c>
      <c r="B38" t="s">
        <v>176</v>
      </c>
      <c r="C38" t="s">
        <v>177</v>
      </c>
      <c r="D38" t="s">
        <v>51</v>
      </c>
      <c r="E38" t="s">
        <v>46</v>
      </c>
      <c r="F38" t="s">
        <v>47</v>
      </c>
      <c r="G38">
        <v>26</v>
      </c>
      <c r="H38">
        <v>43.23</v>
      </c>
      <c r="I38">
        <v>1123.98</v>
      </c>
      <c r="J38">
        <v>57.2</v>
      </c>
      <c r="K38">
        <v>234.78</v>
      </c>
      <c r="L38" t="s">
        <v>33</v>
      </c>
      <c r="M38" t="s">
        <v>41</v>
      </c>
      <c r="N38" t="s">
        <v>76</v>
      </c>
      <c r="O38">
        <v>832</v>
      </c>
      <c r="P38" s="5">
        <f t="shared" si="0"/>
        <v>0.20888272033310201</v>
      </c>
    </row>
    <row r="39" spans="1:16" x14ac:dyDescent="0.3">
      <c r="A39" t="s">
        <v>178</v>
      </c>
      <c r="B39" t="s">
        <v>179</v>
      </c>
      <c r="C39" t="s">
        <v>44</v>
      </c>
      <c r="D39" t="s">
        <v>37</v>
      </c>
      <c r="E39" t="s">
        <v>56</v>
      </c>
      <c r="F39" t="s">
        <v>57</v>
      </c>
      <c r="G39">
        <v>17</v>
      </c>
      <c r="H39">
        <v>66.34</v>
      </c>
      <c r="I39">
        <v>1127.78</v>
      </c>
      <c r="J39">
        <v>81.150000000000006</v>
      </c>
      <c r="K39">
        <v>366.63</v>
      </c>
      <c r="L39" t="s">
        <v>33</v>
      </c>
      <c r="M39" t="s">
        <v>41</v>
      </c>
      <c r="N39" t="s">
        <v>35</v>
      </c>
      <c r="O39">
        <v>680</v>
      </c>
      <c r="P39" s="5">
        <f t="shared" si="0"/>
        <v>0.32508999982266046</v>
      </c>
    </row>
    <row r="40" spans="1:16" x14ac:dyDescent="0.3">
      <c r="A40" t="s">
        <v>180</v>
      </c>
      <c r="B40" t="s">
        <v>181</v>
      </c>
      <c r="C40" t="s">
        <v>182</v>
      </c>
      <c r="D40" t="s">
        <v>116</v>
      </c>
      <c r="E40" t="s">
        <v>74</v>
      </c>
      <c r="F40" t="s">
        <v>75</v>
      </c>
      <c r="G40">
        <v>4</v>
      </c>
      <c r="H40">
        <v>33.869999999999997</v>
      </c>
      <c r="I40">
        <v>135.47999999999999</v>
      </c>
      <c r="J40">
        <v>6.59</v>
      </c>
      <c r="K40">
        <v>28.89</v>
      </c>
      <c r="L40" t="s">
        <v>24</v>
      </c>
      <c r="M40" t="s">
        <v>41</v>
      </c>
      <c r="N40" t="s">
        <v>76</v>
      </c>
      <c r="O40">
        <v>99.999999999999986</v>
      </c>
      <c r="P40" s="5">
        <f t="shared" si="0"/>
        <v>0.21324180690876884</v>
      </c>
    </row>
    <row r="41" spans="1:16" x14ac:dyDescent="0.3">
      <c r="A41" t="s">
        <v>183</v>
      </c>
      <c r="B41" t="s">
        <v>184</v>
      </c>
      <c r="C41" t="s">
        <v>185</v>
      </c>
      <c r="D41" t="s">
        <v>37</v>
      </c>
      <c r="E41" t="s">
        <v>56</v>
      </c>
      <c r="F41" t="s">
        <v>57</v>
      </c>
      <c r="G41">
        <v>10</v>
      </c>
      <c r="H41">
        <v>64.650000000000006</v>
      </c>
      <c r="I41">
        <v>646.5</v>
      </c>
      <c r="J41">
        <v>17.89</v>
      </c>
      <c r="K41">
        <v>228.61</v>
      </c>
      <c r="L41" t="s">
        <v>48</v>
      </c>
      <c r="M41" t="s">
        <v>25</v>
      </c>
      <c r="N41" t="s">
        <v>35</v>
      </c>
      <c r="O41">
        <v>400</v>
      </c>
      <c r="P41" s="5">
        <f t="shared" si="0"/>
        <v>0.35361175560711527</v>
      </c>
    </row>
    <row r="42" spans="1:16" x14ac:dyDescent="0.3">
      <c r="A42" t="s">
        <v>186</v>
      </c>
      <c r="B42" t="s">
        <v>187</v>
      </c>
      <c r="C42" t="s">
        <v>188</v>
      </c>
      <c r="D42" t="s">
        <v>141</v>
      </c>
      <c r="E42" t="s">
        <v>67</v>
      </c>
      <c r="F42" t="s">
        <v>68</v>
      </c>
      <c r="G42">
        <v>12</v>
      </c>
      <c r="H42">
        <v>29.56</v>
      </c>
      <c r="I42">
        <v>354.72</v>
      </c>
      <c r="J42">
        <v>21.4</v>
      </c>
      <c r="K42">
        <v>63.32</v>
      </c>
      <c r="L42" t="s">
        <v>33</v>
      </c>
      <c r="M42" t="s">
        <v>25</v>
      </c>
      <c r="N42" t="s">
        <v>142</v>
      </c>
      <c r="O42">
        <v>270.00000000000006</v>
      </c>
      <c r="P42" s="5">
        <f t="shared" si="0"/>
        <v>0.17850699142986015</v>
      </c>
    </row>
    <row r="43" spans="1:16" x14ac:dyDescent="0.3">
      <c r="A43" t="s">
        <v>189</v>
      </c>
      <c r="B43" t="s">
        <v>190</v>
      </c>
      <c r="C43" t="s">
        <v>191</v>
      </c>
      <c r="D43" t="s">
        <v>21</v>
      </c>
      <c r="E43" t="s">
        <v>74</v>
      </c>
      <c r="F43" t="s">
        <v>75</v>
      </c>
      <c r="G43">
        <v>4</v>
      </c>
      <c r="H43">
        <v>35.36</v>
      </c>
      <c r="I43">
        <v>141.44</v>
      </c>
      <c r="J43">
        <v>8.66</v>
      </c>
      <c r="K43">
        <v>32.78</v>
      </c>
      <c r="L43" t="s">
        <v>48</v>
      </c>
      <c r="M43" t="s">
        <v>34</v>
      </c>
      <c r="N43" t="s">
        <v>98</v>
      </c>
      <c r="O43">
        <v>100</v>
      </c>
      <c r="P43" s="5">
        <f t="shared" si="0"/>
        <v>0.23175904977375567</v>
      </c>
    </row>
    <row r="44" spans="1:16" x14ac:dyDescent="0.3">
      <c r="A44" t="s">
        <v>192</v>
      </c>
      <c r="B44" t="s">
        <v>193</v>
      </c>
      <c r="C44" t="s">
        <v>194</v>
      </c>
      <c r="D44" t="s">
        <v>37</v>
      </c>
      <c r="E44" t="s">
        <v>63</v>
      </c>
      <c r="F44" t="s">
        <v>47</v>
      </c>
      <c r="G44">
        <v>28</v>
      </c>
      <c r="H44">
        <v>31.42</v>
      </c>
      <c r="I44">
        <v>879.76</v>
      </c>
      <c r="J44">
        <v>69.319999999999993</v>
      </c>
      <c r="K44">
        <v>250.44</v>
      </c>
      <c r="L44" t="s">
        <v>24</v>
      </c>
      <c r="M44" t="s">
        <v>41</v>
      </c>
      <c r="N44" t="s">
        <v>35</v>
      </c>
      <c r="O44">
        <v>560</v>
      </c>
      <c r="P44" s="5">
        <f t="shared" si="0"/>
        <v>0.28466854596708191</v>
      </c>
    </row>
    <row r="45" spans="1:16" x14ac:dyDescent="0.3">
      <c r="A45" t="s">
        <v>195</v>
      </c>
      <c r="B45" t="s">
        <v>196</v>
      </c>
      <c r="C45" t="s">
        <v>197</v>
      </c>
      <c r="D45" t="s">
        <v>21</v>
      </c>
      <c r="E45" t="s">
        <v>22</v>
      </c>
      <c r="F45" t="s">
        <v>23</v>
      </c>
      <c r="G45">
        <v>35</v>
      </c>
      <c r="H45">
        <v>55.12</v>
      </c>
      <c r="I45">
        <v>1929.2</v>
      </c>
      <c r="J45">
        <v>58.22</v>
      </c>
      <c r="K45">
        <v>645.98</v>
      </c>
      <c r="L45" t="s">
        <v>24</v>
      </c>
      <c r="M45" t="s">
        <v>25</v>
      </c>
      <c r="N45" t="s">
        <v>98</v>
      </c>
      <c r="O45">
        <v>1225</v>
      </c>
      <c r="P45" s="5">
        <f t="shared" si="0"/>
        <v>0.3348434584283641</v>
      </c>
    </row>
    <row r="46" spans="1:16" x14ac:dyDescent="0.3">
      <c r="A46" t="s">
        <v>198</v>
      </c>
      <c r="B46" t="s">
        <v>199</v>
      </c>
      <c r="C46" t="s">
        <v>200</v>
      </c>
      <c r="D46" t="s">
        <v>123</v>
      </c>
      <c r="E46" t="s">
        <v>67</v>
      </c>
      <c r="F46" t="s">
        <v>68</v>
      </c>
      <c r="G46">
        <v>41</v>
      </c>
      <c r="H46">
        <v>33.94</v>
      </c>
      <c r="I46">
        <v>1391.54</v>
      </c>
      <c r="J46">
        <v>33.26</v>
      </c>
      <c r="K46">
        <v>435.78</v>
      </c>
      <c r="L46" t="s">
        <v>24</v>
      </c>
      <c r="M46" t="s">
        <v>41</v>
      </c>
      <c r="N46" t="s">
        <v>76</v>
      </c>
      <c r="O46">
        <v>922.5</v>
      </c>
      <c r="P46" s="5">
        <f t="shared" si="0"/>
        <v>0.31316383287580662</v>
      </c>
    </row>
    <row r="47" spans="1:16" x14ac:dyDescent="0.3">
      <c r="A47" t="s">
        <v>201</v>
      </c>
      <c r="B47" t="s">
        <v>107</v>
      </c>
      <c r="C47" t="s">
        <v>119</v>
      </c>
      <c r="D47" t="s">
        <v>116</v>
      </c>
      <c r="E47" t="s">
        <v>67</v>
      </c>
      <c r="F47" t="s">
        <v>68</v>
      </c>
      <c r="G47">
        <v>20</v>
      </c>
      <c r="H47">
        <v>38.43</v>
      </c>
      <c r="I47">
        <v>768.6</v>
      </c>
      <c r="J47">
        <v>60.07</v>
      </c>
      <c r="K47">
        <v>258.52999999999997</v>
      </c>
      <c r="L47" t="s">
        <v>48</v>
      </c>
      <c r="M47" t="s">
        <v>41</v>
      </c>
      <c r="N47" t="s">
        <v>76</v>
      </c>
      <c r="O47">
        <v>450.00000000000006</v>
      </c>
      <c r="P47" s="5">
        <f t="shared" si="0"/>
        <v>0.33636481915170435</v>
      </c>
    </row>
    <row r="48" spans="1:16" x14ac:dyDescent="0.3">
      <c r="A48" t="s">
        <v>202</v>
      </c>
      <c r="B48" t="s">
        <v>203</v>
      </c>
      <c r="C48" t="s">
        <v>122</v>
      </c>
      <c r="D48" t="s">
        <v>45</v>
      </c>
      <c r="E48" t="s">
        <v>74</v>
      </c>
      <c r="F48" t="s">
        <v>75</v>
      </c>
      <c r="G48">
        <v>23</v>
      </c>
      <c r="H48">
        <v>35.07</v>
      </c>
      <c r="I48">
        <v>806.61</v>
      </c>
      <c r="J48">
        <v>21.23</v>
      </c>
      <c r="K48">
        <v>210.38</v>
      </c>
      <c r="L48" t="s">
        <v>24</v>
      </c>
      <c r="M48" t="s">
        <v>41</v>
      </c>
      <c r="N48" t="s">
        <v>49</v>
      </c>
      <c r="O48">
        <v>575</v>
      </c>
      <c r="P48" s="5">
        <f t="shared" si="0"/>
        <v>0.26081997495691844</v>
      </c>
    </row>
    <row r="49" spans="1:16" x14ac:dyDescent="0.3">
      <c r="A49" t="s">
        <v>204</v>
      </c>
      <c r="B49" t="s">
        <v>205</v>
      </c>
      <c r="C49" t="s">
        <v>113</v>
      </c>
      <c r="D49" t="s">
        <v>206</v>
      </c>
      <c r="E49" t="s">
        <v>56</v>
      </c>
      <c r="F49" t="s">
        <v>57</v>
      </c>
      <c r="G49">
        <v>35</v>
      </c>
      <c r="H49">
        <v>71.44</v>
      </c>
      <c r="I49">
        <v>2500.4</v>
      </c>
      <c r="J49">
        <v>166.81</v>
      </c>
      <c r="K49">
        <v>933.59</v>
      </c>
      <c r="L49" t="s">
        <v>33</v>
      </c>
      <c r="M49" t="s">
        <v>34</v>
      </c>
      <c r="N49" t="s">
        <v>207</v>
      </c>
      <c r="O49">
        <v>1400</v>
      </c>
      <c r="P49" s="5">
        <f t="shared" si="0"/>
        <v>0.37337625979843225</v>
      </c>
    </row>
    <row r="50" spans="1:16" x14ac:dyDescent="0.3">
      <c r="A50" t="s">
        <v>208</v>
      </c>
      <c r="B50" t="s">
        <v>209</v>
      </c>
      <c r="C50" t="s">
        <v>185</v>
      </c>
      <c r="D50" t="s">
        <v>55</v>
      </c>
      <c r="E50" t="s">
        <v>32</v>
      </c>
      <c r="F50" t="s">
        <v>23</v>
      </c>
      <c r="G50">
        <v>11</v>
      </c>
      <c r="H50">
        <v>26.05</v>
      </c>
      <c r="I50">
        <v>286.55</v>
      </c>
      <c r="J50">
        <v>13.39</v>
      </c>
      <c r="K50">
        <v>75.16</v>
      </c>
      <c r="L50" t="s">
        <v>33</v>
      </c>
      <c r="M50" t="s">
        <v>25</v>
      </c>
      <c r="N50" t="s">
        <v>98</v>
      </c>
      <c r="O50">
        <v>198</v>
      </c>
      <c r="P50" s="5">
        <f t="shared" si="0"/>
        <v>0.26229279357878205</v>
      </c>
    </row>
    <row r="51" spans="1:16" x14ac:dyDescent="0.3">
      <c r="A51" t="s">
        <v>210</v>
      </c>
      <c r="B51" t="s">
        <v>211</v>
      </c>
      <c r="C51" t="s">
        <v>54</v>
      </c>
      <c r="D51" t="s">
        <v>31</v>
      </c>
      <c r="E51" t="s">
        <v>81</v>
      </c>
      <c r="F51" t="s">
        <v>68</v>
      </c>
      <c r="G51">
        <v>46</v>
      </c>
      <c r="H51">
        <v>26.67</v>
      </c>
      <c r="I51">
        <v>1226.82</v>
      </c>
      <c r="J51">
        <v>83.55</v>
      </c>
      <c r="K51">
        <v>430.27</v>
      </c>
      <c r="L51" t="s">
        <v>24</v>
      </c>
      <c r="M51" t="s">
        <v>41</v>
      </c>
      <c r="N51" t="s">
        <v>35</v>
      </c>
      <c r="O51">
        <v>713</v>
      </c>
      <c r="P51" s="5">
        <f t="shared" si="0"/>
        <v>0.35071974698814823</v>
      </c>
    </row>
    <row r="52" spans="1:16" x14ac:dyDescent="0.3">
      <c r="A52" t="s">
        <v>212</v>
      </c>
      <c r="B52" t="s">
        <v>213</v>
      </c>
      <c r="C52" t="s">
        <v>148</v>
      </c>
      <c r="D52" t="s">
        <v>31</v>
      </c>
      <c r="E52" t="s">
        <v>137</v>
      </c>
      <c r="F52" t="s">
        <v>68</v>
      </c>
      <c r="G52">
        <v>12</v>
      </c>
      <c r="H52">
        <v>42.84</v>
      </c>
      <c r="I52">
        <v>514.08000000000004</v>
      </c>
      <c r="J52">
        <v>22.74</v>
      </c>
      <c r="K52">
        <v>155.34</v>
      </c>
      <c r="L52" t="s">
        <v>48</v>
      </c>
      <c r="M52" t="s">
        <v>25</v>
      </c>
      <c r="N52" t="s">
        <v>35</v>
      </c>
      <c r="O52">
        <v>336</v>
      </c>
      <c r="P52" s="5">
        <f t="shared" si="0"/>
        <v>0.30217086834733892</v>
      </c>
    </row>
    <row r="53" spans="1:16" x14ac:dyDescent="0.3">
      <c r="A53" t="s">
        <v>214</v>
      </c>
      <c r="B53" t="s">
        <v>215</v>
      </c>
      <c r="C53" t="s">
        <v>216</v>
      </c>
      <c r="D53" t="s">
        <v>116</v>
      </c>
      <c r="E53" t="s">
        <v>32</v>
      </c>
      <c r="F53" t="s">
        <v>23</v>
      </c>
      <c r="G53">
        <v>18</v>
      </c>
      <c r="H53">
        <v>30.89</v>
      </c>
      <c r="I53">
        <v>556.02</v>
      </c>
      <c r="J53">
        <v>12</v>
      </c>
      <c r="K53">
        <v>220.02</v>
      </c>
      <c r="L53" t="s">
        <v>33</v>
      </c>
      <c r="M53" t="s">
        <v>25</v>
      </c>
      <c r="N53" t="s">
        <v>76</v>
      </c>
      <c r="O53">
        <v>324</v>
      </c>
      <c r="P53" s="5">
        <f t="shared" si="0"/>
        <v>0.39570519046077485</v>
      </c>
    </row>
    <row r="54" spans="1:16" x14ac:dyDescent="0.3">
      <c r="A54" t="s">
        <v>217</v>
      </c>
      <c r="B54" t="s">
        <v>218</v>
      </c>
      <c r="C54" t="s">
        <v>219</v>
      </c>
      <c r="D54" t="s">
        <v>55</v>
      </c>
      <c r="E54" t="s">
        <v>22</v>
      </c>
      <c r="F54" t="s">
        <v>23</v>
      </c>
      <c r="G54">
        <v>21</v>
      </c>
      <c r="H54">
        <v>52.41</v>
      </c>
      <c r="I54">
        <v>1100.6099999999999</v>
      </c>
      <c r="J54">
        <v>81.099999999999994</v>
      </c>
      <c r="K54">
        <v>284.51</v>
      </c>
      <c r="L54" t="s">
        <v>48</v>
      </c>
      <c r="M54" t="s">
        <v>34</v>
      </c>
      <c r="N54" t="s">
        <v>98</v>
      </c>
      <c r="O54">
        <v>734.99999999999989</v>
      </c>
      <c r="P54" s="5">
        <f t="shared" si="0"/>
        <v>0.25850210337903529</v>
      </c>
    </row>
    <row r="55" spans="1:16" x14ac:dyDescent="0.3">
      <c r="A55" t="s">
        <v>220</v>
      </c>
      <c r="B55" t="s">
        <v>221</v>
      </c>
      <c r="C55" t="s">
        <v>222</v>
      </c>
      <c r="D55" t="s">
        <v>206</v>
      </c>
      <c r="E55" t="s">
        <v>137</v>
      </c>
      <c r="F55" t="s">
        <v>68</v>
      </c>
      <c r="G55">
        <v>17</v>
      </c>
      <c r="H55">
        <v>38.64</v>
      </c>
      <c r="I55">
        <v>656.88</v>
      </c>
      <c r="J55">
        <v>13.86</v>
      </c>
      <c r="K55">
        <v>167.02</v>
      </c>
      <c r="L55" t="s">
        <v>33</v>
      </c>
      <c r="M55" t="s">
        <v>25</v>
      </c>
      <c r="N55" t="s">
        <v>207</v>
      </c>
      <c r="O55">
        <v>476</v>
      </c>
      <c r="P55" s="5">
        <f t="shared" si="0"/>
        <v>0.25426257459505541</v>
      </c>
    </row>
    <row r="56" spans="1:16" x14ac:dyDescent="0.3">
      <c r="A56" t="s">
        <v>223</v>
      </c>
      <c r="B56" t="s">
        <v>224</v>
      </c>
      <c r="C56" t="s">
        <v>191</v>
      </c>
      <c r="D56" t="s">
        <v>127</v>
      </c>
      <c r="E56" t="s">
        <v>32</v>
      </c>
      <c r="F56" t="s">
        <v>23</v>
      </c>
      <c r="G56">
        <v>41</v>
      </c>
      <c r="H56">
        <v>25.79</v>
      </c>
      <c r="I56">
        <v>1057.3900000000001</v>
      </c>
      <c r="J56">
        <v>71.22</v>
      </c>
      <c r="K56">
        <v>248.17</v>
      </c>
      <c r="L56" t="s">
        <v>33</v>
      </c>
      <c r="M56" t="s">
        <v>34</v>
      </c>
      <c r="N56" t="s">
        <v>76</v>
      </c>
      <c r="O56">
        <v>738.00000000000011</v>
      </c>
      <c r="P56" s="5">
        <f t="shared" si="0"/>
        <v>0.23470053622599038</v>
      </c>
    </row>
    <row r="57" spans="1:16" x14ac:dyDescent="0.3">
      <c r="A57" t="s">
        <v>225</v>
      </c>
      <c r="B57" t="s">
        <v>226</v>
      </c>
      <c r="C57" t="s">
        <v>227</v>
      </c>
      <c r="D57" t="s">
        <v>127</v>
      </c>
      <c r="E57" t="s">
        <v>137</v>
      </c>
      <c r="F57" t="s">
        <v>68</v>
      </c>
      <c r="G57">
        <v>41</v>
      </c>
      <c r="H57">
        <v>41.13</v>
      </c>
      <c r="I57">
        <v>1686.33</v>
      </c>
      <c r="J57">
        <v>80.12</v>
      </c>
      <c r="K57">
        <v>458.21</v>
      </c>
      <c r="L57" t="s">
        <v>33</v>
      </c>
      <c r="M57" t="s">
        <v>41</v>
      </c>
      <c r="N57" t="s">
        <v>76</v>
      </c>
      <c r="O57">
        <v>1148</v>
      </c>
      <c r="P57" s="5">
        <f t="shared" si="0"/>
        <v>0.27172024455474314</v>
      </c>
    </row>
    <row r="58" spans="1:16" x14ac:dyDescent="0.3">
      <c r="A58" t="s">
        <v>228</v>
      </c>
      <c r="B58" t="s">
        <v>229</v>
      </c>
      <c r="C58" t="s">
        <v>113</v>
      </c>
      <c r="D58" t="s">
        <v>51</v>
      </c>
      <c r="E58" t="s">
        <v>56</v>
      </c>
      <c r="F58" t="s">
        <v>57</v>
      </c>
      <c r="G58">
        <v>33</v>
      </c>
      <c r="H58">
        <v>55.67</v>
      </c>
      <c r="I58">
        <v>1837.11</v>
      </c>
      <c r="J58">
        <v>144.32</v>
      </c>
      <c r="K58">
        <v>372.79</v>
      </c>
      <c r="L58" t="s">
        <v>24</v>
      </c>
      <c r="M58" t="s">
        <v>25</v>
      </c>
      <c r="N58" t="s">
        <v>76</v>
      </c>
      <c r="O58">
        <v>1320</v>
      </c>
      <c r="P58" s="5">
        <f t="shared" si="0"/>
        <v>0.2029219807197174</v>
      </c>
    </row>
    <row r="59" spans="1:16" x14ac:dyDescent="0.3">
      <c r="A59" t="s">
        <v>230</v>
      </c>
      <c r="B59" t="s">
        <v>231</v>
      </c>
      <c r="C59" t="s">
        <v>232</v>
      </c>
      <c r="D59" t="s">
        <v>127</v>
      </c>
      <c r="E59" t="s">
        <v>56</v>
      </c>
      <c r="F59" t="s">
        <v>57</v>
      </c>
      <c r="G59">
        <v>18</v>
      </c>
      <c r="H59">
        <v>50.87</v>
      </c>
      <c r="I59">
        <v>915.66</v>
      </c>
      <c r="J59">
        <v>49.93</v>
      </c>
      <c r="K59">
        <v>145.72999999999999</v>
      </c>
      <c r="L59" t="s">
        <v>24</v>
      </c>
      <c r="M59" t="s">
        <v>34</v>
      </c>
      <c r="N59" t="s">
        <v>76</v>
      </c>
      <c r="O59">
        <v>720</v>
      </c>
      <c r="P59" s="5">
        <f t="shared" si="0"/>
        <v>0.15915296070593887</v>
      </c>
    </row>
    <row r="60" spans="1:16" x14ac:dyDescent="0.3">
      <c r="A60" t="s">
        <v>233</v>
      </c>
      <c r="B60" t="s">
        <v>234</v>
      </c>
      <c r="C60" t="s">
        <v>235</v>
      </c>
      <c r="D60" t="s">
        <v>141</v>
      </c>
      <c r="E60" t="s">
        <v>81</v>
      </c>
      <c r="F60" t="s">
        <v>68</v>
      </c>
      <c r="G60">
        <v>14</v>
      </c>
      <c r="H60">
        <v>26.7</v>
      </c>
      <c r="I60">
        <v>373.8</v>
      </c>
      <c r="J60">
        <v>11.84</v>
      </c>
      <c r="K60">
        <v>144.96</v>
      </c>
      <c r="L60" t="s">
        <v>48</v>
      </c>
      <c r="M60" t="s">
        <v>25</v>
      </c>
      <c r="N60" t="s">
        <v>142</v>
      </c>
      <c r="O60">
        <v>217</v>
      </c>
      <c r="P60" s="5">
        <f t="shared" si="0"/>
        <v>0.38780096308186196</v>
      </c>
    </row>
    <row r="61" spans="1:16" x14ac:dyDescent="0.3">
      <c r="A61" t="s">
        <v>236</v>
      </c>
      <c r="B61" t="s">
        <v>237</v>
      </c>
      <c r="C61" t="s">
        <v>238</v>
      </c>
      <c r="D61" t="s">
        <v>21</v>
      </c>
      <c r="E61" t="s">
        <v>32</v>
      </c>
      <c r="F61" t="s">
        <v>23</v>
      </c>
      <c r="G61">
        <v>16</v>
      </c>
      <c r="H61">
        <v>28.96</v>
      </c>
      <c r="I61">
        <v>463.36</v>
      </c>
      <c r="J61">
        <v>35.65</v>
      </c>
      <c r="K61">
        <v>139.71</v>
      </c>
      <c r="L61" t="s">
        <v>24</v>
      </c>
      <c r="M61" t="s">
        <v>41</v>
      </c>
      <c r="N61" t="s">
        <v>98</v>
      </c>
      <c r="O61">
        <v>288</v>
      </c>
      <c r="P61" s="5">
        <f t="shared" si="0"/>
        <v>0.30151502071823205</v>
      </c>
    </row>
    <row r="62" spans="1:16" x14ac:dyDescent="0.3">
      <c r="A62" t="s">
        <v>239</v>
      </c>
      <c r="B62" t="s">
        <v>240</v>
      </c>
      <c r="C62" t="s">
        <v>113</v>
      </c>
      <c r="D62" t="s">
        <v>241</v>
      </c>
      <c r="E62" t="s">
        <v>32</v>
      </c>
      <c r="F62" t="s">
        <v>23</v>
      </c>
      <c r="G62">
        <v>47</v>
      </c>
      <c r="H62">
        <v>23.03</v>
      </c>
      <c r="I62">
        <v>1082.4100000000001</v>
      </c>
      <c r="J62">
        <v>50.12</v>
      </c>
      <c r="K62">
        <v>186.29</v>
      </c>
      <c r="L62" t="s">
        <v>48</v>
      </c>
      <c r="M62" t="s">
        <v>25</v>
      </c>
      <c r="N62" t="s">
        <v>35</v>
      </c>
      <c r="O62">
        <v>846.00000000000011</v>
      </c>
      <c r="P62" s="5">
        <f t="shared" si="0"/>
        <v>0.1721066878539555</v>
      </c>
    </row>
    <row r="63" spans="1:16" x14ac:dyDescent="0.3">
      <c r="A63" t="s">
        <v>242</v>
      </c>
      <c r="B63" t="s">
        <v>243</v>
      </c>
      <c r="C63" t="s">
        <v>238</v>
      </c>
      <c r="D63" t="s">
        <v>206</v>
      </c>
      <c r="E63" t="s">
        <v>22</v>
      </c>
      <c r="F63" t="s">
        <v>23</v>
      </c>
      <c r="G63">
        <v>18</v>
      </c>
      <c r="H63">
        <v>50.03</v>
      </c>
      <c r="I63">
        <v>900.54</v>
      </c>
      <c r="J63">
        <v>68.44</v>
      </c>
      <c r="K63">
        <v>202.1</v>
      </c>
      <c r="L63" t="s">
        <v>48</v>
      </c>
      <c r="M63" t="s">
        <v>25</v>
      </c>
      <c r="N63" t="s">
        <v>207</v>
      </c>
      <c r="O63">
        <v>630</v>
      </c>
      <c r="P63" s="5">
        <f t="shared" si="0"/>
        <v>0.22442090301374731</v>
      </c>
    </row>
    <row r="64" spans="1:16" x14ac:dyDescent="0.3">
      <c r="A64" t="s">
        <v>244</v>
      </c>
      <c r="B64" t="s">
        <v>245</v>
      </c>
      <c r="C64" t="s">
        <v>246</v>
      </c>
      <c r="D64" t="s">
        <v>31</v>
      </c>
      <c r="E64" t="s">
        <v>74</v>
      </c>
      <c r="F64" t="s">
        <v>75</v>
      </c>
      <c r="G64">
        <v>38</v>
      </c>
      <c r="H64">
        <v>32.07</v>
      </c>
      <c r="I64">
        <v>1218.6600000000001</v>
      </c>
      <c r="J64">
        <v>54.49</v>
      </c>
      <c r="K64">
        <v>214.17</v>
      </c>
      <c r="L64" t="s">
        <v>48</v>
      </c>
      <c r="M64" t="s">
        <v>41</v>
      </c>
      <c r="N64" t="s">
        <v>35</v>
      </c>
      <c r="O64">
        <v>950.00000000000011</v>
      </c>
      <c r="P64" s="5">
        <f t="shared" si="0"/>
        <v>0.17574220865540838</v>
      </c>
    </row>
    <row r="65" spans="1:16" x14ac:dyDescent="0.3">
      <c r="A65" t="s">
        <v>247</v>
      </c>
      <c r="B65" t="s">
        <v>248</v>
      </c>
      <c r="C65" t="s">
        <v>249</v>
      </c>
      <c r="D65" t="s">
        <v>45</v>
      </c>
      <c r="E65" t="s">
        <v>46</v>
      </c>
      <c r="F65" t="s">
        <v>47</v>
      </c>
      <c r="G65">
        <v>23</v>
      </c>
      <c r="H65">
        <v>50.96</v>
      </c>
      <c r="I65">
        <v>1172.08</v>
      </c>
      <c r="J65">
        <v>61</v>
      </c>
      <c r="K65">
        <v>375.08</v>
      </c>
      <c r="L65" t="s">
        <v>48</v>
      </c>
      <c r="M65" t="s">
        <v>34</v>
      </c>
      <c r="N65" t="s">
        <v>49</v>
      </c>
      <c r="O65">
        <v>736</v>
      </c>
      <c r="P65" s="5">
        <f t="shared" si="0"/>
        <v>0.32001228585079516</v>
      </c>
    </row>
    <row r="66" spans="1:16" x14ac:dyDescent="0.3">
      <c r="A66" t="s">
        <v>250</v>
      </c>
      <c r="B66" t="s">
        <v>251</v>
      </c>
      <c r="C66" t="s">
        <v>252</v>
      </c>
      <c r="D66" t="s">
        <v>127</v>
      </c>
      <c r="E66" t="s">
        <v>56</v>
      </c>
      <c r="F66" t="s">
        <v>57</v>
      </c>
      <c r="G66">
        <v>46</v>
      </c>
      <c r="H66">
        <v>70.599999999999994</v>
      </c>
      <c r="I66">
        <v>3247.6</v>
      </c>
      <c r="J66">
        <v>166.91</v>
      </c>
      <c r="K66">
        <v>1240.69</v>
      </c>
      <c r="L66" t="s">
        <v>48</v>
      </c>
      <c r="M66" t="s">
        <v>34</v>
      </c>
      <c r="N66" t="s">
        <v>76</v>
      </c>
      <c r="O66">
        <v>1839.9999999999998</v>
      </c>
      <c r="P66" s="5">
        <f t="shared" si="0"/>
        <v>0.3820328858233773</v>
      </c>
    </row>
    <row r="67" spans="1:16" x14ac:dyDescent="0.3">
      <c r="A67" t="s">
        <v>253</v>
      </c>
      <c r="B67" t="s">
        <v>254</v>
      </c>
      <c r="C67" t="s">
        <v>148</v>
      </c>
      <c r="D67" t="s">
        <v>127</v>
      </c>
      <c r="E67" t="s">
        <v>56</v>
      </c>
      <c r="F67" t="s">
        <v>57</v>
      </c>
      <c r="G67">
        <v>15</v>
      </c>
      <c r="H67">
        <v>53.36</v>
      </c>
      <c r="I67">
        <v>800.4</v>
      </c>
      <c r="J67">
        <v>56.29</v>
      </c>
      <c r="K67">
        <v>144.11000000000001</v>
      </c>
      <c r="L67" t="s">
        <v>24</v>
      </c>
      <c r="M67" t="s">
        <v>25</v>
      </c>
      <c r="N67" t="s">
        <v>76</v>
      </c>
      <c r="O67">
        <v>600</v>
      </c>
      <c r="P67" s="5">
        <f t="shared" si="0"/>
        <v>0.18004747626186909</v>
      </c>
    </row>
    <row r="68" spans="1:16" x14ac:dyDescent="0.3">
      <c r="A68" t="s">
        <v>255</v>
      </c>
      <c r="B68" t="s">
        <v>256</v>
      </c>
      <c r="C68" t="s">
        <v>257</v>
      </c>
      <c r="D68" t="s">
        <v>206</v>
      </c>
      <c r="E68" t="s">
        <v>46</v>
      </c>
      <c r="F68" t="s">
        <v>47</v>
      </c>
      <c r="G68">
        <v>42</v>
      </c>
      <c r="H68">
        <v>39.840000000000003</v>
      </c>
      <c r="I68">
        <v>1673.28</v>
      </c>
      <c r="J68">
        <v>132.74</v>
      </c>
      <c r="K68">
        <v>196.54</v>
      </c>
      <c r="L68" t="s">
        <v>24</v>
      </c>
      <c r="M68" t="s">
        <v>41</v>
      </c>
      <c r="N68" t="s">
        <v>207</v>
      </c>
      <c r="O68">
        <v>1344</v>
      </c>
      <c r="P68" s="5">
        <f t="shared" si="0"/>
        <v>0.11745792694587875</v>
      </c>
    </row>
    <row r="69" spans="1:16" x14ac:dyDescent="0.3">
      <c r="A69" t="s">
        <v>258</v>
      </c>
      <c r="B69" t="s">
        <v>259</v>
      </c>
      <c r="C69" t="s">
        <v>232</v>
      </c>
      <c r="D69" t="s">
        <v>127</v>
      </c>
      <c r="E69" t="s">
        <v>74</v>
      </c>
      <c r="F69" t="s">
        <v>75</v>
      </c>
      <c r="G69">
        <v>31</v>
      </c>
      <c r="H69">
        <v>38.26</v>
      </c>
      <c r="I69">
        <v>1186.06</v>
      </c>
      <c r="J69">
        <v>69.33</v>
      </c>
      <c r="K69">
        <v>341.73</v>
      </c>
      <c r="L69" t="s">
        <v>33</v>
      </c>
      <c r="M69" t="s">
        <v>25</v>
      </c>
      <c r="N69" t="s">
        <v>76</v>
      </c>
      <c r="O69">
        <v>774.99999999999989</v>
      </c>
      <c r="P69" s="5">
        <f t="shared" si="0"/>
        <v>0.28812201743588017</v>
      </c>
    </row>
    <row r="70" spans="1:16" x14ac:dyDescent="0.3">
      <c r="A70" t="s">
        <v>260</v>
      </c>
      <c r="B70" t="s">
        <v>261</v>
      </c>
      <c r="C70" t="s">
        <v>235</v>
      </c>
      <c r="D70" t="s">
        <v>171</v>
      </c>
      <c r="E70" t="s">
        <v>81</v>
      </c>
      <c r="F70" t="s">
        <v>68</v>
      </c>
      <c r="G70">
        <v>2</v>
      </c>
      <c r="H70">
        <v>23.09</v>
      </c>
      <c r="I70">
        <v>46.18</v>
      </c>
      <c r="J70">
        <v>2.52</v>
      </c>
      <c r="K70">
        <v>12.66</v>
      </c>
      <c r="L70" t="s">
        <v>33</v>
      </c>
      <c r="M70" t="s">
        <v>34</v>
      </c>
      <c r="N70" t="s">
        <v>35</v>
      </c>
      <c r="O70">
        <v>30.999999999999996</v>
      </c>
      <c r="P70" s="5">
        <f t="shared" si="0"/>
        <v>0.27414465136422694</v>
      </c>
    </row>
    <row r="71" spans="1:16" x14ac:dyDescent="0.3">
      <c r="A71" t="s">
        <v>262</v>
      </c>
      <c r="B71" t="s">
        <v>263</v>
      </c>
      <c r="C71" t="s">
        <v>66</v>
      </c>
      <c r="D71" t="s">
        <v>123</v>
      </c>
      <c r="E71" t="s">
        <v>46</v>
      </c>
      <c r="F71" t="s">
        <v>47</v>
      </c>
      <c r="G71">
        <v>40</v>
      </c>
      <c r="H71">
        <v>46.81</v>
      </c>
      <c r="I71">
        <v>1872.4</v>
      </c>
      <c r="J71">
        <v>43.01</v>
      </c>
      <c r="K71">
        <v>549.39</v>
      </c>
      <c r="L71" t="s">
        <v>24</v>
      </c>
      <c r="M71" t="s">
        <v>41</v>
      </c>
      <c r="N71" t="s">
        <v>76</v>
      </c>
      <c r="O71">
        <v>1280.0000000000002</v>
      </c>
      <c r="P71" s="5">
        <f t="shared" ref="P71:P134" si="1">K71/I71</f>
        <v>0.29341486861781668</v>
      </c>
    </row>
    <row r="72" spans="1:16" x14ac:dyDescent="0.3">
      <c r="A72" t="s">
        <v>264</v>
      </c>
      <c r="B72" t="s">
        <v>265</v>
      </c>
      <c r="C72" t="s">
        <v>266</v>
      </c>
      <c r="D72" t="s">
        <v>51</v>
      </c>
      <c r="E72" t="s">
        <v>46</v>
      </c>
      <c r="F72" t="s">
        <v>47</v>
      </c>
      <c r="G72">
        <v>43</v>
      </c>
      <c r="H72">
        <v>57.01</v>
      </c>
      <c r="I72">
        <v>2451.4299999999998</v>
      </c>
      <c r="J72">
        <v>115.04</v>
      </c>
      <c r="K72">
        <v>960.39</v>
      </c>
      <c r="L72" t="s">
        <v>33</v>
      </c>
      <c r="M72" t="s">
        <v>25</v>
      </c>
      <c r="N72" t="s">
        <v>76</v>
      </c>
      <c r="O72">
        <v>1376</v>
      </c>
      <c r="P72" s="5">
        <f t="shared" si="1"/>
        <v>0.39176725421488684</v>
      </c>
    </row>
    <row r="73" spans="1:16" x14ac:dyDescent="0.3">
      <c r="A73" t="s">
        <v>267</v>
      </c>
      <c r="B73" t="s">
        <v>268</v>
      </c>
      <c r="C73" t="s">
        <v>269</v>
      </c>
      <c r="D73" t="s">
        <v>62</v>
      </c>
      <c r="E73" t="s">
        <v>86</v>
      </c>
      <c r="F73" t="s">
        <v>47</v>
      </c>
      <c r="G73">
        <v>15</v>
      </c>
      <c r="H73">
        <v>22.23</v>
      </c>
      <c r="I73">
        <v>333.45</v>
      </c>
      <c r="J73">
        <v>16.89</v>
      </c>
      <c r="K73">
        <v>125.31</v>
      </c>
      <c r="L73" t="s">
        <v>48</v>
      </c>
      <c r="M73" t="s">
        <v>34</v>
      </c>
      <c r="N73" t="s">
        <v>98</v>
      </c>
      <c r="O73">
        <v>191.25</v>
      </c>
      <c r="P73" s="5">
        <f t="shared" si="1"/>
        <v>0.37579847053531268</v>
      </c>
    </row>
    <row r="74" spans="1:16" x14ac:dyDescent="0.3">
      <c r="A74" t="s">
        <v>270</v>
      </c>
      <c r="B74" t="s">
        <v>271</v>
      </c>
      <c r="C74" t="s">
        <v>272</v>
      </c>
      <c r="D74" t="s">
        <v>171</v>
      </c>
      <c r="E74" t="s">
        <v>81</v>
      </c>
      <c r="F74" t="s">
        <v>68</v>
      </c>
      <c r="G74">
        <v>15</v>
      </c>
      <c r="H74">
        <v>19.23</v>
      </c>
      <c r="I74">
        <v>288.45</v>
      </c>
      <c r="J74">
        <v>20.22</v>
      </c>
      <c r="K74">
        <v>35.729999999999997</v>
      </c>
      <c r="L74" t="s">
        <v>24</v>
      </c>
      <c r="M74" t="s">
        <v>25</v>
      </c>
      <c r="N74" t="s">
        <v>35</v>
      </c>
      <c r="O74">
        <v>232.5</v>
      </c>
      <c r="P74" s="5">
        <f t="shared" si="1"/>
        <v>0.12386895475819032</v>
      </c>
    </row>
    <row r="75" spans="1:16" x14ac:dyDescent="0.3">
      <c r="A75" t="s">
        <v>273</v>
      </c>
      <c r="B75" t="s">
        <v>274</v>
      </c>
      <c r="C75" t="s">
        <v>151</v>
      </c>
      <c r="D75" t="s">
        <v>37</v>
      </c>
      <c r="E75" t="s">
        <v>137</v>
      </c>
      <c r="F75" t="s">
        <v>68</v>
      </c>
      <c r="G75">
        <v>34</v>
      </c>
      <c r="H75">
        <v>45.54</v>
      </c>
      <c r="I75">
        <v>1548.36</v>
      </c>
      <c r="J75">
        <v>36.76</v>
      </c>
      <c r="K75">
        <v>559.6</v>
      </c>
      <c r="L75" t="s">
        <v>24</v>
      </c>
      <c r="M75" t="s">
        <v>25</v>
      </c>
      <c r="N75" t="s">
        <v>35</v>
      </c>
      <c r="O75">
        <v>951.99999999999989</v>
      </c>
      <c r="P75" s="5">
        <f t="shared" si="1"/>
        <v>0.36141465808984996</v>
      </c>
    </row>
    <row r="76" spans="1:16" x14ac:dyDescent="0.3">
      <c r="A76" t="s">
        <v>275</v>
      </c>
      <c r="B76" t="s">
        <v>276</v>
      </c>
      <c r="C76" t="s">
        <v>277</v>
      </c>
      <c r="D76" t="s">
        <v>171</v>
      </c>
      <c r="E76" t="s">
        <v>56</v>
      </c>
      <c r="F76" t="s">
        <v>57</v>
      </c>
      <c r="G76">
        <v>33</v>
      </c>
      <c r="H76">
        <v>63.88</v>
      </c>
      <c r="I76">
        <v>2108.04</v>
      </c>
      <c r="J76">
        <v>111.7</v>
      </c>
      <c r="K76">
        <v>676.34</v>
      </c>
      <c r="L76" t="s">
        <v>24</v>
      </c>
      <c r="M76" t="s">
        <v>41</v>
      </c>
      <c r="N76" t="s">
        <v>35</v>
      </c>
      <c r="O76">
        <v>1319.9999999999998</v>
      </c>
      <c r="P76" s="5">
        <f t="shared" si="1"/>
        <v>0.32083831426348647</v>
      </c>
    </row>
    <row r="77" spans="1:16" x14ac:dyDescent="0.3">
      <c r="A77" t="s">
        <v>278</v>
      </c>
      <c r="B77" t="s">
        <v>279</v>
      </c>
      <c r="C77" t="s">
        <v>148</v>
      </c>
      <c r="D77" t="s">
        <v>241</v>
      </c>
      <c r="E77" t="s">
        <v>32</v>
      </c>
      <c r="F77" t="s">
        <v>23</v>
      </c>
      <c r="G77">
        <v>39</v>
      </c>
      <c r="H77">
        <v>25.38</v>
      </c>
      <c r="I77">
        <v>989.82</v>
      </c>
      <c r="J77">
        <v>50.82</v>
      </c>
      <c r="K77">
        <v>237</v>
      </c>
      <c r="L77" t="s">
        <v>33</v>
      </c>
      <c r="M77" t="s">
        <v>34</v>
      </c>
      <c r="N77" t="s">
        <v>35</v>
      </c>
      <c r="O77">
        <v>702</v>
      </c>
      <c r="P77" s="5">
        <f t="shared" si="1"/>
        <v>0.23943747348002667</v>
      </c>
    </row>
    <row r="78" spans="1:16" x14ac:dyDescent="0.3">
      <c r="A78" t="s">
        <v>280</v>
      </c>
      <c r="B78" t="s">
        <v>281</v>
      </c>
      <c r="C78" t="s">
        <v>282</v>
      </c>
      <c r="D78" t="s">
        <v>70</v>
      </c>
      <c r="E78" t="s">
        <v>74</v>
      </c>
      <c r="F78" t="s">
        <v>75</v>
      </c>
      <c r="G78">
        <v>9</v>
      </c>
      <c r="H78">
        <v>38.979999999999997</v>
      </c>
      <c r="I78">
        <v>350.82</v>
      </c>
      <c r="J78">
        <v>25.56</v>
      </c>
      <c r="K78">
        <v>100.26</v>
      </c>
      <c r="L78" t="s">
        <v>24</v>
      </c>
      <c r="M78" t="s">
        <v>25</v>
      </c>
      <c r="N78" t="s">
        <v>76</v>
      </c>
      <c r="O78">
        <v>225</v>
      </c>
      <c r="P78" s="5">
        <f t="shared" si="1"/>
        <v>0.28578758337609034</v>
      </c>
    </row>
    <row r="79" spans="1:16" x14ac:dyDescent="0.3">
      <c r="A79" t="s">
        <v>283</v>
      </c>
      <c r="B79" t="s">
        <v>284</v>
      </c>
      <c r="C79" t="s">
        <v>285</v>
      </c>
      <c r="D79" t="s">
        <v>141</v>
      </c>
      <c r="E79" t="s">
        <v>63</v>
      </c>
      <c r="F79" t="s">
        <v>47</v>
      </c>
      <c r="G79">
        <v>14</v>
      </c>
      <c r="H79">
        <v>35.86</v>
      </c>
      <c r="I79">
        <v>502.04</v>
      </c>
      <c r="J79">
        <v>40.130000000000003</v>
      </c>
      <c r="K79">
        <v>181.91</v>
      </c>
      <c r="L79" t="s">
        <v>48</v>
      </c>
      <c r="M79" t="s">
        <v>41</v>
      </c>
      <c r="N79" t="s">
        <v>142</v>
      </c>
      <c r="O79">
        <v>280</v>
      </c>
      <c r="P79" s="5">
        <f t="shared" si="1"/>
        <v>0.36234164608397734</v>
      </c>
    </row>
    <row r="80" spans="1:16" x14ac:dyDescent="0.3">
      <c r="A80" t="s">
        <v>286</v>
      </c>
      <c r="B80" t="s">
        <v>287</v>
      </c>
      <c r="C80" t="s">
        <v>288</v>
      </c>
      <c r="D80" t="s">
        <v>127</v>
      </c>
      <c r="E80" t="s">
        <v>81</v>
      </c>
      <c r="F80" t="s">
        <v>68</v>
      </c>
      <c r="G80">
        <v>49</v>
      </c>
      <c r="H80">
        <v>21.37</v>
      </c>
      <c r="I80">
        <v>1047.1300000000001</v>
      </c>
      <c r="J80">
        <v>65.98</v>
      </c>
      <c r="K80">
        <v>221.65</v>
      </c>
      <c r="L80" t="s">
        <v>48</v>
      </c>
      <c r="M80" t="s">
        <v>41</v>
      </c>
      <c r="N80" t="s">
        <v>76</v>
      </c>
      <c r="O80">
        <v>759.50000000000011</v>
      </c>
      <c r="P80" s="5">
        <f t="shared" si="1"/>
        <v>0.21167381318460934</v>
      </c>
    </row>
    <row r="81" spans="1:16" x14ac:dyDescent="0.3">
      <c r="A81" t="s">
        <v>289</v>
      </c>
      <c r="B81" t="s">
        <v>205</v>
      </c>
      <c r="C81" t="s">
        <v>290</v>
      </c>
      <c r="D81" t="s">
        <v>62</v>
      </c>
      <c r="E81" t="s">
        <v>32</v>
      </c>
      <c r="F81" t="s">
        <v>23</v>
      </c>
      <c r="G81">
        <v>42</v>
      </c>
      <c r="H81">
        <v>24.57</v>
      </c>
      <c r="I81">
        <v>1031.94</v>
      </c>
      <c r="J81">
        <v>56.45</v>
      </c>
      <c r="K81">
        <v>219.49</v>
      </c>
      <c r="L81" t="s">
        <v>33</v>
      </c>
      <c r="M81" t="s">
        <v>25</v>
      </c>
      <c r="N81" t="s">
        <v>98</v>
      </c>
      <c r="O81">
        <v>756</v>
      </c>
      <c r="P81" s="5">
        <f t="shared" si="1"/>
        <v>0.2126964746012365</v>
      </c>
    </row>
    <row r="82" spans="1:16" x14ac:dyDescent="0.3">
      <c r="A82" t="s">
        <v>291</v>
      </c>
      <c r="B82" t="s">
        <v>292</v>
      </c>
      <c r="C82" t="s">
        <v>290</v>
      </c>
      <c r="D82" t="s">
        <v>116</v>
      </c>
      <c r="E82" t="s">
        <v>32</v>
      </c>
      <c r="F82" t="s">
        <v>23</v>
      </c>
      <c r="G82">
        <v>42</v>
      </c>
      <c r="H82">
        <v>26.39</v>
      </c>
      <c r="I82">
        <v>1108.3800000000001</v>
      </c>
      <c r="J82">
        <v>44.56</v>
      </c>
      <c r="K82">
        <v>307.82</v>
      </c>
      <c r="L82" t="s">
        <v>33</v>
      </c>
      <c r="M82" t="s">
        <v>25</v>
      </c>
      <c r="N82" t="s">
        <v>76</v>
      </c>
      <c r="O82">
        <v>756.00000000000034</v>
      </c>
      <c r="P82" s="5">
        <f t="shared" si="1"/>
        <v>0.27772063732654861</v>
      </c>
    </row>
    <row r="83" spans="1:16" x14ac:dyDescent="0.3">
      <c r="A83" t="s">
        <v>293</v>
      </c>
      <c r="B83" t="s">
        <v>294</v>
      </c>
      <c r="C83" t="s">
        <v>288</v>
      </c>
      <c r="D83" t="s">
        <v>55</v>
      </c>
      <c r="E83" t="s">
        <v>63</v>
      </c>
      <c r="F83" t="s">
        <v>47</v>
      </c>
      <c r="G83">
        <v>50</v>
      </c>
      <c r="H83">
        <v>29.73</v>
      </c>
      <c r="I83">
        <v>1486.5</v>
      </c>
      <c r="J83">
        <v>96.77</v>
      </c>
      <c r="K83">
        <v>389.73</v>
      </c>
      <c r="L83" t="s">
        <v>48</v>
      </c>
      <c r="M83" t="s">
        <v>25</v>
      </c>
      <c r="N83" t="s">
        <v>98</v>
      </c>
      <c r="O83">
        <v>1000</v>
      </c>
      <c r="P83" s="5">
        <f t="shared" si="1"/>
        <v>0.26217961654894045</v>
      </c>
    </row>
    <row r="84" spans="1:16" x14ac:dyDescent="0.3">
      <c r="A84" t="s">
        <v>295</v>
      </c>
      <c r="B84" t="s">
        <v>296</v>
      </c>
      <c r="C84" t="s">
        <v>285</v>
      </c>
      <c r="D84" t="s">
        <v>51</v>
      </c>
      <c r="E84" t="s">
        <v>81</v>
      </c>
      <c r="F84" t="s">
        <v>68</v>
      </c>
      <c r="G84">
        <v>39</v>
      </c>
      <c r="H84">
        <v>20.56</v>
      </c>
      <c r="I84">
        <v>801.84</v>
      </c>
      <c r="J84">
        <v>43.55</v>
      </c>
      <c r="K84">
        <v>153.79</v>
      </c>
      <c r="L84" t="s">
        <v>24</v>
      </c>
      <c r="M84" t="s">
        <v>25</v>
      </c>
      <c r="N84" t="s">
        <v>76</v>
      </c>
      <c r="O84">
        <v>604.50000000000011</v>
      </c>
      <c r="P84" s="5">
        <f t="shared" si="1"/>
        <v>0.19179636835278857</v>
      </c>
    </row>
    <row r="85" spans="1:16" x14ac:dyDescent="0.3">
      <c r="A85" t="s">
        <v>297</v>
      </c>
      <c r="B85" t="s">
        <v>298</v>
      </c>
      <c r="C85" t="s">
        <v>30</v>
      </c>
      <c r="D85" t="s">
        <v>51</v>
      </c>
      <c r="E85" t="s">
        <v>81</v>
      </c>
      <c r="F85" t="s">
        <v>68</v>
      </c>
      <c r="G85">
        <v>48</v>
      </c>
      <c r="H85">
        <v>24.36</v>
      </c>
      <c r="I85">
        <v>1169.28</v>
      </c>
      <c r="J85">
        <v>81.599999999999994</v>
      </c>
      <c r="K85">
        <v>343.68</v>
      </c>
      <c r="L85" t="s">
        <v>48</v>
      </c>
      <c r="M85" t="s">
        <v>41</v>
      </c>
      <c r="N85" t="s">
        <v>76</v>
      </c>
      <c r="O85">
        <v>743.99999999999989</v>
      </c>
      <c r="P85" s="5">
        <f t="shared" si="1"/>
        <v>0.29392446633825947</v>
      </c>
    </row>
    <row r="86" spans="1:16" x14ac:dyDescent="0.3">
      <c r="A86" t="s">
        <v>299</v>
      </c>
      <c r="B86" t="s">
        <v>300</v>
      </c>
      <c r="C86" t="s">
        <v>301</v>
      </c>
      <c r="D86" t="s">
        <v>241</v>
      </c>
      <c r="E86" t="s">
        <v>67</v>
      </c>
      <c r="F86" t="s">
        <v>68</v>
      </c>
      <c r="G86">
        <v>40</v>
      </c>
      <c r="H86">
        <v>27.95</v>
      </c>
      <c r="I86">
        <v>1118</v>
      </c>
      <c r="J86">
        <v>37.590000000000003</v>
      </c>
      <c r="K86">
        <v>180.41</v>
      </c>
      <c r="L86" t="s">
        <v>48</v>
      </c>
      <c r="M86" t="s">
        <v>41</v>
      </c>
      <c r="N86" t="s">
        <v>35</v>
      </c>
      <c r="O86">
        <v>900</v>
      </c>
      <c r="P86" s="5">
        <f t="shared" si="1"/>
        <v>0.16136851520572451</v>
      </c>
    </row>
    <row r="87" spans="1:16" x14ac:dyDescent="0.3">
      <c r="A87" t="s">
        <v>302</v>
      </c>
      <c r="B87" t="s">
        <v>303</v>
      </c>
      <c r="C87" t="s">
        <v>191</v>
      </c>
      <c r="D87" t="s">
        <v>70</v>
      </c>
      <c r="E87" t="s">
        <v>137</v>
      </c>
      <c r="F87" t="s">
        <v>68</v>
      </c>
      <c r="G87">
        <v>21</v>
      </c>
      <c r="H87">
        <v>40.19</v>
      </c>
      <c r="I87">
        <v>843.99</v>
      </c>
      <c r="J87">
        <v>32.4</v>
      </c>
      <c r="K87">
        <v>223.59</v>
      </c>
      <c r="L87" t="s">
        <v>33</v>
      </c>
      <c r="M87" t="s">
        <v>34</v>
      </c>
      <c r="N87" t="s">
        <v>76</v>
      </c>
      <c r="O87">
        <v>588</v>
      </c>
      <c r="P87" s="5">
        <f t="shared" si="1"/>
        <v>0.26492020047630899</v>
      </c>
    </row>
    <row r="88" spans="1:16" x14ac:dyDescent="0.3">
      <c r="A88" t="s">
        <v>304</v>
      </c>
      <c r="B88" t="s">
        <v>159</v>
      </c>
      <c r="C88" t="s">
        <v>145</v>
      </c>
      <c r="D88" t="s">
        <v>116</v>
      </c>
      <c r="E88" t="s">
        <v>86</v>
      </c>
      <c r="F88" t="s">
        <v>47</v>
      </c>
      <c r="G88">
        <v>26</v>
      </c>
      <c r="H88">
        <v>16.670000000000002</v>
      </c>
      <c r="I88">
        <v>433.42</v>
      </c>
      <c r="J88">
        <v>32.79</v>
      </c>
      <c r="K88">
        <v>69.13</v>
      </c>
      <c r="L88" t="s">
        <v>48</v>
      </c>
      <c r="M88" t="s">
        <v>34</v>
      </c>
      <c r="N88" t="s">
        <v>76</v>
      </c>
      <c r="O88">
        <v>331.5</v>
      </c>
      <c r="P88" s="5">
        <f t="shared" si="1"/>
        <v>0.15949886945687783</v>
      </c>
    </row>
    <row r="89" spans="1:16" x14ac:dyDescent="0.3">
      <c r="A89" t="s">
        <v>305</v>
      </c>
      <c r="B89" t="s">
        <v>306</v>
      </c>
      <c r="C89" t="s">
        <v>307</v>
      </c>
      <c r="D89" t="s">
        <v>45</v>
      </c>
      <c r="E89" t="s">
        <v>46</v>
      </c>
      <c r="F89" t="s">
        <v>47</v>
      </c>
      <c r="G89">
        <v>28</v>
      </c>
      <c r="H89">
        <v>39.85</v>
      </c>
      <c r="I89">
        <v>1115.8</v>
      </c>
      <c r="J89">
        <v>43.87</v>
      </c>
      <c r="K89">
        <v>175.93</v>
      </c>
      <c r="L89" t="s">
        <v>48</v>
      </c>
      <c r="M89" t="s">
        <v>25</v>
      </c>
      <c r="N89" t="s">
        <v>49</v>
      </c>
      <c r="O89">
        <v>895.99999999999989</v>
      </c>
      <c r="P89" s="5">
        <f t="shared" si="1"/>
        <v>0.15767162573937982</v>
      </c>
    </row>
    <row r="90" spans="1:16" x14ac:dyDescent="0.3">
      <c r="A90" t="s">
        <v>308</v>
      </c>
      <c r="B90" t="s">
        <v>309</v>
      </c>
      <c r="C90" t="s">
        <v>307</v>
      </c>
      <c r="D90" t="s">
        <v>62</v>
      </c>
      <c r="E90" t="s">
        <v>86</v>
      </c>
      <c r="F90" t="s">
        <v>47</v>
      </c>
      <c r="G90">
        <v>47</v>
      </c>
      <c r="H90">
        <v>15.97</v>
      </c>
      <c r="I90">
        <v>750.59</v>
      </c>
      <c r="J90">
        <v>48.55</v>
      </c>
      <c r="K90">
        <v>102.79</v>
      </c>
      <c r="L90" t="s">
        <v>48</v>
      </c>
      <c r="M90" t="s">
        <v>41</v>
      </c>
      <c r="N90" t="s">
        <v>98</v>
      </c>
      <c r="O90">
        <v>599.25000000000011</v>
      </c>
      <c r="P90" s="5">
        <f t="shared" si="1"/>
        <v>0.13694560279246992</v>
      </c>
    </row>
    <row r="91" spans="1:16" x14ac:dyDescent="0.3">
      <c r="A91" t="s">
        <v>310</v>
      </c>
      <c r="B91" t="s">
        <v>311</v>
      </c>
      <c r="C91" t="s">
        <v>216</v>
      </c>
      <c r="D91" t="s">
        <v>51</v>
      </c>
      <c r="E91" t="s">
        <v>56</v>
      </c>
      <c r="F91" t="s">
        <v>57</v>
      </c>
      <c r="G91">
        <v>28</v>
      </c>
      <c r="H91">
        <v>53.6</v>
      </c>
      <c r="I91">
        <v>1500.8</v>
      </c>
      <c r="J91">
        <v>68.55</v>
      </c>
      <c r="K91">
        <v>312.25</v>
      </c>
      <c r="L91" t="s">
        <v>33</v>
      </c>
      <c r="M91" t="s">
        <v>34</v>
      </c>
      <c r="N91" t="s">
        <v>76</v>
      </c>
      <c r="O91">
        <v>1120</v>
      </c>
      <c r="P91" s="5">
        <f t="shared" si="1"/>
        <v>0.20805570362473347</v>
      </c>
    </row>
    <row r="92" spans="1:16" x14ac:dyDescent="0.3">
      <c r="A92" t="s">
        <v>312</v>
      </c>
      <c r="B92" t="s">
        <v>263</v>
      </c>
      <c r="C92" t="s">
        <v>174</v>
      </c>
      <c r="D92" t="s">
        <v>70</v>
      </c>
      <c r="E92" t="s">
        <v>137</v>
      </c>
      <c r="F92" t="s">
        <v>68</v>
      </c>
      <c r="G92">
        <v>37</v>
      </c>
      <c r="H92">
        <v>40.049999999999997</v>
      </c>
      <c r="I92">
        <v>1481.85</v>
      </c>
      <c r="J92">
        <v>45.6</v>
      </c>
      <c r="K92">
        <v>400.25</v>
      </c>
      <c r="L92" t="s">
        <v>24</v>
      </c>
      <c r="M92" t="s">
        <v>41</v>
      </c>
      <c r="N92" t="s">
        <v>76</v>
      </c>
      <c r="O92">
        <v>1036</v>
      </c>
      <c r="P92" s="5">
        <f t="shared" si="1"/>
        <v>0.2701015622363937</v>
      </c>
    </row>
    <row r="93" spans="1:16" x14ac:dyDescent="0.3">
      <c r="A93" t="s">
        <v>313</v>
      </c>
      <c r="B93" t="s">
        <v>314</v>
      </c>
      <c r="C93" t="s">
        <v>222</v>
      </c>
      <c r="D93" t="s">
        <v>37</v>
      </c>
      <c r="E93" t="s">
        <v>22</v>
      </c>
      <c r="F93" t="s">
        <v>23</v>
      </c>
      <c r="G93">
        <v>45</v>
      </c>
      <c r="H93">
        <v>43.74</v>
      </c>
      <c r="I93">
        <v>1968.3</v>
      </c>
      <c r="J93">
        <v>80.55</v>
      </c>
      <c r="K93">
        <v>312.75</v>
      </c>
      <c r="L93" t="s">
        <v>33</v>
      </c>
      <c r="M93" t="s">
        <v>41</v>
      </c>
      <c r="N93" t="s">
        <v>35</v>
      </c>
      <c r="O93">
        <v>1575</v>
      </c>
      <c r="P93" s="5">
        <f t="shared" si="1"/>
        <v>0.15889346136259716</v>
      </c>
    </row>
    <row r="94" spans="1:16" x14ac:dyDescent="0.3">
      <c r="A94" t="s">
        <v>315</v>
      </c>
      <c r="B94" t="s">
        <v>316</v>
      </c>
      <c r="C94" t="s">
        <v>317</v>
      </c>
      <c r="D94" t="s">
        <v>31</v>
      </c>
      <c r="E94" t="s">
        <v>81</v>
      </c>
      <c r="F94" t="s">
        <v>68</v>
      </c>
      <c r="G94">
        <v>9</v>
      </c>
      <c r="H94">
        <v>24.63</v>
      </c>
      <c r="I94">
        <v>221.67</v>
      </c>
      <c r="J94">
        <v>13.53</v>
      </c>
      <c r="K94">
        <v>68.64</v>
      </c>
      <c r="L94" t="s">
        <v>33</v>
      </c>
      <c r="M94" t="s">
        <v>41</v>
      </c>
      <c r="N94" t="s">
        <v>35</v>
      </c>
      <c r="O94">
        <v>139.49999999999997</v>
      </c>
      <c r="P94" s="5">
        <f t="shared" si="1"/>
        <v>0.30964947895520373</v>
      </c>
    </row>
    <row r="95" spans="1:16" x14ac:dyDescent="0.3">
      <c r="A95" t="s">
        <v>318</v>
      </c>
      <c r="B95" t="s">
        <v>319</v>
      </c>
      <c r="C95" t="s">
        <v>54</v>
      </c>
      <c r="D95" t="s">
        <v>141</v>
      </c>
      <c r="E95" t="s">
        <v>81</v>
      </c>
      <c r="F95" t="s">
        <v>68</v>
      </c>
      <c r="G95">
        <v>6</v>
      </c>
      <c r="H95">
        <v>21.79</v>
      </c>
      <c r="I95">
        <v>130.74</v>
      </c>
      <c r="J95">
        <v>7.75</v>
      </c>
      <c r="K95">
        <v>29.99</v>
      </c>
      <c r="L95" t="s">
        <v>33</v>
      </c>
      <c r="M95" t="s">
        <v>41</v>
      </c>
      <c r="N95" t="s">
        <v>142</v>
      </c>
      <c r="O95">
        <v>93.000000000000014</v>
      </c>
      <c r="P95" s="5">
        <f t="shared" si="1"/>
        <v>0.22938656876242922</v>
      </c>
    </row>
    <row r="96" spans="1:16" x14ac:dyDescent="0.3">
      <c r="A96" t="s">
        <v>320</v>
      </c>
      <c r="B96" t="s">
        <v>226</v>
      </c>
      <c r="C96" t="s">
        <v>321</v>
      </c>
      <c r="D96" t="s">
        <v>171</v>
      </c>
      <c r="E96" t="s">
        <v>22</v>
      </c>
      <c r="F96" t="s">
        <v>23</v>
      </c>
      <c r="G96">
        <v>23</v>
      </c>
      <c r="H96">
        <v>58.43</v>
      </c>
      <c r="I96">
        <v>1343.89</v>
      </c>
      <c r="J96">
        <v>38.729999999999997</v>
      </c>
      <c r="K96">
        <v>500.16</v>
      </c>
      <c r="L96" t="s">
        <v>33</v>
      </c>
      <c r="M96" t="s">
        <v>25</v>
      </c>
      <c r="N96" t="s">
        <v>35</v>
      </c>
      <c r="O96">
        <v>805</v>
      </c>
      <c r="P96" s="5">
        <f t="shared" si="1"/>
        <v>0.37217331775666163</v>
      </c>
    </row>
    <row r="97" spans="1:16" x14ac:dyDescent="0.3">
      <c r="A97" t="s">
        <v>322</v>
      </c>
      <c r="B97" t="s">
        <v>115</v>
      </c>
      <c r="C97" t="s">
        <v>323</v>
      </c>
      <c r="D97" t="s">
        <v>116</v>
      </c>
      <c r="E97" t="s">
        <v>56</v>
      </c>
      <c r="F97" t="s">
        <v>57</v>
      </c>
      <c r="G97">
        <v>19</v>
      </c>
      <c r="H97">
        <v>67.06</v>
      </c>
      <c r="I97">
        <v>1274.1400000000001</v>
      </c>
      <c r="J97">
        <v>85.73</v>
      </c>
      <c r="K97">
        <v>428.41</v>
      </c>
      <c r="L97" t="s">
        <v>24</v>
      </c>
      <c r="M97" t="s">
        <v>34</v>
      </c>
      <c r="N97" t="s">
        <v>76</v>
      </c>
      <c r="O97">
        <v>760</v>
      </c>
      <c r="P97" s="5">
        <f t="shared" si="1"/>
        <v>0.33623463669612441</v>
      </c>
    </row>
    <row r="98" spans="1:16" x14ac:dyDescent="0.3">
      <c r="A98" t="s">
        <v>324</v>
      </c>
      <c r="B98" t="s">
        <v>325</v>
      </c>
      <c r="C98" t="s">
        <v>317</v>
      </c>
      <c r="D98" t="s">
        <v>37</v>
      </c>
      <c r="E98" t="s">
        <v>32</v>
      </c>
      <c r="F98" t="s">
        <v>23</v>
      </c>
      <c r="G98">
        <v>4</v>
      </c>
      <c r="H98">
        <v>25.13</v>
      </c>
      <c r="I98">
        <v>100.52</v>
      </c>
      <c r="J98">
        <v>5.6</v>
      </c>
      <c r="K98">
        <v>22.92</v>
      </c>
      <c r="L98" t="s">
        <v>33</v>
      </c>
      <c r="M98" t="s">
        <v>41</v>
      </c>
      <c r="N98" t="s">
        <v>35</v>
      </c>
      <c r="O98">
        <v>72</v>
      </c>
      <c r="P98" s="5">
        <f t="shared" si="1"/>
        <v>0.22801432550736175</v>
      </c>
    </row>
    <row r="99" spans="1:16" x14ac:dyDescent="0.3">
      <c r="A99" t="s">
        <v>326</v>
      </c>
      <c r="B99" t="s">
        <v>327</v>
      </c>
      <c r="C99" t="s">
        <v>328</v>
      </c>
      <c r="D99" t="s">
        <v>37</v>
      </c>
      <c r="E99" t="s">
        <v>81</v>
      </c>
      <c r="F99" t="s">
        <v>68</v>
      </c>
      <c r="G99">
        <v>26</v>
      </c>
      <c r="H99">
        <v>19.34</v>
      </c>
      <c r="I99">
        <v>502.84</v>
      </c>
      <c r="J99">
        <v>26.51</v>
      </c>
      <c r="K99">
        <v>73.33</v>
      </c>
      <c r="L99" t="s">
        <v>33</v>
      </c>
      <c r="M99" t="s">
        <v>25</v>
      </c>
      <c r="N99" t="s">
        <v>35</v>
      </c>
      <c r="O99">
        <v>403</v>
      </c>
      <c r="P99" s="5">
        <f t="shared" si="1"/>
        <v>0.14583167607986636</v>
      </c>
    </row>
    <row r="100" spans="1:16" x14ac:dyDescent="0.3">
      <c r="A100" t="s">
        <v>329</v>
      </c>
      <c r="B100" t="s">
        <v>330</v>
      </c>
      <c r="C100" t="s">
        <v>331</v>
      </c>
      <c r="D100" t="s">
        <v>141</v>
      </c>
      <c r="E100" t="s">
        <v>63</v>
      </c>
      <c r="F100" t="s">
        <v>47</v>
      </c>
      <c r="G100">
        <v>26</v>
      </c>
      <c r="H100">
        <v>35.81</v>
      </c>
      <c r="I100">
        <v>931.06</v>
      </c>
      <c r="J100">
        <v>61.06</v>
      </c>
      <c r="K100">
        <v>350</v>
      </c>
      <c r="L100" t="s">
        <v>24</v>
      </c>
      <c r="M100" t="s">
        <v>25</v>
      </c>
      <c r="N100" t="s">
        <v>142</v>
      </c>
      <c r="O100">
        <v>520</v>
      </c>
      <c r="P100" s="5">
        <f t="shared" si="1"/>
        <v>0.37591562305329412</v>
      </c>
    </row>
    <row r="101" spans="1:16" x14ac:dyDescent="0.3">
      <c r="A101" t="s">
        <v>332</v>
      </c>
      <c r="B101" t="s">
        <v>333</v>
      </c>
      <c r="C101" t="s">
        <v>334</v>
      </c>
      <c r="D101" t="s">
        <v>116</v>
      </c>
      <c r="E101" t="s">
        <v>67</v>
      </c>
      <c r="F101" t="s">
        <v>68</v>
      </c>
      <c r="G101">
        <v>42</v>
      </c>
      <c r="H101">
        <v>39.950000000000003</v>
      </c>
      <c r="I101">
        <v>1677.9</v>
      </c>
      <c r="J101">
        <v>93.95</v>
      </c>
      <c r="K101">
        <v>638.95000000000005</v>
      </c>
      <c r="L101" t="s">
        <v>33</v>
      </c>
      <c r="M101" t="s">
        <v>34</v>
      </c>
      <c r="N101" t="s">
        <v>76</v>
      </c>
      <c r="O101">
        <v>945</v>
      </c>
      <c r="P101" s="5">
        <f t="shared" si="1"/>
        <v>0.38080338518386081</v>
      </c>
    </row>
    <row r="102" spans="1:16" x14ac:dyDescent="0.3">
      <c r="A102" t="s">
        <v>335</v>
      </c>
      <c r="B102" t="s">
        <v>336</v>
      </c>
      <c r="C102" t="s">
        <v>145</v>
      </c>
      <c r="D102" t="s">
        <v>123</v>
      </c>
      <c r="E102" t="s">
        <v>22</v>
      </c>
      <c r="F102" t="s">
        <v>23</v>
      </c>
      <c r="G102">
        <v>38</v>
      </c>
      <c r="H102">
        <v>49.98</v>
      </c>
      <c r="I102">
        <v>1899.24</v>
      </c>
      <c r="J102">
        <v>112.91</v>
      </c>
      <c r="K102">
        <v>456.33</v>
      </c>
      <c r="L102" t="s">
        <v>48</v>
      </c>
      <c r="M102" t="s">
        <v>41</v>
      </c>
      <c r="N102" t="s">
        <v>76</v>
      </c>
      <c r="O102">
        <v>1330</v>
      </c>
      <c r="P102" s="5">
        <f t="shared" si="1"/>
        <v>0.24026979212737726</v>
      </c>
    </row>
    <row r="103" spans="1:16" x14ac:dyDescent="0.3">
      <c r="A103" t="s">
        <v>337</v>
      </c>
      <c r="B103" t="s">
        <v>338</v>
      </c>
      <c r="C103" t="s">
        <v>191</v>
      </c>
      <c r="D103" t="s">
        <v>127</v>
      </c>
      <c r="E103" t="s">
        <v>137</v>
      </c>
      <c r="F103" t="s">
        <v>68</v>
      </c>
      <c r="G103">
        <v>1</v>
      </c>
      <c r="H103">
        <v>45.84</v>
      </c>
      <c r="I103">
        <v>45.84</v>
      </c>
      <c r="J103">
        <v>1.26</v>
      </c>
      <c r="K103">
        <v>16.579999999999998</v>
      </c>
      <c r="L103" t="s">
        <v>48</v>
      </c>
      <c r="M103" t="s">
        <v>25</v>
      </c>
      <c r="N103" t="s">
        <v>76</v>
      </c>
      <c r="O103">
        <v>28.000000000000004</v>
      </c>
      <c r="P103" s="5">
        <f t="shared" si="1"/>
        <v>0.3616928446771378</v>
      </c>
    </row>
    <row r="104" spans="1:16" x14ac:dyDescent="0.3">
      <c r="A104" t="s">
        <v>339</v>
      </c>
      <c r="B104" t="s">
        <v>340</v>
      </c>
      <c r="C104" t="s">
        <v>301</v>
      </c>
      <c r="D104" t="s">
        <v>206</v>
      </c>
      <c r="E104" t="s">
        <v>32</v>
      </c>
      <c r="F104" t="s">
        <v>23</v>
      </c>
      <c r="G104">
        <v>38</v>
      </c>
      <c r="H104">
        <v>26.34</v>
      </c>
      <c r="I104">
        <v>1000.92</v>
      </c>
      <c r="J104">
        <v>47.88</v>
      </c>
      <c r="K104">
        <v>269.04000000000002</v>
      </c>
      <c r="L104" t="s">
        <v>24</v>
      </c>
      <c r="M104" t="s">
        <v>34</v>
      </c>
      <c r="N104" t="s">
        <v>207</v>
      </c>
      <c r="O104">
        <v>683.99999999999989</v>
      </c>
      <c r="P104" s="5">
        <f t="shared" si="1"/>
        <v>0.26879271070615035</v>
      </c>
    </row>
    <row r="105" spans="1:16" x14ac:dyDescent="0.3">
      <c r="A105" t="s">
        <v>341</v>
      </c>
      <c r="B105" t="s">
        <v>342</v>
      </c>
      <c r="C105" t="s">
        <v>269</v>
      </c>
      <c r="D105" t="s">
        <v>171</v>
      </c>
      <c r="E105" t="s">
        <v>74</v>
      </c>
      <c r="F105" t="s">
        <v>75</v>
      </c>
      <c r="G105">
        <v>30</v>
      </c>
      <c r="H105">
        <v>36.43</v>
      </c>
      <c r="I105">
        <v>1092.9000000000001</v>
      </c>
      <c r="J105">
        <v>61.97</v>
      </c>
      <c r="K105">
        <v>280.93</v>
      </c>
      <c r="L105" t="s">
        <v>48</v>
      </c>
      <c r="M105" t="s">
        <v>34</v>
      </c>
      <c r="N105" t="s">
        <v>35</v>
      </c>
      <c r="O105">
        <v>750</v>
      </c>
      <c r="P105" s="5">
        <f t="shared" si="1"/>
        <v>0.25705005032482386</v>
      </c>
    </row>
    <row r="106" spans="1:16" x14ac:dyDescent="0.3">
      <c r="A106" t="s">
        <v>343</v>
      </c>
      <c r="B106" t="s">
        <v>344</v>
      </c>
      <c r="C106" t="s">
        <v>307</v>
      </c>
      <c r="D106" t="s">
        <v>37</v>
      </c>
      <c r="E106" t="s">
        <v>86</v>
      </c>
      <c r="F106" t="s">
        <v>47</v>
      </c>
      <c r="G106">
        <v>9</v>
      </c>
      <c r="H106">
        <v>22.27</v>
      </c>
      <c r="I106">
        <v>200.43</v>
      </c>
      <c r="J106">
        <v>13.21</v>
      </c>
      <c r="K106">
        <v>72.47</v>
      </c>
      <c r="L106" t="s">
        <v>33</v>
      </c>
      <c r="M106" t="s">
        <v>34</v>
      </c>
      <c r="N106" t="s">
        <v>35</v>
      </c>
      <c r="O106">
        <v>114.75</v>
      </c>
      <c r="P106" s="5">
        <f t="shared" si="1"/>
        <v>0.36157261886943071</v>
      </c>
    </row>
    <row r="107" spans="1:16" x14ac:dyDescent="0.3">
      <c r="A107" t="s">
        <v>345</v>
      </c>
      <c r="B107" t="s">
        <v>115</v>
      </c>
      <c r="C107" t="s">
        <v>162</v>
      </c>
      <c r="D107" t="s">
        <v>206</v>
      </c>
      <c r="E107" t="s">
        <v>81</v>
      </c>
      <c r="F107" t="s">
        <v>68</v>
      </c>
      <c r="G107">
        <v>26</v>
      </c>
      <c r="H107">
        <v>27.65</v>
      </c>
      <c r="I107">
        <v>718.9</v>
      </c>
      <c r="J107">
        <v>46.25</v>
      </c>
      <c r="K107">
        <v>269.64999999999998</v>
      </c>
      <c r="L107" t="s">
        <v>33</v>
      </c>
      <c r="M107" t="s">
        <v>41</v>
      </c>
      <c r="N107" t="s">
        <v>207</v>
      </c>
      <c r="O107">
        <v>403</v>
      </c>
      <c r="P107" s="5">
        <f t="shared" si="1"/>
        <v>0.37508693837807761</v>
      </c>
    </row>
    <row r="108" spans="1:16" x14ac:dyDescent="0.3">
      <c r="A108" t="s">
        <v>346</v>
      </c>
      <c r="B108" t="s">
        <v>347</v>
      </c>
      <c r="C108" t="s">
        <v>301</v>
      </c>
      <c r="D108" t="s">
        <v>31</v>
      </c>
      <c r="E108" t="s">
        <v>81</v>
      </c>
      <c r="F108" t="s">
        <v>68</v>
      </c>
      <c r="G108">
        <v>23</v>
      </c>
      <c r="H108">
        <v>22.45</v>
      </c>
      <c r="I108">
        <v>516.35</v>
      </c>
      <c r="J108">
        <v>15.68</v>
      </c>
      <c r="K108">
        <v>144.16999999999999</v>
      </c>
      <c r="L108" t="s">
        <v>48</v>
      </c>
      <c r="M108" t="s">
        <v>41</v>
      </c>
      <c r="N108" t="s">
        <v>35</v>
      </c>
      <c r="O108">
        <v>356.50000000000006</v>
      </c>
      <c r="P108" s="5">
        <f t="shared" si="1"/>
        <v>0.2792098382879829</v>
      </c>
    </row>
    <row r="109" spans="1:16" x14ac:dyDescent="0.3">
      <c r="A109" t="s">
        <v>348</v>
      </c>
      <c r="B109" t="s">
        <v>349</v>
      </c>
      <c r="C109" t="s">
        <v>197</v>
      </c>
      <c r="D109" t="s">
        <v>31</v>
      </c>
      <c r="E109" t="s">
        <v>81</v>
      </c>
      <c r="F109" t="s">
        <v>68</v>
      </c>
      <c r="G109">
        <v>30</v>
      </c>
      <c r="H109">
        <v>21.93</v>
      </c>
      <c r="I109">
        <v>657.9</v>
      </c>
      <c r="J109">
        <v>24.66</v>
      </c>
      <c r="K109">
        <v>168.24</v>
      </c>
      <c r="L109" t="s">
        <v>33</v>
      </c>
      <c r="M109" t="s">
        <v>25</v>
      </c>
      <c r="N109" t="s">
        <v>35</v>
      </c>
      <c r="O109">
        <v>464.99999999999994</v>
      </c>
      <c r="P109" s="5">
        <f t="shared" si="1"/>
        <v>0.25572275421796625</v>
      </c>
    </row>
    <row r="110" spans="1:16" x14ac:dyDescent="0.3">
      <c r="A110" t="s">
        <v>350</v>
      </c>
      <c r="B110" t="s">
        <v>351</v>
      </c>
      <c r="C110" t="s">
        <v>352</v>
      </c>
      <c r="D110" t="s">
        <v>116</v>
      </c>
      <c r="E110" t="s">
        <v>86</v>
      </c>
      <c r="F110" t="s">
        <v>47</v>
      </c>
      <c r="G110">
        <v>43</v>
      </c>
      <c r="H110">
        <v>21.92</v>
      </c>
      <c r="I110">
        <v>942.56</v>
      </c>
      <c r="J110">
        <v>51.15</v>
      </c>
      <c r="K110">
        <v>343.16</v>
      </c>
      <c r="L110" t="s">
        <v>24</v>
      </c>
      <c r="M110" t="s">
        <v>41</v>
      </c>
      <c r="N110" t="s">
        <v>76</v>
      </c>
      <c r="O110">
        <v>548.24999999999989</v>
      </c>
      <c r="P110" s="5">
        <f t="shared" si="1"/>
        <v>0.36407231369886273</v>
      </c>
    </row>
    <row r="111" spans="1:16" x14ac:dyDescent="0.3">
      <c r="A111" t="s">
        <v>353</v>
      </c>
      <c r="B111" t="s">
        <v>354</v>
      </c>
      <c r="C111" t="s">
        <v>85</v>
      </c>
      <c r="D111" t="s">
        <v>45</v>
      </c>
      <c r="E111" t="s">
        <v>56</v>
      </c>
      <c r="F111" t="s">
        <v>57</v>
      </c>
      <c r="G111">
        <v>3</v>
      </c>
      <c r="H111">
        <v>56.21</v>
      </c>
      <c r="I111">
        <v>168.63</v>
      </c>
      <c r="J111">
        <v>7.56</v>
      </c>
      <c r="K111">
        <v>41.07</v>
      </c>
      <c r="L111" t="s">
        <v>48</v>
      </c>
      <c r="M111" t="s">
        <v>25</v>
      </c>
      <c r="N111" t="s">
        <v>49</v>
      </c>
      <c r="O111">
        <v>120</v>
      </c>
      <c r="P111" s="5">
        <f t="shared" si="1"/>
        <v>0.24355096957836686</v>
      </c>
    </row>
    <row r="112" spans="1:16" x14ac:dyDescent="0.3">
      <c r="A112" t="s">
        <v>355</v>
      </c>
      <c r="B112" t="s">
        <v>356</v>
      </c>
      <c r="C112" t="s">
        <v>20</v>
      </c>
      <c r="D112" t="s">
        <v>37</v>
      </c>
      <c r="E112" t="s">
        <v>86</v>
      </c>
      <c r="F112" t="s">
        <v>47</v>
      </c>
      <c r="G112">
        <v>33</v>
      </c>
      <c r="H112">
        <v>15.44</v>
      </c>
      <c r="I112">
        <v>509.52</v>
      </c>
      <c r="J112">
        <v>19.7</v>
      </c>
      <c r="K112">
        <v>69.069999999999993</v>
      </c>
      <c r="L112" t="s">
        <v>24</v>
      </c>
      <c r="M112" t="s">
        <v>41</v>
      </c>
      <c r="N112" t="s">
        <v>35</v>
      </c>
      <c r="O112">
        <v>420.75</v>
      </c>
      <c r="P112" s="5">
        <f t="shared" si="1"/>
        <v>0.13555895745014915</v>
      </c>
    </row>
    <row r="113" spans="1:16" x14ac:dyDescent="0.3">
      <c r="A113" t="s">
        <v>357</v>
      </c>
      <c r="B113" t="s">
        <v>358</v>
      </c>
      <c r="C113" t="s">
        <v>151</v>
      </c>
      <c r="D113" t="s">
        <v>141</v>
      </c>
      <c r="E113" t="s">
        <v>81</v>
      </c>
      <c r="F113" t="s">
        <v>68</v>
      </c>
      <c r="G113">
        <v>50</v>
      </c>
      <c r="H113">
        <v>23.02</v>
      </c>
      <c r="I113">
        <v>1151</v>
      </c>
      <c r="J113">
        <v>69.3</v>
      </c>
      <c r="K113">
        <v>306.7</v>
      </c>
      <c r="L113" t="s">
        <v>33</v>
      </c>
      <c r="M113" t="s">
        <v>34</v>
      </c>
      <c r="N113" t="s">
        <v>142</v>
      </c>
      <c r="O113">
        <v>775</v>
      </c>
      <c r="P113" s="5">
        <f t="shared" si="1"/>
        <v>0.26646394439617721</v>
      </c>
    </row>
    <row r="114" spans="1:16" x14ac:dyDescent="0.3">
      <c r="A114" t="s">
        <v>359</v>
      </c>
      <c r="B114" t="s">
        <v>268</v>
      </c>
      <c r="C114" t="s">
        <v>360</v>
      </c>
      <c r="D114" t="s">
        <v>45</v>
      </c>
      <c r="E114" t="s">
        <v>86</v>
      </c>
      <c r="F114" t="s">
        <v>47</v>
      </c>
      <c r="G114">
        <v>8</v>
      </c>
      <c r="H114">
        <v>17.010000000000002</v>
      </c>
      <c r="I114">
        <v>136.08000000000001</v>
      </c>
      <c r="J114">
        <v>8.84</v>
      </c>
      <c r="K114">
        <v>25.24</v>
      </c>
      <c r="L114" t="s">
        <v>24</v>
      </c>
      <c r="M114" t="s">
        <v>41</v>
      </c>
      <c r="N114" t="s">
        <v>49</v>
      </c>
      <c r="O114">
        <v>102.00000000000001</v>
      </c>
      <c r="P114" s="5">
        <f t="shared" si="1"/>
        <v>0.18547912992357435</v>
      </c>
    </row>
    <row r="115" spans="1:16" x14ac:dyDescent="0.3">
      <c r="A115" t="s">
        <v>361</v>
      </c>
      <c r="B115" t="s">
        <v>362</v>
      </c>
      <c r="C115" t="s">
        <v>301</v>
      </c>
      <c r="D115" t="s">
        <v>171</v>
      </c>
      <c r="E115" t="s">
        <v>32</v>
      </c>
      <c r="F115" t="s">
        <v>23</v>
      </c>
      <c r="G115">
        <v>16</v>
      </c>
      <c r="H115">
        <v>26.47</v>
      </c>
      <c r="I115">
        <v>423.52</v>
      </c>
      <c r="J115">
        <v>15.87</v>
      </c>
      <c r="K115">
        <v>119.65</v>
      </c>
      <c r="L115" t="s">
        <v>33</v>
      </c>
      <c r="M115" t="s">
        <v>25</v>
      </c>
      <c r="N115" t="s">
        <v>35</v>
      </c>
      <c r="O115">
        <v>288</v>
      </c>
      <c r="P115" s="5">
        <f t="shared" si="1"/>
        <v>0.28251322251605593</v>
      </c>
    </row>
    <row r="116" spans="1:16" x14ac:dyDescent="0.3">
      <c r="A116" t="s">
        <v>363</v>
      </c>
      <c r="B116" t="s">
        <v>364</v>
      </c>
      <c r="C116" t="s">
        <v>272</v>
      </c>
      <c r="D116" t="s">
        <v>45</v>
      </c>
      <c r="E116" t="s">
        <v>46</v>
      </c>
      <c r="F116" t="s">
        <v>47</v>
      </c>
      <c r="G116">
        <v>32</v>
      </c>
      <c r="H116">
        <v>43.18</v>
      </c>
      <c r="I116">
        <v>1381.76</v>
      </c>
      <c r="J116">
        <v>88.54</v>
      </c>
      <c r="K116">
        <v>269.22000000000003</v>
      </c>
      <c r="L116" t="s">
        <v>33</v>
      </c>
      <c r="M116" t="s">
        <v>41</v>
      </c>
      <c r="N116" t="s">
        <v>49</v>
      </c>
      <c r="O116">
        <v>1024</v>
      </c>
      <c r="P116" s="5">
        <f t="shared" si="1"/>
        <v>0.19483846688281614</v>
      </c>
    </row>
    <row r="117" spans="1:16" x14ac:dyDescent="0.3">
      <c r="A117" t="s">
        <v>365</v>
      </c>
      <c r="B117" t="s">
        <v>366</v>
      </c>
      <c r="C117" t="s">
        <v>177</v>
      </c>
      <c r="D117" t="s">
        <v>206</v>
      </c>
      <c r="E117" t="s">
        <v>81</v>
      </c>
      <c r="F117" t="s">
        <v>68</v>
      </c>
      <c r="G117">
        <v>29</v>
      </c>
      <c r="H117">
        <v>18.850000000000001</v>
      </c>
      <c r="I117">
        <v>546.65</v>
      </c>
      <c r="J117">
        <v>13.22</v>
      </c>
      <c r="K117">
        <v>83.93</v>
      </c>
      <c r="L117" t="s">
        <v>24</v>
      </c>
      <c r="M117" t="s">
        <v>41</v>
      </c>
      <c r="N117" t="s">
        <v>207</v>
      </c>
      <c r="O117">
        <v>449.49999999999994</v>
      </c>
      <c r="P117" s="5">
        <f t="shared" si="1"/>
        <v>0.153535168755145</v>
      </c>
    </row>
    <row r="118" spans="1:16" x14ac:dyDescent="0.3">
      <c r="A118" t="s">
        <v>367</v>
      </c>
      <c r="B118" t="s">
        <v>368</v>
      </c>
      <c r="C118" t="s">
        <v>369</v>
      </c>
      <c r="D118" t="s">
        <v>171</v>
      </c>
      <c r="E118" t="s">
        <v>56</v>
      </c>
      <c r="F118" t="s">
        <v>57</v>
      </c>
      <c r="G118">
        <v>16</v>
      </c>
      <c r="H118">
        <v>64.400000000000006</v>
      </c>
      <c r="I118">
        <v>1030.4000000000001</v>
      </c>
      <c r="J118">
        <v>61.72</v>
      </c>
      <c r="K118">
        <v>328.68</v>
      </c>
      <c r="L118" t="s">
        <v>33</v>
      </c>
      <c r="M118" t="s">
        <v>34</v>
      </c>
      <c r="N118" t="s">
        <v>35</v>
      </c>
      <c r="O118">
        <v>640</v>
      </c>
      <c r="P118" s="5">
        <f t="shared" si="1"/>
        <v>0.31898291925465838</v>
      </c>
    </row>
    <row r="119" spans="1:16" x14ac:dyDescent="0.3">
      <c r="A119" t="s">
        <v>370</v>
      </c>
      <c r="B119" t="s">
        <v>371</v>
      </c>
      <c r="C119" t="s">
        <v>372</v>
      </c>
      <c r="D119" t="s">
        <v>116</v>
      </c>
      <c r="E119" t="s">
        <v>81</v>
      </c>
      <c r="F119" t="s">
        <v>68</v>
      </c>
      <c r="G119">
        <v>15</v>
      </c>
      <c r="H119">
        <v>19.53</v>
      </c>
      <c r="I119">
        <v>292.95</v>
      </c>
      <c r="J119">
        <v>7.15</v>
      </c>
      <c r="K119">
        <v>53.3</v>
      </c>
      <c r="L119" t="s">
        <v>48</v>
      </c>
      <c r="M119" t="s">
        <v>34</v>
      </c>
      <c r="N119" t="s">
        <v>76</v>
      </c>
      <c r="O119">
        <v>232.49999999999997</v>
      </c>
      <c r="P119" s="5">
        <f t="shared" si="1"/>
        <v>0.18194231097456903</v>
      </c>
    </row>
    <row r="120" spans="1:16" x14ac:dyDescent="0.3">
      <c r="A120" t="s">
        <v>373</v>
      </c>
      <c r="B120" t="s">
        <v>325</v>
      </c>
      <c r="C120" t="s">
        <v>182</v>
      </c>
      <c r="D120" t="s">
        <v>241</v>
      </c>
      <c r="E120" t="s">
        <v>63</v>
      </c>
      <c r="F120" t="s">
        <v>47</v>
      </c>
      <c r="G120">
        <v>36</v>
      </c>
      <c r="H120">
        <v>26.05</v>
      </c>
      <c r="I120">
        <v>937.8</v>
      </c>
      <c r="J120">
        <v>32.799999999999997</v>
      </c>
      <c r="K120">
        <v>185</v>
      </c>
      <c r="L120" t="s">
        <v>24</v>
      </c>
      <c r="M120" t="s">
        <v>41</v>
      </c>
      <c r="N120" t="s">
        <v>35</v>
      </c>
      <c r="O120">
        <v>720</v>
      </c>
      <c r="P120" s="5">
        <f t="shared" si="1"/>
        <v>0.19727020686713587</v>
      </c>
    </row>
    <row r="121" spans="1:16" x14ac:dyDescent="0.3">
      <c r="A121" t="s">
        <v>374</v>
      </c>
      <c r="B121" t="s">
        <v>375</v>
      </c>
      <c r="C121" t="s">
        <v>73</v>
      </c>
      <c r="D121" t="s">
        <v>141</v>
      </c>
      <c r="E121" t="s">
        <v>46</v>
      </c>
      <c r="F121" t="s">
        <v>47</v>
      </c>
      <c r="G121">
        <v>26</v>
      </c>
      <c r="H121">
        <v>47.52</v>
      </c>
      <c r="I121">
        <v>1235.52</v>
      </c>
      <c r="J121">
        <v>31.41</v>
      </c>
      <c r="K121">
        <v>372.11</v>
      </c>
      <c r="L121" t="s">
        <v>33</v>
      </c>
      <c r="M121" t="s">
        <v>25</v>
      </c>
      <c r="N121" t="s">
        <v>142</v>
      </c>
      <c r="O121">
        <v>832</v>
      </c>
      <c r="P121" s="5">
        <f t="shared" si="1"/>
        <v>0.30117683242683246</v>
      </c>
    </row>
    <row r="122" spans="1:16" x14ac:dyDescent="0.3">
      <c r="A122" t="s">
        <v>376</v>
      </c>
      <c r="B122" t="s">
        <v>131</v>
      </c>
      <c r="C122" t="s">
        <v>334</v>
      </c>
      <c r="D122" t="s">
        <v>171</v>
      </c>
      <c r="E122" t="s">
        <v>32</v>
      </c>
      <c r="F122" t="s">
        <v>23</v>
      </c>
      <c r="G122">
        <v>38</v>
      </c>
      <c r="H122">
        <v>26.38</v>
      </c>
      <c r="I122">
        <v>1002.44</v>
      </c>
      <c r="J122">
        <v>33.049999999999997</v>
      </c>
      <c r="K122">
        <v>285.39</v>
      </c>
      <c r="L122" t="s">
        <v>33</v>
      </c>
      <c r="M122" t="s">
        <v>25</v>
      </c>
      <c r="N122" t="s">
        <v>35</v>
      </c>
      <c r="O122">
        <v>684.00000000000011</v>
      </c>
      <c r="P122" s="5">
        <f t="shared" si="1"/>
        <v>0.28469534336219621</v>
      </c>
    </row>
    <row r="123" spans="1:16" x14ac:dyDescent="0.3">
      <c r="A123" t="s">
        <v>377</v>
      </c>
      <c r="B123" t="s">
        <v>327</v>
      </c>
      <c r="C123" t="s">
        <v>222</v>
      </c>
      <c r="D123" t="s">
        <v>127</v>
      </c>
      <c r="E123" t="s">
        <v>86</v>
      </c>
      <c r="F123" t="s">
        <v>47</v>
      </c>
      <c r="G123">
        <v>7</v>
      </c>
      <c r="H123">
        <v>17.66</v>
      </c>
      <c r="I123">
        <v>123.62</v>
      </c>
      <c r="J123">
        <v>6.95</v>
      </c>
      <c r="K123">
        <v>27.42</v>
      </c>
      <c r="L123" t="s">
        <v>24</v>
      </c>
      <c r="M123" t="s">
        <v>25</v>
      </c>
      <c r="N123" t="s">
        <v>76</v>
      </c>
      <c r="O123">
        <v>89.25</v>
      </c>
      <c r="P123" s="5">
        <f t="shared" si="1"/>
        <v>0.22180876880763631</v>
      </c>
    </row>
    <row r="124" spans="1:16" x14ac:dyDescent="0.3">
      <c r="A124" t="s">
        <v>378</v>
      </c>
      <c r="B124" t="s">
        <v>309</v>
      </c>
      <c r="C124" t="s">
        <v>227</v>
      </c>
      <c r="D124" t="s">
        <v>206</v>
      </c>
      <c r="E124" t="s">
        <v>22</v>
      </c>
      <c r="F124" t="s">
        <v>23</v>
      </c>
      <c r="G124">
        <v>26</v>
      </c>
      <c r="H124">
        <v>51.5</v>
      </c>
      <c r="I124">
        <v>1339</v>
      </c>
      <c r="J124">
        <v>92.09</v>
      </c>
      <c r="K124">
        <v>336.91</v>
      </c>
      <c r="L124" t="s">
        <v>33</v>
      </c>
      <c r="M124" t="s">
        <v>34</v>
      </c>
      <c r="N124" t="s">
        <v>207</v>
      </c>
      <c r="O124">
        <v>909.99999999999977</v>
      </c>
      <c r="P124" s="5">
        <f t="shared" si="1"/>
        <v>0.25161314413741598</v>
      </c>
    </row>
    <row r="125" spans="1:16" x14ac:dyDescent="0.3">
      <c r="A125" t="s">
        <v>379</v>
      </c>
      <c r="B125" t="s">
        <v>380</v>
      </c>
      <c r="C125" t="s">
        <v>381</v>
      </c>
      <c r="D125" t="s">
        <v>21</v>
      </c>
      <c r="E125" t="s">
        <v>81</v>
      </c>
      <c r="F125" t="s">
        <v>68</v>
      </c>
      <c r="G125">
        <v>27</v>
      </c>
      <c r="H125">
        <v>25</v>
      </c>
      <c r="I125">
        <v>675</v>
      </c>
      <c r="J125">
        <v>15.49</v>
      </c>
      <c r="K125">
        <v>241.01</v>
      </c>
      <c r="L125" t="s">
        <v>33</v>
      </c>
      <c r="M125" t="s">
        <v>34</v>
      </c>
      <c r="N125" t="s">
        <v>98</v>
      </c>
      <c r="O125">
        <v>418.5</v>
      </c>
      <c r="P125" s="5">
        <f t="shared" si="1"/>
        <v>0.35705185185185184</v>
      </c>
    </row>
    <row r="126" spans="1:16" x14ac:dyDescent="0.3">
      <c r="A126" t="s">
        <v>382</v>
      </c>
      <c r="B126" t="s">
        <v>383</v>
      </c>
      <c r="C126" t="s">
        <v>61</v>
      </c>
      <c r="D126" t="s">
        <v>141</v>
      </c>
      <c r="E126" t="s">
        <v>86</v>
      </c>
      <c r="F126" t="s">
        <v>47</v>
      </c>
      <c r="G126">
        <v>4</v>
      </c>
      <c r="H126">
        <v>19</v>
      </c>
      <c r="I126">
        <v>76</v>
      </c>
      <c r="J126">
        <v>3.78</v>
      </c>
      <c r="K126">
        <v>21.22</v>
      </c>
      <c r="L126" t="s">
        <v>33</v>
      </c>
      <c r="M126" t="s">
        <v>41</v>
      </c>
      <c r="N126" t="s">
        <v>142</v>
      </c>
      <c r="O126">
        <v>51</v>
      </c>
      <c r="P126" s="5">
        <f t="shared" si="1"/>
        <v>0.27921052631578946</v>
      </c>
    </row>
    <row r="127" spans="1:16" x14ac:dyDescent="0.3">
      <c r="A127" t="s">
        <v>384</v>
      </c>
      <c r="B127" t="s">
        <v>147</v>
      </c>
      <c r="C127" t="s">
        <v>307</v>
      </c>
      <c r="D127" t="s">
        <v>55</v>
      </c>
      <c r="E127" t="s">
        <v>81</v>
      </c>
      <c r="F127" t="s">
        <v>68</v>
      </c>
      <c r="G127">
        <v>24</v>
      </c>
      <c r="H127">
        <v>26.63</v>
      </c>
      <c r="I127">
        <v>639.12</v>
      </c>
      <c r="J127">
        <v>31.92</v>
      </c>
      <c r="K127">
        <v>235.2</v>
      </c>
      <c r="L127" t="s">
        <v>48</v>
      </c>
      <c r="M127" t="s">
        <v>41</v>
      </c>
      <c r="N127" t="s">
        <v>98</v>
      </c>
      <c r="O127">
        <v>372</v>
      </c>
      <c r="P127" s="5">
        <f t="shared" si="1"/>
        <v>0.36800600826135937</v>
      </c>
    </row>
    <row r="128" spans="1:16" x14ac:dyDescent="0.3">
      <c r="A128" t="s">
        <v>385</v>
      </c>
      <c r="B128" t="s">
        <v>386</v>
      </c>
      <c r="C128" t="s">
        <v>134</v>
      </c>
      <c r="D128" t="s">
        <v>116</v>
      </c>
      <c r="E128" t="s">
        <v>74</v>
      </c>
      <c r="F128" t="s">
        <v>75</v>
      </c>
      <c r="G128">
        <v>26</v>
      </c>
      <c r="H128">
        <v>43.14</v>
      </c>
      <c r="I128">
        <v>1121.6400000000001</v>
      </c>
      <c r="J128">
        <v>48.08</v>
      </c>
      <c r="K128">
        <v>423.56</v>
      </c>
      <c r="L128" t="s">
        <v>24</v>
      </c>
      <c r="M128" t="s">
        <v>34</v>
      </c>
      <c r="N128" t="s">
        <v>76</v>
      </c>
      <c r="O128">
        <v>650.00000000000011</v>
      </c>
      <c r="P128" s="5">
        <f t="shared" si="1"/>
        <v>0.37762561962840124</v>
      </c>
    </row>
    <row r="129" spans="1:16" x14ac:dyDescent="0.3">
      <c r="A129" t="s">
        <v>387</v>
      </c>
      <c r="B129" t="s">
        <v>388</v>
      </c>
      <c r="C129" t="s">
        <v>317</v>
      </c>
      <c r="D129" t="s">
        <v>55</v>
      </c>
      <c r="E129" t="s">
        <v>74</v>
      </c>
      <c r="F129" t="s">
        <v>75</v>
      </c>
      <c r="G129">
        <v>39</v>
      </c>
      <c r="H129">
        <v>30.01</v>
      </c>
      <c r="I129">
        <v>1170.3900000000001</v>
      </c>
      <c r="J129">
        <v>60.43</v>
      </c>
      <c r="K129">
        <v>134.96</v>
      </c>
      <c r="L129" t="s">
        <v>33</v>
      </c>
      <c r="M129" t="s">
        <v>25</v>
      </c>
      <c r="N129" t="s">
        <v>98</v>
      </c>
      <c r="O129">
        <v>975.00000000000011</v>
      </c>
      <c r="P129" s="5">
        <f t="shared" si="1"/>
        <v>0.11531199002042054</v>
      </c>
    </row>
    <row r="130" spans="1:16" x14ac:dyDescent="0.3">
      <c r="A130" t="s">
        <v>389</v>
      </c>
      <c r="B130" t="s">
        <v>390</v>
      </c>
      <c r="C130" t="s">
        <v>391</v>
      </c>
      <c r="D130" t="s">
        <v>241</v>
      </c>
      <c r="E130" t="s">
        <v>67</v>
      </c>
      <c r="F130" t="s">
        <v>68</v>
      </c>
      <c r="G130">
        <v>5</v>
      </c>
      <c r="H130">
        <v>31.31</v>
      </c>
      <c r="I130">
        <v>156.55000000000001</v>
      </c>
      <c r="J130">
        <v>4.04</v>
      </c>
      <c r="K130">
        <v>40.01</v>
      </c>
      <c r="L130" t="s">
        <v>48</v>
      </c>
      <c r="M130" t="s">
        <v>41</v>
      </c>
      <c r="N130" t="s">
        <v>35</v>
      </c>
      <c r="O130">
        <v>112.50000000000001</v>
      </c>
      <c r="P130" s="5">
        <f t="shared" si="1"/>
        <v>0.25557329926541039</v>
      </c>
    </row>
    <row r="131" spans="1:16" x14ac:dyDescent="0.3">
      <c r="A131" t="s">
        <v>392</v>
      </c>
      <c r="B131" t="s">
        <v>393</v>
      </c>
      <c r="C131" t="s">
        <v>290</v>
      </c>
      <c r="D131" t="s">
        <v>21</v>
      </c>
      <c r="E131" t="s">
        <v>137</v>
      </c>
      <c r="F131" t="s">
        <v>68</v>
      </c>
      <c r="G131">
        <v>42</v>
      </c>
      <c r="H131">
        <v>36.950000000000003</v>
      </c>
      <c r="I131">
        <v>1551.9</v>
      </c>
      <c r="J131">
        <v>74.260000000000005</v>
      </c>
      <c r="K131">
        <v>301.64</v>
      </c>
      <c r="L131" t="s">
        <v>33</v>
      </c>
      <c r="M131" t="s">
        <v>34</v>
      </c>
      <c r="N131" t="s">
        <v>98</v>
      </c>
      <c r="O131">
        <v>1176.0000000000002</v>
      </c>
      <c r="P131" s="5">
        <f t="shared" si="1"/>
        <v>0.19436819382692183</v>
      </c>
    </row>
    <row r="132" spans="1:16" x14ac:dyDescent="0.3">
      <c r="A132" t="s">
        <v>394</v>
      </c>
      <c r="B132" t="s">
        <v>395</v>
      </c>
      <c r="C132" t="s">
        <v>396</v>
      </c>
      <c r="D132" t="s">
        <v>116</v>
      </c>
      <c r="E132" t="s">
        <v>56</v>
      </c>
      <c r="F132" t="s">
        <v>57</v>
      </c>
      <c r="G132">
        <v>36</v>
      </c>
      <c r="H132">
        <v>57.37</v>
      </c>
      <c r="I132">
        <v>2065.3200000000002</v>
      </c>
      <c r="J132">
        <v>94.34</v>
      </c>
      <c r="K132">
        <v>530.98</v>
      </c>
      <c r="L132" t="s">
        <v>48</v>
      </c>
      <c r="M132" t="s">
        <v>25</v>
      </c>
      <c r="N132" t="s">
        <v>76</v>
      </c>
      <c r="O132">
        <v>1440.0000000000002</v>
      </c>
      <c r="P132" s="5">
        <f t="shared" si="1"/>
        <v>0.25709333178393662</v>
      </c>
    </row>
    <row r="133" spans="1:16" x14ac:dyDescent="0.3">
      <c r="A133" t="s">
        <v>397</v>
      </c>
      <c r="B133" t="s">
        <v>398</v>
      </c>
      <c r="C133" t="s">
        <v>44</v>
      </c>
      <c r="D133" t="s">
        <v>123</v>
      </c>
      <c r="E133" t="s">
        <v>137</v>
      </c>
      <c r="F133" t="s">
        <v>68</v>
      </c>
      <c r="G133">
        <v>13</v>
      </c>
      <c r="H133">
        <v>40.18</v>
      </c>
      <c r="I133">
        <v>522.34</v>
      </c>
      <c r="J133">
        <v>37.369999999999997</v>
      </c>
      <c r="K133">
        <v>120.97</v>
      </c>
      <c r="L133" t="s">
        <v>33</v>
      </c>
      <c r="M133" t="s">
        <v>41</v>
      </c>
      <c r="N133" t="s">
        <v>76</v>
      </c>
      <c r="O133">
        <v>364</v>
      </c>
      <c r="P133" s="5">
        <f t="shared" si="1"/>
        <v>0.23159244936248419</v>
      </c>
    </row>
    <row r="134" spans="1:16" x14ac:dyDescent="0.3">
      <c r="A134" t="s">
        <v>399</v>
      </c>
      <c r="B134" t="s">
        <v>400</v>
      </c>
      <c r="C134" t="s">
        <v>328</v>
      </c>
      <c r="D134" t="s">
        <v>127</v>
      </c>
      <c r="E134" t="s">
        <v>46</v>
      </c>
      <c r="F134" t="s">
        <v>47</v>
      </c>
      <c r="G134">
        <v>37</v>
      </c>
      <c r="H134">
        <v>39.299999999999997</v>
      </c>
      <c r="I134">
        <v>1454.1</v>
      </c>
      <c r="J134">
        <v>67.08</v>
      </c>
      <c r="K134">
        <v>203.02</v>
      </c>
      <c r="L134" t="s">
        <v>48</v>
      </c>
      <c r="M134" t="s">
        <v>25</v>
      </c>
      <c r="N134" t="s">
        <v>76</v>
      </c>
      <c r="O134">
        <v>1184</v>
      </c>
      <c r="P134" s="5">
        <f t="shared" si="1"/>
        <v>0.13961900832129842</v>
      </c>
    </row>
    <row r="135" spans="1:16" x14ac:dyDescent="0.3">
      <c r="A135" t="s">
        <v>401</v>
      </c>
      <c r="B135" t="s">
        <v>402</v>
      </c>
      <c r="C135" t="s">
        <v>307</v>
      </c>
      <c r="D135" t="s">
        <v>55</v>
      </c>
      <c r="E135" t="s">
        <v>46</v>
      </c>
      <c r="F135" t="s">
        <v>47</v>
      </c>
      <c r="G135">
        <v>17</v>
      </c>
      <c r="H135">
        <v>43.28</v>
      </c>
      <c r="I135">
        <v>735.76</v>
      </c>
      <c r="J135">
        <v>50.96</v>
      </c>
      <c r="K135">
        <v>140.80000000000001</v>
      </c>
      <c r="L135" t="s">
        <v>33</v>
      </c>
      <c r="M135" t="s">
        <v>34</v>
      </c>
      <c r="N135" t="s">
        <v>98</v>
      </c>
      <c r="O135">
        <v>544</v>
      </c>
      <c r="P135" s="5">
        <f t="shared" ref="P135:P198" si="2">K135/I135</f>
        <v>0.19136675002718279</v>
      </c>
    </row>
    <row r="136" spans="1:16" x14ac:dyDescent="0.3">
      <c r="A136" t="s">
        <v>403</v>
      </c>
      <c r="B136" t="s">
        <v>404</v>
      </c>
      <c r="C136" t="s">
        <v>20</v>
      </c>
      <c r="D136" t="s">
        <v>123</v>
      </c>
      <c r="E136" t="s">
        <v>22</v>
      </c>
      <c r="F136" t="s">
        <v>23</v>
      </c>
      <c r="G136">
        <v>22</v>
      </c>
      <c r="H136">
        <v>62.79</v>
      </c>
      <c r="I136">
        <v>1381.38</v>
      </c>
      <c r="J136">
        <v>75.84</v>
      </c>
      <c r="K136">
        <v>535.54</v>
      </c>
      <c r="L136" t="s">
        <v>48</v>
      </c>
      <c r="M136" t="s">
        <v>41</v>
      </c>
      <c r="N136" t="s">
        <v>76</v>
      </c>
      <c r="O136">
        <v>770.00000000000011</v>
      </c>
      <c r="P136" s="5">
        <f t="shared" si="2"/>
        <v>0.38768477898912673</v>
      </c>
    </row>
    <row r="137" spans="1:16" x14ac:dyDescent="0.3">
      <c r="A137" t="s">
        <v>405</v>
      </c>
      <c r="B137" t="s">
        <v>406</v>
      </c>
      <c r="C137" t="s">
        <v>249</v>
      </c>
      <c r="D137" t="s">
        <v>241</v>
      </c>
      <c r="E137" t="s">
        <v>56</v>
      </c>
      <c r="F137" t="s">
        <v>57</v>
      </c>
      <c r="G137">
        <v>23</v>
      </c>
      <c r="H137">
        <v>56.76</v>
      </c>
      <c r="I137">
        <v>1305.48</v>
      </c>
      <c r="J137">
        <v>62.93</v>
      </c>
      <c r="K137">
        <v>322.55</v>
      </c>
      <c r="L137" t="s">
        <v>48</v>
      </c>
      <c r="M137" t="s">
        <v>41</v>
      </c>
      <c r="N137" t="s">
        <v>35</v>
      </c>
      <c r="O137">
        <v>920.00000000000011</v>
      </c>
      <c r="P137" s="5">
        <f t="shared" si="2"/>
        <v>0.24707387321138585</v>
      </c>
    </row>
    <row r="138" spans="1:16" x14ac:dyDescent="0.3">
      <c r="A138" t="s">
        <v>407</v>
      </c>
      <c r="B138" t="s">
        <v>408</v>
      </c>
      <c r="C138" t="s">
        <v>40</v>
      </c>
      <c r="D138" t="s">
        <v>31</v>
      </c>
      <c r="E138" t="s">
        <v>56</v>
      </c>
      <c r="F138" t="s">
        <v>57</v>
      </c>
      <c r="G138">
        <v>22</v>
      </c>
      <c r="H138">
        <v>60.13</v>
      </c>
      <c r="I138">
        <v>1322.86</v>
      </c>
      <c r="J138">
        <v>54.06</v>
      </c>
      <c r="K138">
        <v>388.8</v>
      </c>
      <c r="L138" t="s">
        <v>48</v>
      </c>
      <c r="M138" t="s">
        <v>34</v>
      </c>
      <c r="N138" t="s">
        <v>35</v>
      </c>
      <c r="O138">
        <v>880</v>
      </c>
      <c r="P138" s="5">
        <f t="shared" si="2"/>
        <v>0.2939086524651135</v>
      </c>
    </row>
    <row r="139" spans="1:16" x14ac:dyDescent="0.3">
      <c r="A139" t="s">
        <v>409</v>
      </c>
      <c r="B139" t="s">
        <v>386</v>
      </c>
      <c r="C139" t="s">
        <v>410</v>
      </c>
      <c r="D139" t="s">
        <v>116</v>
      </c>
      <c r="E139" t="s">
        <v>74</v>
      </c>
      <c r="F139" t="s">
        <v>75</v>
      </c>
      <c r="G139">
        <v>21</v>
      </c>
      <c r="H139">
        <v>40.98</v>
      </c>
      <c r="I139">
        <v>860.58</v>
      </c>
      <c r="J139">
        <v>37.01</v>
      </c>
      <c r="K139">
        <v>298.57</v>
      </c>
      <c r="L139" t="s">
        <v>24</v>
      </c>
      <c r="M139" t="s">
        <v>41</v>
      </c>
      <c r="N139" t="s">
        <v>76</v>
      </c>
      <c r="O139">
        <v>525</v>
      </c>
      <c r="P139" s="5">
        <f t="shared" si="2"/>
        <v>0.34694043552023052</v>
      </c>
    </row>
    <row r="140" spans="1:16" x14ac:dyDescent="0.3">
      <c r="A140" t="s">
        <v>411</v>
      </c>
      <c r="B140" t="s">
        <v>412</v>
      </c>
      <c r="C140" t="s">
        <v>188</v>
      </c>
      <c r="D140" t="s">
        <v>45</v>
      </c>
      <c r="E140" t="s">
        <v>56</v>
      </c>
      <c r="F140" t="s">
        <v>57</v>
      </c>
      <c r="G140">
        <v>36</v>
      </c>
      <c r="H140">
        <v>54.6</v>
      </c>
      <c r="I140">
        <v>1965.6</v>
      </c>
      <c r="J140">
        <v>150.34</v>
      </c>
      <c r="K140">
        <v>375.26</v>
      </c>
      <c r="L140" t="s">
        <v>33</v>
      </c>
      <c r="M140" t="s">
        <v>25</v>
      </c>
      <c r="N140" t="s">
        <v>49</v>
      </c>
      <c r="O140">
        <v>1440</v>
      </c>
      <c r="P140" s="5">
        <f t="shared" si="2"/>
        <v>0.19091371591371592</v>
      </c>
    </row>
    <row r="141" spans="1:16" x14ac:dyDescent="0.3">
      <c r="A141" t="s">
        <v>413</v>
      </c>
      <c r="B141" t="s">
        <v>414</v>
      </c>
      <c r="C141" t="s">
        <v>360</v>
      </c>
      <c r="D141" t="s">
        <v>37</v>
      </c>
      <c r="E141" t="s">
        <v>81</v>
      </c>
      <c r="F141" t="s">
        <v>68</v>
      </c>
      <c r="G141">
        <v>1</v>
      </c>
      <c r="H141">
        <v>27.49</v>
      </c>
      <c r="I141">
        <v>27.49</v>
      </c>
      <c r="J141">
        <v>0.63</v>
      </c>
      <c r="K141">
        <v>11.36</v>
      </c>
      <c r="L141" t="s">
        <v>33</v>
      </c>
      <c r="M141" t="s">
        <v>41</v>
      </c>
      <c r="N141" t="s">
        <v>35</v>
      </c>
      <c r="O141">
        <v>15.499999999999998</v>
      </c>
      <c r="P141" s="5">
        <f t="shared" si="2"/>
        <v>0.41324117861040377</v>
      </c>
    </row>
    <row r="142" spans="1:16" x14ac:dyDescent="0.3">
      <c r="A142" t="s">
        <v>415</v>
      </c>
      <c r="B142" t="s">
        <v>416</v>
      </c>
      <c r="C142" t="s">
        <v>417</v>
      </c>
      <c r="D142" t="s">
        <v>116</v>
      </c>
      <c r="E142" t="s">
        <v>46</v>
      </c>
      <c r="F142" t="s">
        <v>47</v>
      </c>
      <c r="G142">
        <v>50</v>
      </c>
      <c r="H142">
        <v>41.11</v>
      </c>
      <c r="I142">
        <v>2055.5</v>
      </c>
      <c r="J142">
        <v>95.61</v>
      </c>
      <c r="K142">
        <v>359.89</v>
      </c>
      <c r="L142" t="s">
        <v>48</v>
      </c>
      <c r="M142" t="s">
        <v>34</v>
      </c>
      <c r="N142" t="s">
        <v>76</v>
      </c>
      <c r="O142">
        <v>1600.0000000000005</v>
      </c>
      <c r="P142" s="5">
        <f t="shared" si="2"/>
        <v>0.17508635368523473</v>
      </c>
    </row>
    <row r="143" spans="1:16" x14ac:dyDescent="0.3">
      <c r="A143" t="s">
        <v>418</v>
      </c>
      <c r="B143" t="s">
        <v>419</v>
      </c>
      <c r="C143" t="s">
        <v>191</v>
      </c>
      <c r="D143" t="s">
        <v>51</v>
      </c>
      <c r="E143" t="s">
        <v>81</v>
      </c>
      <c r="F143" t="s">
        <v>68</v>
      </c>
      <c r="G143">
        <v>18</v>
      </c>
      <c r="H143">
        <v>25.54</v>
      </c>
      <c r="I143">
        <v>459.72</v>
      </c>
      <c r="J143">
        <v>27.02</v>
      </c>
      <c r="K143">
        <v>153.69999999999999</v>
      </c>
      <c r="L143" t="s">
        <v>33</v>
      </c>
      <c r="M143" t="s">
        <v>25</v>
      </c>
      <c r="N143" t="s">
        <v>76</v>
      </c>
      <c r="O143">
        <v>279.00000000000006</v>
      </c>
      <c r="P143" s="5">
        <f t="shared" si="2"/>
        <v>0.33433394239972153</v>
      </c>
    </row>
    <row r="144" spans="1:16" x14ac:dyDescent="0.3">
      <c r="A144" t="s">
        <v>420</v>
      </c>
      <c r="B144" t="s">
        <v>421</v>
      </c>
      <c r="C144" t="s">
        <v>369</v>
      </c>
      <c r="D144" t="s">
        <v>127</v>
      </c>
      <c r="E144" t="s">
        <v>137</v>
      </c>
      <c r="F144" t="s">
        <v>68</v>
      </c>
      <c r="G144">
        <v>4</v>
      </c>
      <c r="H144">
        <v>47.52</v>
      </c>
      <c r="I144">
        <v>190.08</v>
      </c>
      <c r="J144">
        <v>10.23</v>
      </c>
      <c r="K144">
        <v>67.849999999999994</v>
      </c>
      <c r="L144" t="s">
        <v>24</v>
      </c>
      <c r="M144" t="s">
        <v>25</v>
      </c>
      <c r="N144" t="s">
        <v>76</v>
      </c>
      <c r="O144">
        <v>112.00000000000001</v>
      </c>
      <c r="P144" s="5">
        <f t="shared" si="2"/>
        <v>0.35695496632996626</v>
      </c>
    </row>
    <row r="145" spans="1:16" x14ac:dyDescent="0.3">
      <c r="A145" t="s">
        <v>422</v>
      </c>
      <c r="B145" t="s">
        <v>423</v>
      </c>
      <c r="C145" t="s">
        <v>272</v>
      </c>
      <c r="D145" t="s">
        <v>37</v>
      </c>
      <c r="E145" t="s">
        <v>74</v>
      </c>
      <c r="F145" t="s">
        <v>75</v>
      </c>
      <c r="G145">
        <v>29</v>
      </c>
      <c r="H145">
        <v>30.48</v>
      </c>
      <c r="I145">
        <v>883.92</v>
      </c>
      <c r="J145">
        <v>33.15</v>
      </c>
      <c r="K145">
        <v>125.77</v>
      </c>
      <c r="L145" t="s">
        <v>48</v>
      </c>
      <c r="M145" t="s">
        <v>25</v>
      </c>
      <c r="N145" t="s">
        <v>35</v>
      </c>
      <c r="O145">
        <v>725</v>
      </c>
      <c r="P145" s="5">
        <f t="shared" si="2"/>
        <v>0.14228663227441399</v>
      </c>
    </row>
    <row r="146" spans="1:16" x14ac:dyDescent="0.3">
      <c r="A146" t="s">
        <v>424</v>
      </c>
      <c r="B146" t="s">
        <v>256</v>
      </c>
      <c r="C146" t="s">
        <v>269</v>
      </c>
      <c r="D146" t="s">
        <v>141</v>
      </c>
      <c r="E146" t="s">
        <v>56</v>
      </c>
      <c r="F146" t="s">
        <v>57</v>
      </c>
      <c r="G146">
        <v>27</v>
      </c>
      <c r="H146">
        <v>50.39</v>
      </c>
      <c r="I146">
        <v>1360.53</v>
      </c>
      <c r="J146">
        <v>106.4</v>
      </c>
      <c r="K146">
        <v>174.13</v>
      </c>
      <c r="L146" t="s">
        <v>33</v>
      </c>
      <c r="M146" t="s">
        <v>34</v>
      </c>
      <c r="N146" t="s">
        <v>142</v>
      </c>
      <c r="O146">
        <v>1080</v>
      </c>
      <c r="P146" s="5">
        <f t="shared" si="2"/>
        <v>0.12798688746297399</v>
      </c>
    </row>
    <row r="147" spans="1:16" x14ac:dyDescent="0.3">
      <c r="A147" t="s">
        <v>425</v>
      </c>
      <c r="B147" t="s">
        <v>426</v>
      </c>
      <c r="C147" t="s">
        <v>232</v>
      </c>
      <c r="D147" t="s">
        <v>241</v>
      </c>
      <c r="E147" t="s">
        <v>74</v>
      </c>
      <c r="F147" t="s">
        <v>75</v>
      </c>
      <c r="G147">
        <v>34</v>
      </c>
      <c r="H147">
        <v>37.68</v>
      </c>
      <c r="I147">
        <v>1281.1199999999999</v>
      </c>
      <c r="J147">
        <v>54.86</v>
      </c>
      <c r="K147">
        <v>376.26</v>
      </c>
      <c r="L147" t="s">
        <v>48</v>
      </c>
      <c r="M147" t="s">
        <v>25</v>
      </c>
      <c r="N147" t="s">
        <v>35</v>
      </c>
      <c r="O147">
        <v>849.99999999999989</v>
      </c>
      <c r="P147" s="5">
        <f t="shared" si="2"/>
        <v>0.2936961408767329</v>
      </c>
    </row>
    <row r="148" spans="1:16" x14ac:dyDescent="0.3">
      <c r="A148" t="s">
        <v>427</v>
      </c>
      <c r="B148" t="s">
        <v>109</v>
      </c>
      <c r="C148" t="s">
        <v>428</v>
      </c>
      <c r="D148" t="s">
        <v>127</v>
      </c>
      <c r="E148" t="s">
        <v>74</v>
      </c>
      <c r="F148" t="s">
        <v>75</v>
      </c>
      <c r="G148">
        <v>3</v>
      </c>
      <c r="H148">
        <v>39.32</v>
      </c>
      <c r="I148">
        <v>117.96</v>
      </c>
      <c r="J148">
        <v>6.97</v>
      </c>
      <c r="K148">
        <v>35.99</v>
      </c>
      <c r="L148" t="s">
        <v>33</v>
      </c>
      <c r="M148" t="s">
        <v>34</v>
      </c>
      <c r="N148" t="s">
        <v>76</v>
      </c>
      <c r="O148">
        <v>75</v>
      </c>
      <c r="P148" s="5">
        <f t="shared" si="2"/>
        <v>0.3051034248897932</v>
      </c>
    </row>
    <row r="149" spans="1:16" x14ac:dyDescent="0.3">
      <c r="A149" t="s">
        <v>429</v>
      </c>
      <c r="B149" t="s">
        <v>390</v>
      </c>
      <c r="C149" t="s">
        <v>372</v>
      </c>
      <c r="D149" t="s">
        <v>55</v>
      </c>
      <c r="E149" t="s">
        <v>86</v>
      </c>
      <c r="F149" t="s">
        <v>47</v>
      </c>
      <c r="G149">
        <v>24</v>
      </c>
      <c r="H149">
        <v>18</v>
      </c>
      <c r="I149">
        <v>432</v>
      </c>
      <c r="J149">
        <v>22.68</v>
      </c>
      <c r="K149">
        <v>103.32</v>
      </c>
      <c r="L149" t="s">
        <v>24</v>
      </c>
      <c r="M149" t="s">
        <v>41</v>
      </c>
      <c r="N149" t="s">
        <v>98</v>
      </c>
      <c r="O149">
        <v>306</v>
      </c>
      <c r="P149" s="5">
        <f t="shared" si="2"/>
        <v>0.23916666666666664</v>
      </c>
    </row>
    <row r="150" spans="1:16" x14ac:dyDescent="0.3">
      <c r="A150" t="s">
        <v>430</v>
      </c>
      <c r="B150" t="s">
        <v>431</v>
      </c>
      <c r="C150" t="s">
        <v>162</v>
      </c>
      <c r="D150" t="s">
        <v>31</v>
      </c>
      <c r="E150" t="s">
        <v>67</v>
      </c>
      <c r="F150" t="s">
        <v>68</v>
      </c>
      <c r="G150">
        <v>5</v>
      </c>
      <c r="H150">
        <v>36.43</v>
      </c>
      <c r="I150">
        <v>182.15</v>
      </c>
      <c r="J150">
        <v>7.82</v>
      </c>
      <c r="K150">
        <v>61.83</v>
      </c>
      <c r="L150" t="s">
        <v>24</v>
      </c>
      <c r="M150" t="s">
        <v>41</v>
      </c>
      <c r="N150" t="s">
        <v>35</v>
      </c>
      <c r="O150">
        <v>112.5</v>
      </c>
      <c r="P150" s="5">
        <f t="shared" si="2"/>
        <v>0.33944551194070821</v>
      </c>
    </row>
    <row r="151" spans="1:16" x14ac:dyDescent="0.3">
      <c r="A151" t="s">
        <v>432</v>
      </c>
      <c r="B151" t="s">
        <v>433</v>
      </c>
      <c r="C151" t="s">
        <v>170</v>
      </c>
      <c r="D151" t="s">
        <v>51</v>
      </c>
      <c r="E151" t="s">
        <v>67</v>
      </c>
      <c r="F151" t="s">
        <v>68</v>
      </c>
      <c r="G151">
        <v>27</v>
      </c>
      <c r="H151">
        <v>38.39</v>
      </c>
      <c r="I151">
        <v>1036.53</v>
      </c>
      <c r="J151">
        <v>28.6</v>
      </c>
      <c r="K151">
        <v>400.43</v>
      </c>
      <c r="L151" t="s">
        <v>33</v>
      </c>
      <c r="M151" t="s">
        <v>25</v>
      </c>
      <c r="N151" t="s">
        <v>76</v>
      </c>
      <c r="O151">
        <v>607.49999999999989</v>
      </c>
      <c r="P151" s="5">
        <f t="shared" si="2"/>
        <v>0.38631781038657831</v>
      </c>
    </row>
    <row r="152" spans="1:16" x14ac:dyDescent="0.3">
      <c r="A152" t="s">
        <v>434</v>
      </c>
      <c r="B152" t="s">
        <v>435</v>
      </c>
      <c r="C152" t="s">
        <v>219</v>
      </c>
      <c r="D152" t="s">
        <v>45</v>
      </c>
      <c r="E152" t="s">
        <v>137</v>
      </c>
      <c r="F152" t="s">
        <v>68</v>
      </c>
      <c r="G152">
        <v>10</v>
      </c>
      <c r="H152">
        <v>47.5</v>
      </c>
      <c r="I152">
        <v>475</v>
      </c>
      <c r="J152">
        <v>15.95</v>
      </c>
      <c r="K152">
        <v>179.05</v>
      </c>
      <c r="L152" t="s">
        <v>24</v>
      </c>
      <c r="M152" t="s">
        <v>25</v>
      </c>
      <c r="N152" t="s">
        <v>49</v>
      </c>
      <c r="O152">
        <v>280</v>
      </c>
      <c r="P152" s="5">
        <f t="shared" si="2"/>
        <v>0.37694736842105264</v>
      </c>
    </row>
    <row r="153" spans="1:16" x14ac:dyDescent="0.3">
      <c r="A153" t="s">
        <v>436</v>
      </c>
      <c r="B153" t="s">
        <v>274</v>
      </c>
      <c r="C153" t="s">
        <v>437</v>
      </c>
      <c r="D153" t="s">
        <v>123</v>
      </c>
      <c r="E153" t="s">
        <v>46</v>
      </c>
      <c r="F153" t="s">
        <v>47</v>
      </c>
      <c r="G153">
        <v>47</v>
      </c>
      <c r="H153">
        <v>50.13</v>
      </c>
      <c r="I153">
        <v>2356.11</v>
      </c>
      <c r="J153">
        <v>166.22</v>
      </c>
      <c r="K153">
        <v>685.89</v>
      </c>
      <c r="L153" t="s">
        <v>24</v>
      </c>
      <c r="M153" t="s">
        <v>25</v>
      </c>
      <c r="N153" t="s">
        <v>76</v>
      </c>
      <c r="O153">
        <v>1504.0000000000002</v>
      </c>
      <c r="P153" s="5">
        <f t="shared" si="2"/>
        <v>0.29111119599679131</v>
      </c>
    </row>
    <row r="154" spans="1:16" x14ac:dyDescent="0.3">
      <c r="A154" t="s">
        <v>438</v>
      </c>
      <c r="B154" t="s">
        <v>439</v>
      </c>
      <c r="C154" t="s">
        <v>440</v>
      </c>
      <c r="D154" t="s">
        <v>62</v>
      </c>
      <c r="E154" t="s">
        <v>137</v>
      </c>
      <c r="F154" t="s">
        <v>68</v>
      </c>
      <c r="G154">
        <v>47</v>
      </c>
      <c r="H154">
        <v>42.25</v>
      </c>
      <c r="I154">
        <v>1985.75</v>
      </c>
      <c r="J154">
        <v>116.75</v>
      </c>
      <c r="K154">
        <v>553</v>
      </c>
      <c r="L154" t="s">
        <v>33</v>
      </c>
      <c r="M154" t="s">
        <v>25</v>
      </c>
      <c r="N154" t="s">
        <v>98</v>
      </c>
      <c r="O154">
        <v>1316</v>
      </c>
      <c r="P154" s="5">
        <f t="shared" si="2"/>
        <v>0.27848419992446177</v>
      </c>
    </row>
    <row r="155" spans="1:16" x14ac:dyDescent="0.3">
      <c r="A155" t="s">
        <v>441</v>
      </c>
      <c r="B155" t="s">
        <v>121</v>
      </c>
      <c r="C155" t="s">
        <v>442</v>
      </c>
      <c r="D155" t="s">
        <v>51</v>
      </c>
      <c r="E155" t="s">
        <v>74</v>
      </c>
      <c r="F155" t="s">
        <v>75</v>
      </c>
      <c r="G155">
        <v>18</v>
      </c>
      <c r="H155">
        <v>38.26</v>
      </c>
      <c r="I155">
        <v>688.68</v>
      </c>
      <c r="J155">
        <v>18.78</v>
      </c>
      <c r="K155">
        <v>219.9</v>
      </c>
      <c r="L155" t="s">
        <v>33</v>
      </c>
      <c r="M155" t="s">
        <v>25</v>
      </c>
      <c r="N155" t="s">
        <v>76</v>
      </c>
      <c r="O155">
        <v>450</v>
      </c>
      <c r="P155" s="5">
        <f t="shared" si="2"/>
        <v>0.31930649939013767</v>
      </c>
    </row>
    <row r="156" spans="1:16" x14ac:dyDescent="0.3">
      <c r="A156" t="s">
        <v>443</v>
      </c>
      <c r="B156" t="s">
        <v>444</v>
      </c>
      <c r="C156" t="s">
        <v>140</v>
      </c>
      <c r="D156" t="s">
        <v>116</v>
      </c>
      <c r="E156" t="s">
        <v>137</v>
      </c>
      <c r="F156" t="s">
        <v>68</v>
      </c>
      <c r="G156">
        <v>31</v>
      </c>
      <c r="H156">
        <v>46.66</v>
      </c>
      <c r="I156">
        <v>1446.46</v>
      </c>
      <c r="J156">
        <v>109.24</v>
      </c>
      <c r="K156">
        <v>469.22</v>
      </c>
      <c r="L156" t="s">
        <v>24</v>
      </c>
      <c r="M156" t="s">
        <v>41</v>
      </c>
      <c r="N156" t="s">
        <v>76</v>
      </c>
      <c r="O156">
        <v>868</v>
      </c>
      <c r="P156" s="5">
        <f t="shared" si="2"/>
        <v>0.32439196382893409</v>
      </c>
    </row>
    <row r="157" spans="1:16" x14ac:dyDescent="0.3">
      <c r="A157" t="s">
        <v>445</v>
      </c>
      <c r="B157" t="s">
        <v>446</v>
      </c>
      <c r="C157" t="s">
        <v>447</v>
      </c>
      <c r="D157" t="s">
        <v>141</v>
      </c>
      <c r="E157" t="s">
        <v>46</v>
      </c>
      <c r="F157" t="s">
        <v>47</v>
      </c>
      <c r="G157">
        <v>41</v>
      </c>
      <c r="H157">
        <v>52.65</v>
      </c>
      <c r="I157">
        <v>2158.65</v>
      </c>
      <c r="J157">
        <v>110.1</v>
      </c>
      <c r="K157">
        <v>736.55</v>
      </c>
      <c r="L157" t="s">
        <v>33</v>
      </c>
      <c r="M157" t="s">
        <v>41</v>
      </c>
      <c r="N157" t="s">
        <v>142</v>
      </c>
      <c r="O157">
        <v>1312.0000000000002</v>
      </c>
      <c r="P157" s="5">
        <f t="shared" si="2"/>
        <v>0.34120862576147126</v>
      </c>
    </row>
    <row r="158" spans="1:16" x14ac:dyDescent="0.3">
      <c r="A158" t="s">
        <v>448</v>
      </c>
      <c r="B158" t="s">
        <v>449</v>
      </c>
      <c r="C158" t="s">
        <v>185</v>
      </c>
      <c r="D158" t="s">
        <v>127</v>
      </c>
      <c r="E158" t="s">
        <v>32</v>
      </c>
      <c r="F158" t="s">
        <v>23</v>
      </c>
      <c r="G158">
        <v>28</v>
      </c>
      <c r="H158">
        <v>22.66</v>
      </c>
      <c r="I158">
        <v>634.48</v>
      </c>
      <c r="J158">
        <v>15.55</v>
      </c>
      <c r="K158">
        <v>114.93</v>
      </c>
      <c r="L158" t="s">
        <v>48</v>
      </c>
      <c r="M158" t="s">
        <v>25</v>
      </c>
      <c r="N158" t="s">
        <v>76</v>
      </c>
      <c r="O158">
        <v>503.99999999999989</v>
      </c>
      <c r="P158" s="5">
        <f t="shared" si="2"/>
        <v>0.1811404614802673</v>
      </c>
    </row>
    <row r="159" spans="1:16" x14ac:dyDescent="0.3">
      <c r="A159" t="s">
        <v>450</v>
      </c>
      <c r="B159" t="s">
        <v>451</v>
      </c>
      <c r="C159" t="s">
        <v>428</v>
      </c>
      <c r="D159" t="s">
        <v>62</v>
      </c>
      <c r="E159" t="s">
        <v>81</v>
      </c>
      <c r="F159" t="s">
        <v>68</v>
      </c>
      <c r="G159">
        <v>48</v>
      </c>
      <c r="H159">
        <v>25.07</v>
      </c>
      <c r="I159">
        <v>1203.3599999999999</v>
      </c>
      <c r="J159">
        <v>29.93</v>
      </c>
      <c r="K159">
        <v>429.43</v>
      </c>
      <c r="L159" t="s">
        <v>33</v>
      </c>
      <c r="M159" t="s">
        <v>34</v>
      </c>
      <c r="N159" t="s">
        <v>98</v>
      </c>
      <c r="O159">
        <v>743.99999999999989</v>
      </c>
      <c r="P159" s="5">
        <f t="shared" si="2"/>
        <v>0.35685912777556178</v>
      </c>
    </row>
    <row r="160" spans="1:16" x14ac:dyDescent="0.3">
      <c r="A160" t="s">
        <v>452</v>
      </c>
      <c r="B160" t="s">
        <v>240</v>
      </c>
      <c r="C160" t="s">
        <v>44</v>
      </c>
      <c r="D160" t="s">
        <v>45</v>
      </c>
      <c r="E160" t="s">
        <v>32</v>
      </c>
      <c r="F160" t="s">
        <v>23</v>
      </c>
      <c r="G160">
        <v>31</v>
      </c>
      <c r="H160">
        <v>30.53</v>
      </c>
      <c r="I160">
        <v>946.43</v>
      </c>
      <c r="J160">
        <v>72.150000000000006</v>
      </c>
      <c r="K160">
        <v>316.27999999999997</v>
      </c>
      <c r="L160" t="s">
        <v>48</v>
      </c>
      <c r="M160" t="s">
        <v>34</v>
      </c>
      <c r="N160" t="s">
        <v>49</v>
      </c>
      <c r="O160">
        <v>558</v>
      </c>
      <c r="P160" s="5">
        <f t="shared" si="2"/>
        <v>0.33418213708356664</v>
      </c>
    </row>
    <row r="161" spans="1:16" x14ac:dyDescent="0.3">
      <c r="A161" t="s">
        <v>453</v>
      </c>
      <c r="B161" t="s">
        <v>454</v>
      </c>
      <c r="C161" t="s">
        <v>455</v>
      </c>
      <c r="D161" t="s">
        <v>141</v>
      </c>
      <c r="E161" t="s">
        <v>67</v>
      </c>
      <c r="F161" t="s">
        <v>68</v>
      </c>
      <c r="G161">
        <v>33</v>
      </c>
      <c r="H161">
        <v>31</v>
      </c>
      <c r="I161">
        <v>1023</v>
      </c>
      <c r="J161">
        <v>63.94</v>
      </c>
      <c r="K161">
        <v>216.56</v>
      </c>
      <c r="L161" t="s">
        <v>33</v>
      </c>
      <c r="M161" t="s">
        <v>25</v>
      </c>
      <c r="N161" t="s">
        <v>142</v>
      </c>
      <c r="O161">
        <v>742.5</v>
      </c>
      <c r="P161" s="5">
        <f t="shared" si="2"/>
        <v>0.21169110459433041</v>
      </c>
    </row>
    <row r="162" spans="1:16" x14ac:dyDescent="0.3">
      <c r="A162" t="s">
        <v>456</v>
      </c>
      <c r="B162" t="s">
        <v>457</v>
      </c>
      <c r="C162" t="s">
        <v>191</v>
      </c>
      <c r="D162" t="s">
        <v>31</v>
      </c>
      <c r="E162" t="s">
        <v>81</v>
      </c>
      <c r="F162" t="s">
        <v>68</v>
      </c>
      <c r="G162">
        <v>32</v>
      </c>
      <c r="H162">
        <v>20.86</v>
      </c>
      <c r="I162">
        <v>667.52</v>
      </c>
      <c r="J162">
        <v>21.62</v>
      </c>
      <c r="K162">
        <v>149.9</v>
      </c>
      <c r="L162" t="s">
        <v>48</v>
      </c>
      <c r="M162" t="s">
        <v>41</v>
      </c>
      <c r="N162" t="s">
        <v>35</v>
      </c>
      <c r="O162">
        <v>496</v>
      </c>
      <c r="P162" s="5">
        <f t="shared" si="2"/>
        <v>0.22456255992329818</v>
      </c>
    </row>
    <row r="163" spans="1:16" x14ac:dyDescent="0.3">
      <c r="A163" t="s">
        <v>458</v>
      </c>
      <c r="B163" t="s">
        <v>330</v>
      </c>
      <c r="C163" t="s">
        <v>222</v>
      </c>
      <c r="D163" t="s">
        <v>241</v>
      </c>
      <c r="E163" t="s">
        <v>63</v>
      </c>
      <c r="F163" t="s">
        <v>47</v>
      </c>
      <c r="G163">
        <v>18</v>
      </c>
      <c r="H163">
        <v>24.61</v>
      </c>
      <c r="I163">
        <v>442.98</v>
      </c>
      <c r="J163">
        <v>26.99</v>
      </c>
      <c r="K163">
        <v>55.99</v>
      </c>
      <c r="L163" t="s">
        <v>48</v>
      </c>
      <c r="M163" t="s">
        <v>25</v>
      </c>
      <c r="N163" t="s">
        <v>35</v>
      </c>
      <c r="O163">
        <v>360</v>
      </c>
      <c r="P163" s="5">
        <f t="shared" si="2"/>
        <v>0.12639396812497178</v>
      </c>
    </row>
    <row r="164" spans="1:16" x14ac:dyDescent="0.3">
      <c r="A164" t="s">
        <v>459</v>
      </c>
      <c r="B164" t="s">
        <v>460</v>
      </c>
      <c r="C164" t="s">
        <v>154</v>
      </c>
      <c r="D164" t="s">
        <v>116</v>
      </c>
      <c r="E164" t="s">
        <v>56</v>
      </c>
      <c r="F164" t="s">
        <v>57</v>
      </c>
      <c r="G164">
        <v>18</v>
      </c>
      <c r="H164">
        <v>64.83</v>
      </c>
      <c r="I164">
        <v>1166.94</v>
      </c>
      <c r="J164">
        <v>34.28</v>
      </c>
      <c r="K164">
        <v>412.66</v>
      </c>
      <c r="L164" t="s">
        <v>48</v>
      </c>
      <c r="M164" t="s">
        <v>25</v>
      </c>
      <c r="N164" t="s">
        <v>76</v>
      </c>
      <c r="O164">
        <v>720</v>
      </c>
      <c r="P164" s="5">
        <f t="shared" si="2"/>
        <v>0.35362572197370901</v>
      </c>
    </row>
    <row r="165" spans="1:16" x14ac:dyDescent="0.3">
      <c r="A165" t="s">
        <v>461</v>
      </c>
      <c r="B165" t="s">
        <v>133</v>
      </c>
      <c r="C165" t="s">
        <v>462</v>
      </c>
      <c r="D165" t="s">
        <v>62</v>
      </c>
      <c r="E165" t="s">
        <v>63</v>
      </c>
      <c r="F165" t="s">
        <v>47</v>
      </c>
      <c r="G165">
        <v>49</v>
      </c>
      <c r="H165">
        <v>29.52</v>
      </c>
      <c r="I165">
        <v>1446.48</v>
      </c>
      <c r="J165">
        <v>104.7</v>
      </c>
      <c r="K165">
        <v>361.78</v>
      </c>
      <c r="L165" t="s">
        <v>48</v>
      </c>
      <c r="M165" t="s">
        <v>41</v>
      </c>
      <c r="N165" t="s">
        <v>98</v>
      </c>
      <c r="O165">
        <v>980</v>
      </c>
      <c r="P165" s="5">
        <f t="shared" si="2"/>
        <v>0.25011061335103146</v>
      </c>
    </row>
    <row r="166" spans="1:16" x14ac:dyDescent="0.3">
      <c r="A166" t="s">
        <v>463</v>
      </c>
      <c r="B166" t="s">
        <v>464</v>
      </c>
      <c r="C166" t="s">
        <v>465</v>
      </c>
      <c r="D166" t="s">
        <v>141</v>
      </c>
      <c r="E166" t="s">
        <v>63</v>
      </c>
      <c r="F166" t="s">
        <v>47</v>
      </c>
      <c r="G166">
        <v>10</v>
      </c>
      <c r="H166">
        <v>26.73</v>
      </c>
      <c r="I166">
        <v>267.3</v>
      </c>
      <c r="J166">
        <v>10.210000000000001</v>
      </c>
      <c r="K166">
        <v>57.09</v>
      </c>
      <c r="L166" t="s">
        <v>48</v>
      </c>
      <c r="M166" t="s">
        <v>41</v>
      </c>
      <c r="N166" t="s">
        <v>142</v>
      </c>
      <c r="O166">
        <v>200</v>
      </c>
      <c r="P166" s="5">
        <f t="shared" si="2"/>
        <v>0.21358024691358024</v>
      </c>
    </row>
    <row r="167" spans="1:16" x14ac:dyDescent="0.3">
      <c r="A167" t="s">
        <v>466</v>
      </c>
      <c r="B167" t="s">
        <v>467</v>
      </c>
      <c r="C167" t="s">
        <v>85</v>
      </c>
      <c r="D167" t="s">
        <v>31</v>
      </c>
      <c r="E167" t="s">
        <v>46</v>
      </c>
      <c r="F167" t="s">
        <v>47</v>
      </c>
      <c r="G167">
        <v>10</v>
      </c>
      <c r="H167">
        <v>54.45</v>
      </c>
      <c r="I167">
        <v>544.5</v>
      </c>
      <c r="J167">
        <v>16.59</v>
      </c>
      <c r="K167">
        <v>207.91</v>
      </c>
      <c r="L167" t="s">
        <v>24</v>
      </c>
      <c r="M167" t="s">
        <v>25</v>
      </c>
      <c r="N167" t="s">
        <v>35</v>
      </c>
      <c r="O167">
        <v>320.00000000000006</v>
      </c>
      <c r="P167" s="5">
        <f t="shared" si="2"/>
        <v>0.38183654729109273</v>
      </c>
    </row>
    <row r="168" spans="1:16" x14ac:dyDescent="0.3">
      <c r="A168" t="s">
        <v>468</v>
      </c>
      <c r="B168" t="s">
        <v>469</v>
      </c>
      <c r="C168" t="s">
        <v>85</v>
      </c>
      <c r="D168" t="s">
        <v>70</v>
      </c>
      <c r="E168" t="s">
        <v>32</v>
      </c>
      <c r="F168" t="s">
        <v>23</v>
      </c>
      <c r="G168">
        <v>46</v>
      </c>
      <c r="H168">
        <v>30.06</v>
      </c>
      <c r="I168">
        <v>1382.76</v>
      </c>
      <c r="J168">
        <v>77.17</v>
      </c>
      <c r="K168">
        <v>477.59</v>
      </c>
      <c r="L168" t="s">
        <v>33</v>
      </c>
      <c r="M168" t="s">
        <v>34</v>
      </c>
      <c r="N168" t="s">
        <v>76</v>
      </c>
      <c r="O168">
        <v>828.00000000000011</v>
      </c>
      <c r="P168" s="5">
        <f t="shared" si="2"/>
        <v>0.34538893228036677</v>
      </c>
    </row>
    <row r="169" spans="1:16" x14ac:dyDescent="0.3">
      <c r="A169" t="s">
        <v>470</v>
      </c>
      <c r="B169" t="s">
        <v>118</v>
      </c>
      <c r="C169" t="s">
        <v>471</v>
      </c>
      <c r="D169" t="s">
        <v>62</v>
      </c>
      <c r="E169" t="s">
        <v>81</v>
      </c>
      <c r="F169" t="s">
        <v>68</v>
      </c>
      <c r="G169">
        <v>25</v>
      </c>
      <c r="H169">
        <v>21.52</v>
      </c>
      <c r="I169">
        <v>538</v>
      </c>
      <c r="J169">
        <v>26.73</v>
      </c>
      <c r="K169">
        <v>123.77</v>
      </c>
      <c r="L169" t="s">
        <v>33</v>
      </c>
      <c r="M169" t="s">
        <v>25</v>
      </c>
      <c r="N169" t="s">
        <v>98</v>
      </c>
      <c r="O169">
        <v>387.5</v>
      </c>
      <c r="P169" s="5">
        <f t="shared" si="2"/>
        <v>0.23005576208178438</v>
      </c>
    </row>
    <row r="170" spans="1:16" x14ac:dyDescent="0.3">
      <c r="A170" t="s">
        <v>472</v>
      </c>
      <c r="B170" t="s">
        <v>473</v>
      </c>
      <c r="C170" t="s">
        <v>334</v>
      </c>
      <c r="D170" t="s">
        <v>70</v>
      </c>
      <c r="E170" t="s">
        <v>32</v>
      </c>
      <c r="F170" t="s">
        <v>23</v>
      </c>
      <c r="G170">
        <v>5</v>
      </c>
      <c r="H170">
        <v>26.25</v>
      </c>
      <c r="I170">
        <v>131.25</v>
      </c>
      <c r="J170">
        <v>3.35</v>
      </c>
      <c r="K170">
        <v>37.9</v>
      </c>
      <c r="L170" t="s">
        <v>33</v>
      </c>
      <c r="M170" t="s">
        <v>34</v>
      </c>
      <c r="N170" t="s">
        <v>76</v>
      </c>
      <c r="O170">
        <v>90</v>
      </c>
      <c r="P170" s="5">
        <f t="shared" si="2"/>
        <v>0.28876190476190478</v>
      </c>
    </row>
    <row r="171" spans="1:16" x14ac:dyDescent="0.3">
      <c r="A171" t="s">
        <v>474</v>
      </c>
      <c r="B171" t="s">
        <v>281</v>
      </c>
      <c r="C171" t="s">
        <v>475</v>
      </c>
      <c r="D171" t="s">
        <v>31</v>
      </c>
      <c r="E171" t="s">
        <v>74</v>
      </c>
      <c r="F171" t="s">
        <v>75</v>
      </c>
      <c r="G171">
        <v>10</v>
      </c>
      <c r="H171">
        <v>31.48</v>
      </c>
      <c r="I171">
        <v>314.8</v>
      </c>
      <c r="J171">
        <v>10.23</v>
      </c>
      <c r="K171">
        <v>54.57</v>
      </c>
      <c r="L171" t="s">
        <v>48</v>
      </c>
      <c r="M171" t="s">
        <v>41</v>
      </c>
      <c r="N171" t="s">
        <v>35</v>
      </c>
      <c r="O171">
        <v>250.00000000000003</v>
      </c>
      <c r="P171" s="5">
        <f t="shared" si="2"/>
        <v>0.17334815756035576</v>
      </c>
    </row>
    <row r="172" spans="1:16" x14ac:dyDescent="0.3">
      <c r="A172" t="s">
        <v>476</v>
      </c>
      <c r="B172" t="s">
        <v>477</v>
      </c>
      <c r="C172" t="s">
        <v>177</v>
      </c>
      <c r="D172" t="s">
        <v>45</v>
      </c>
      <c r="E172" t="s">
        <v>63</v>
      </c>
      <c r="F172" t="s">
        <v>47</v>
      </c>
      <c r="G172">
        <v>21</v>
      </c>
      <c r="H172">
        <v>30.91</v>
      </c>
      <c r="I172">
        <v>649.11</v>
      </c>
      <c r="J172">
        <v>38.42</v>
      </c>
      <c r="K172">
        <v>190.69</v>
      </c>
      <c r="L172" t="s">
        <v>33</v>
      </c>
      <c r="M172" t="s">
        <v>41</v>
      </c>
      <c r="N172" t="s">
        <v>49</v>
      </c>
      <c r="O172">
        <v>420</v>
      </c>
      <c r="P172" s="5">
        <f t="shared" si="2"/>
        <v>0.29377147170741474</v>
      </c>
    </row>
    <row r="173" spans="1:16" x14ac:dyDescent="0.3">
      <c r="A173" t="s">
        <v>478</v>
      </c>
      <c r="B173" t="s">
        <v>479</v>
      </c>
      <c r="C173" t="s">
        <v>480</v>
      </c>
      <c r="D173" t="s">
        <v>116</v>
      </c>
      <c r="E173" t="s">
        <v>86</v>
      </c>
      <c r="F173" t="s">
        <v>47</v>
      </c>
      <c r="G173">
        <v>29</v>
      </c>
      <c r="H173">
        <v>18.47</v>
      </c>
      <c r="I173">
        <v>535.63</v>
      </c>
      <c r="J173">
        <v>13.21</v>
      </c>
      <c r="K173">
        <v>152.66999999999999</v>
      </c>
      <c r="L173" t="s">
        <v>24</v>
      </c>
      <c r="M173" t="s">
        <v>25</v>
      </c>
      <c r="N173" t="s">
        <v>76</v>
      </c>
      <c r="O173">
        <v>369.75000000000006</v>
      </c>
      <c r="P173" s="5">
        <f t="shared" si="2"/>
        <v>0.28502884453820732</v>
      </c>
    </row>
    <row r="174" spans="1:16" x14ac:dyDescent="0.3">
      <c r="A174" t="s">
        <v>481</v>
      </c>
      <c r="B174" t="s">
        <v>482</v>
      </c>
      <c r="C174" t="s">
        <v>185</v>
      </c>
      <c r="D174" t="s">
        <v>62</v>
      </c>
      <c r="E174" t="s">
        <v>22</v>
      </c>
      <c r="F174" t="s">
        <v>23</v>
      </c>
      <c r="G174">
        <v>36</v>
      </c>
      <c r="H174">
        <v>44.79</v>
      </c>
      <c r="I174">
        <v>1612.44</v>
      </c>
      <c r="J174">
        <v>68.599999999999994</v>
      </c>
      <c r="K174">
        <v>283.83999999999997</v>
      </c>
      <c r="L174" t="s">
        <v>48</v>
      </c>
      <c r="M174" t="s">
        <v>34</v>
      </c>
      <c r="N174" t="s">
        <v>98</v>
      </c>
      <c r="O174">
        <v>1260.0000000000002</v>
      </c>
      <c r="P174" s="5">
        <f t="shared" si="2"/>
        <v>0.1760313562055022</v>
      </c>
    </row>
    <row r="175" spans="1:16" x14ac:dyDescent="0.3">
      <c r="A175" t="s">
        <v>483</v>
      </c>
      <c r="B175" t="s">
        <v>484</v>
      </c>
      <c r="C175" t="s">
        <v>485</v>
      </c>
      <c r="D175" t="s">
        <v>45</v>
      </c>
      <c r="E175" t="s">
        <v>81</v>
      </c>
      <c r="F175" t="s">
        <v>68</v>
      </c>
      <c r="G175">
        <v>3</v>
      </c>
      <c r="H175">
        <v>18.86</v>
      </c>
      <c r="I175">
        <v>56.58</v>
      </c>
      <c r="J175">
        <v>2.61</v>
      </c>
      <c r="K175">
        <v>7.47</v>
      </c>
      <c r="L175" t="s">
        <v>33</v>
      </c>
      <c r="M175" t="s">
        <v>41</v>
      </c>
      <c r="N175" t="s">
        <v>49</v>
      </c>
      <c r="O175">
        <v>46.5</v>
      </c>
      <c r="P175" s="5">
        <f t="shared" si="2"/>
        <v>0.1320254506892895</v>
      </c>
    </row>
    <row r="176" spans="1:16" x14ac:dyDescent="0.3">
      <c r="A176" t="s">
        <v>486</v>
      </c>
      <c r="B176" t="s">
        <v>311</v>
      </c>
      <c r="C176" t="s">
        <v>66</v>
      </c>
      <c r="D176" t="s">
        <v>51</v>
      </c>
      <c r="E176" t="s">
        <v>137</v>
      </c>
      <c r="F176" t="s">
        <v>68</v>
      </c>
      <c r="G176">
        <v>10</v>
      </c>
      <c r="H176">
        <v>45.86</v>
      </c>
      <c r="I176">
        <v>458.6</v>
      </c>
      <c r="J176">
        <v>14.4</v>
      </c>
      <c r="K176">
        <v>164.2</v>
      </c>
      <c r="L176" t="s">
        <v>48</v>
      </c>
      <c r="M176" t="s">
        <v>25</v>
      </c>
      <c r="N176" t="s">
        <v>76</v>
      </c>
      <c r="O176">
        <v>280.00000000000006</v>
      </c>
      <c r="P176" s="5">
        <f t="shared" si="2"/>
        <v>0.35804622764936761</v>
      </c>
    </row>
    <row r="177" spans="1:16" x14ac:dyDescent="0.3">
      <c r="A177" t="s">
        <v>487</v>
      </c>
      <c r="B177" t="s">
        <v>488</v>
      </c>
      <c r="C177" t="s">
        <v>485</v>
      </c>
      <c r="D177" t="s">
        <v>37</v>
      </c>
      <c r="E177" t="s">
        <v>32</v>
      </c>
      <c r="F177" t="s">
        <v>23</v>
      </c>
      <c r="G177">
        <v>1</v>
      </c>
      <c r="H177">
        <v>24.64</v>
      </c>
      <c r="I177">
        <v>24.64</v>
      </c>
      <c r="J177">
        <v>0.65</v>
      </c>
      <c r="K177">
        <v>5.99</v>
      </c>
      <c r="L177" t="s">
        <v>48</v>
      </c>
      <c r="M177" t="s">
        <v>34</v>
      </c>
      <c r="N177" t="s">
        <v>35</v>
      </c>
      <c r="O177">
        <v>18</v>
      </c>
      <c r="P177" s="5">
        <f t="shared" si="2"/>
        <v>0.24310064935064934</v>
      </c>
    </row>
    <row r="178" spans="1:16" x14ac:dyDescent="0.3">
      <c r="A178" t="s">
        <v>489</v>
      </c>
      <c r="B178" t="s">
        <v>347</v>
      </c>
      <c r="C178" t="s">
        <v>246</v>
      </c>
      <c r="D178" t="s">
        <v>37</v>
      </c>
      <c r="E178" t="s">
        <v>81</v>
      </c>
      <c r="F178" t="s">
        <v>68</v>
      </c>
      <c r="G178">
        <v>49</v>
      </c>
      <c r="H178">
        <v>22.8</v>
      </c>
      <c r="I178">
        <v>1117.2</v>
      </c>
      <c r="J178">
        <v>51.06</v>
      </c>
      <c r="K178">
        <v>306.64</v>
      </c>
      <c r="L178" t="s">
        <v>24</v>
      </c>
      <c r="M178" t="s">
        <v>34</v>
      </c>
      <c r="N178" t="s">
        <v>35</v>
      </c>
      <c r="O178">
        <v>759.5</v>
      </c>
      <c r="P178" s="5">
        <f t="shared" si="2"/>
        <v>0.27447189402076616</v>
      </c>
    </row>
    <row r="179" spans="1:16" x14ac:dyDescent="0.3">
      <c r="A179" t="s">
        <v>490</v>
      </c>
      <c r="B179" t="s">
        <v>491</v>
      </c>
      <c r="C179" t="s">
        <v>307</v>
      </c>
      <c r="D179" t="s">
        <v>62</v>
      </c>
      <c r="E179" t="s">
        <v>22</v>
      </c>
      <c r="F179" t="s">
        <v>23</v>
      </c>
      <c r="G179">
        <v>32</v>
      </c>
      <c r="H179">
        <v>44.5</v>
      </c>
      <c r="I179">
        <v>1424</v>
      </c>
      <c r="J179">
        <v>43.92</v>
      </c>
      <c r="K179">
        <v>260.08</v>
      </c>
      <c r="L179" t="s">
        <v>48</v>
      </c>
      <c r="M179" t="s">
        <v>34</v>
      </c>
      <c r="N179" t="s">
        <v>98</v>
      </c>
      <c r="O179">
        <v>1120</v>
      </c>
      <c r="P179" s="5">
        <f t="shared" si="2"/>
        <v>0.18264044943820223</v>
      </c>
    </row>
    <row r="180" spans="1:16" x14ac:dyDescent="0.3">
      <c r="A180" t="s">
        <v>492</v>
      </c>
      <c r="B180" t="s">
        <v>493</v>
      </c>
      <c r="C180" t="s">
        <v>331</v>
      </c>
      <c r="D180" t="s">
        <v>45</v>
      </c>
      <c r="E180" t="s">
        <v>22</v>
      </c>
      <c r="F180" t="s">
        <v>23</v>
      </c>
      <c r="G180">
        <v>43</v>
      </c>
      <c r="H180">
        <v>55.74</v>
      </c>
      <c r="I180">
        <v>2396.8200000000002</v>
      </c>
      <c r="J180">
        <v>63.85</v>
      </c>
      <c r="K180">
        <v>827.97</v>
      </c>
      <c r="L180" t="s">
        <v>33</v>
      </c>
      <c r="M180" t="s">
        <v>41</v>
      </c>
      <c r="N180" t="s">
        <v>49</v>
      </c>
      <c r="O180">
        <v>1505.0000000000002</v>
      </c>
      <c r="P180" s="5">
        <f t="shared" si="2"/>
        <v>0.34544521490975544</v>
      </c>
    </row>
    <row r="181" spans="1:16" x14ac:dyDescent="0.3">
      <c r="A181" t="s">
        <v>494</v>
      </c>
      <c r="B181" t="s">
        <v>495</v>
      </c>
      <c r="C181" t="s">
        <v>170</v>
      </c>
      <c r="D181" t="s">
        <v>116</v>
      </c>
      <c r="E181" t="s">
        <v>81</v>
      </c>
      <c r="F181" t="s">
        <v>68</v>
      </c>
      <c r="G181">
        <v>19</v>
      </c>
      <c r="H181">
        <v>25.78</v>
      </c>
      <c r="I181">
        <v>489.82</v>
      </c>
      <c r="J181">
        <v>28.4</v>
      </c>
      <c r="K181">
        <v>166.92</v>
      </c>
      <c r="L181" t="s">
        <v>48</v>
      </c>
      <c r="M181" t="s">
        <v>34</v>
      </c>
      <c r="N181" t="s">
        <v>76</v>
      </c>
      <c r="O181">
        <v>294.5</v>
      </c>
      <c r="P181" s="5">
        <f t="shared" si="2"/>
        <v>0.3407782450696174</v>
      </c>
    </row>
    <row r="182" spans="1:16" x14ac:dyDescent="0.3">
      <c r="A182" t="s">
        <v>496</v>
      </c>
      <c r="B182" t="s">
        <v>497</v>
      </c>
      <c r="C182" t="s">
        <v>391</v>
      </c>
      <c r="D182" t="s">
        <v>62</v>
      </c>
      <c r="E182" t="s">
        <v>32</v>
      </c>
      <c r="F182" t="s">
        <v>23</v>
      </c>
      <c r="G182">
        <v>43</v>
      </c>
      <c r="H182">
        <v>30.43</v>
      </c>
      <c r="I182">
        <v>1308.49</v>
      </c>
      <c r="J182">
        <v>35.340000000000003</v>
      </c>
      <c r="K182">
        <v>499.15</v>
      </c>
      <c r="L182" t="s">
        <v>33</v>
      </c>
      <c r="M182" t="s">
        <v>34</v>
      </c>
      <c r="N182" t="s">
        <v>98</v>
      </c>
      <c r="O182">
        <v>774</v>
      </c>
      <c r="P182" s="5">
        <f t="shared" si="2"/>
        <v>0.38147024432743082</v>
      </c>
    </row>
    <row r="183" spans="1:16" x14ac:dyDescent="0.3">
      <c r="A183" t="s">
        <v>498</v>
      </c>
      <c r="B183" t="s">
        <v>454</v>
      </c>
      <c r="C183" t="s">
        <v>499</v>
      </c>
      <c r="D183" t="s">
        <v>171</v>
      </c>
      <c r="E183" t="s">
        <v>81</v>
      </c>
      <c r="F183" t="s">
        <v>68</v>
      </c>
      <c r="G183">
        <v>17</v>
      </c>
      <c r="H183">
        <v>18.71</v>
      </c>
      <c r="I183">
        <v>318.07</v>
      </c>
      <c r="J183">
        <v>22.03</v>
      </c>
      <c r="K183">
        <v>32.54</v>
      </c>
      <c r="L183" t="s">
        <v>48</v>
      </c>
      <c r="M183" t="s">
        <v>25</v>
      </c>
      <c r="N183" t="s">
        <v>35</v>
      </c>
      <c r="O183">
        <v>263.5</v>
      </c>
      <c r="P183" s="5">
        <f t="shared" si="2"/>
        <v>0.10230452416134814</v>
      </c>
    </row>
    <row r="184" spans="1:16" x14ac:dyDescent="0.3">
      <c r="A184" t="s">
        <v>500</v>
      </c>
      <c r="B184" t="s">
        <v>268</v>
      </c>
      <c r="C184" t="s">
        <v>54</v>
      </c>
      <c r="D184" t="s">
        <v>51</v>
      </c>
      <c r="E184" t="s">
        <v>81</v>
      </c>
      <c r="F184" t="s">
        <v>68</v>
      </c>
      <c r="G184">
        <v>44</v>
      </c>
      <c r="H184">
        <v>23.87</v>
      </c>
      <c r="I184">
        <v>1050.28</v>
      </c>
      <c r="J184">
        <v>33.51</v>
      </c>
      <c r="K184">
        <v>334.77</v>
      </c>
      <c r="L184" t="s">
        <v>24</v>
      </c>
      <c r="M184" t="s">
        <v>34</v>
      </c>
      <c r="N184" t="s">
        <v>76</v>
      </c>
      <c r="O184">
        <v>682</v>
      </c>
      <c r="P184" s="5">
        <f t="shared" si="2"/>
        <v>0.31874357314240009</v>
      </c>
    </row>
    <row r="185" spans="1:16" x14ac:dyDescent="0.3">
      <c r="A185" t="s">
        <v>501</v>
      </c>
      <c r="B185" t="s">
        <v>502</v>
      </c>
      <c r="C185" t="s">
        <v>194</v>
      </c>
      <c r="D185" t="s">
        <v>206</v>
      </c>
      <c r="E185" t="s">
        <v>46</v>
      </c>
      <c r="F185" t="s">
        <v>47</v>
      </c>
      <c r="G185">
        <v>12</v>
      </c>
      <c r="H185">
        <v>42.91</v>
      </c>
      <c r="I185">
        <v>514.91999999999996</v>
      </c>
      <c r="J185">
        <v>15.18</v>
      </c>
      <c r="K185">
        <v>115.74</v>
      </c>
      <c r="L185" t="s">
        <v>48</v>
      </c>
      <c r="M185" t="s">
        <v>41</v>
      </c>
      <c r="N185" t="s">
        <v>207</v>
      </c>
      <c r="O185">
        <v>383.99999999999994</v>
      </c>
      <c r="P185" s="5">
        <f t="shared" si="2"/>
        <v>0.22477278023770683</v>
      </c>
    </row>
    <row r="186" spans="1:16" x14ac:dyDescent="0.3">
      <c r="A186" t="s">
        <v>503</v>
      </c>
      <c r="B186" t="s">
        <v>504</v>
      </c>
      <c r="C186" t="s">
        <v>505</v>
      </c>
      <c r="D186" t="s">
        <v>70</v>
      </c>
      <c r="E186" t="s">
        <v>56</v>
      </c>
      <c r="F186" t="s">
        <v>57</v>
      </c>
      <c r="G186">
        <v>21</v>
      </c>
      <c r="H186">
        <v>50.49</v>
      </c>
      <c r="I186">
        <v>1060.29</v>
      </c>
      <c r="J186">
        <v>32.340000000000003</v>
      </c>
      <c r="K186">
        <v>187.95</v>
      </c>
      <c r="L186" t="s">
        <v>48</v>
      </c>
      <c r="M186" t="s">
        <v>25</v>
      </c>
      <c r="N186" t="s">
        <v>76</v>
      </c>
      <c r="O186">
        <v>839.99999999999989</v>
      </c>
      <c r="P186" s="5">
        <f t="shared" si="2"/>
        <v>0.17726282432164783</v>
      </c>
    </row>
    <row r="187" spans="1:16" x14ac:dyDescent="0.3">
      <c r="A187" t="s">
        <v>506</v>
      </c>
      <c r="B187" t="s">
        <v>454</v>
      </c>
      <c r="C187" t="s">
        <v>307</v>
      </c>
      <c r="D187" t="s">
        <v>37</v>
      </c>
      <c r="E187" t="s">
        <v>22</v>
      </c>
      <c r="F187" t="s">
        <v>23</v>
      </c>
      <c r="G187">
        <v>41</v>
      </c>
      <c r="H187">
        <v>43.18</v>
      </c>
      <c r="I187">
        <v>1770.38</v>
      </c>
      <c r="J187">
        <v>128.4</v>
      </c>
      <c r="K187">
        <v>206.98</v>
      </c>
      <c r="L187" t="s">
        <v>33</v>
      </c>
      <c r="M187" t="s">
        <v>41</v>
      </c>
      <c r="N187" t="s">
        <v>35</v>
      </c>
      <c r="O187">
        <v>1435</v>
      </c>
      <c r="P187" s="5">
        <f t="shared" si="2"/>
        <v>0.11691275319422947</v>
      </c>
    </row>
    <row r="188" spans="1:16" x14ac:dyDescent="0.3">
      <c r="A188" t="s">
        <v>507</v>
      </c>
      <c r="B188" t="s">
        <v>508</v>
      </c>
      <c r="C188" t="s">
        <v>162</v>
      </c>
      <c r="D188" t="s">
        <v>206</v>
      </c>
      <c r="E188" t="s">
        <v>86</v>
      </c>
      <c r="F188" t="s">
        <v>47</v>
      </c>
      <c r="G188">
        <v>37</v>
      </c>
      <c r="H188">
        <v>19.8</v>
      </c>
      <c r="I188">
        <v>732.6</v>
      </c>
      <c r="J188">
        <v>54.68</v>
      </c>
      <c r="K188">
        <v>206.17</v>
      </c>
      <c r="L188" t="s">
        <v>24</v>
      </c>
      <c r="M188" t="s">
        <v>34</v>
      </c>
      <c r="N188" t="s">
        <v>207</v>
      </c>
      <c r="O188">
        <v>471.75000000000006</v>
      </c>
      <c r="P188" s="5">
        <f t="shared" si="2"/>
        <v>0.28142233142233142</v>
      </c>
    </row>
    <row r="189" spans="1:16" x14ac:dyDescent="0.3">
      <c r="A189" t="s">
        <v>509</v>
      </c>
      <c r="B189" t="s">
        <v>510</v>
      </c>
      <c r="C189" t="s">
        <v>511</v>
      </c>
      <c r="D189" t="s">
        <v>62</v>
      </c>
      <c r="E189" t="s">
        <v>86</v>
      </c>
      <c r="F189" t="s">
        <v>47</v>
      </c>
      <c r="G189">
        <v>4</v>
      </c>
      <c r="H189">
        <v>18.059999999999999</v>
      </c>
      <c r="I189">
        <v>72.239999999999995</v>
      </c>
      <c r="J189">
        <v>4.66</v>
      </c>
      <c r="K189">
        <v>16.579999999999998</v>
      </c>
      <c r="L189" t="s">
        <v>24</v>
      </c>
      <c r="M189" t="s">
        <v>25</v>
      </c>
      <c r="N189" t="s">
        <v>98</v>
      </c>
      <c r="O189">
        <v>51</v>
      </c>
      <c r="P189" s="5">
        <f t="shared" si="2"/>
        <v>0.22951273532668881</v>
      </c>
    </row>
    <row r="190" spans="1:16" x14ac:dyDescent="0.3">
      <c r="A190" t="s">
        <v>512</v>
      </c>
      <c r="B190" t="s">
        <v>412</v>
      </c>
      <c r="C190" t="s">
        <v>391</v>
      </c>
      <c r="D190" t="s">
        <v>21</v>
      </c>
      <c r="E190" t="s">
        <v>22</v>
      </c>
      <c r="F190" t="s">
        <v>23</v>
      </c>
      <c r="G190">
        <v>40</v>
      </c>
      <c r="H190">
        <v>55.59</v>
      </c>
      <c r="I190">
        <v>2223.6</v>
      </c>
      <c r="J190">
        <v>74.569999999999993</v>
      </c>
      <c r="K190">
        <v>749.03</v>
      </c>
      <c r="L190" t="s">
        <v>24</v>
      </c>
      <c r="M190" t="s">
        <v>25</v>
      </c>
      <c r="N190" t="s">
        <v>98</v>
      </c>
      <c r="O190">
        <v>1400</v>
      </c>
      <c r="P190" s="5">
        <f t="shared" si="2"/>
        <v>0.3368546501169275</v>
      </c>
    </row>
    <row r="191" spans="1:16" x14ac:dyDescent="0.3">
      <c r="A191" t="s">
        <v>513</v>
      </c>
      <c r="B191" t="s">
        <v>327</v>
      </c>
      <c r="C191" t="s">
        <v>20</v>
      </c>
      <c r="D191" t="s">
        <v>127</v>
      </c>
      <c r="E191" t="s">
        <v>74</v>
      </c>
      <c r="F191" t="s">
        <v>75</v>
      </c>
      <c r="G191">
        <v>5</v>
      </c>
      <c r="H191">
        <v>31.58</v>
      </c>
      <c r="I191">
        <v>157.9</v>
      </c>
      <c r="J191">
        <v>3.73</v>
      </c>
      <c r="K191">
        <v>29.17</v>
      </c>
      <c r="L191" t="s">
        <v>24</v>
      </c>
      <c r="M191" t="s">
        <v>34</v>
      </c>
      <c r="N191" t="s">
        <v>76</v>
      </c>
      <c r="O191">
        <v>125.00000000000001</v>
      </c>
      <c r="P191" s="5">
        <f t="shared" si="2"/>
        <v>0.18473717542748574</v>
      </c>
    </row>
    <row r="192" spans="1:16" x14ac:dyDescent="0.3">
      <c r="A192" t="s">
        <v>514</v>
      </c>
      <c r="B192" t="s">
        <v>515</v>
      </c>
      <c r="C192" t="s">
        <v>188</v>
      </c>
      <c r="D192" t="s">
        <v>55</v>
      </c>
      <c r="E192" t="s">
        <v>32</v>
      </c>
      <c r="F192" t="s">
        <v>23</v>
      </c>
      <c r="G192">
        <v>50</v>
      </c>
      <c r="H192">
        <v>26.67</v>
      </c>
      <c r="I192">
        <v>1333.5</v>
      </c>
      <c r="J192">
        <v>80.150000000000006</v>
      </c>
      <c r="K192">
        <v>353.35</v>
      </c>
      <c r="L192" t="s">
        <v>48</v>
      </c>
      <c r="M192" t="s">
        <v>25</v>
      </c>
      <c r="N192" t="s">
        <v>98</v>
      </c>
      <c r="O192">
        <v>900</v>
      </c>
      <c r="P192" s="5">
        <f t="shared" si="2"/>
        <v>0.26497937757780277</v>
      </c>
    </row>
    <row r="193" spans="1:16" x14ac:dyDescent="0.3">
      <c r="A193" t="s">
        <v>516</v>
      </c>
      <c r="B193" t="s">
        <v>517</v>
      </c>
      <c r="C193" t="s">
        <v>352</v>
      </c>
      <c r="D193" t="s">
        <v>116</v>
      </c>
      <c r="E193" t="s">
        <v>81</v>
      </c>
      <c r="F193" t="s">
        <v>68</v>
      </c>
      <c r="G193">
        <v>17</v>
      </c>
      <c r="H193">
        <v>20.68</v>
      </c>
      <c r="I193">
        <v>351.56</v>
      </c>
      <c r="J193">
        <v>18.47</v>
      </c>
      <c r="K193">
        <v>69.59</v>
      </c>
      <c r="L193" t="s">
        <v>48</v>
      </c>
      <c r="M193" t="s">
        <v>34</v>
      </c>
      <c r="N193" t="s">
        <v>76</v>
      </c>
      <c r="O193">
        <v>263.5</v>
      </c>
      <c r="P193" s="5">
        <f t="shared" si="2"/>
        <v>0.19794629650699738</v>
      </c>
    </row>
    <row r="194" spans="1:16" x14ac:dyDescent="0.3">
      <c r="A194" t="s">
        <v>518</v>
      </c>
      <c r="B194" t="s">
        <v>259</v>
      </c>
      <c r="C194" t="s">
        <v>440</v>
      </c>
      <c r="D194" t="s">
        <v>141</v>
      </c>
      <c r="E194" t="s">
        <v>22</v>
      </c>
      <c r="F194" t="s">
        <v>23</v>
      </c>
      <c r="G194">
        <v>29</v>
      </c>
      <c r="H194">
        <v>55.19</v>
      </c>
      <c r="I194">
        <v>1600.51</v>
      </c>
      <c r="J194">
        <v>103.06</v>
      </c>
      <c r="K194">
        <v>482.45</v>
      </c>
      <c r="L194" t="s">
        <v>24</v>
      </c>
      <c r="M194" t="s">
        <v>41</v>
      </c>
      <c r="N194" t="s">
        <v>142</v>
      </c>
      <c r="O194">
        <v>1015</v>
      </c>
      <c r="P194" s="5">
        <f t="shared" si="2"/>
        <v>0.30143516754034649</v>
      </c>
    </row>
    <row r="195" spans="1:16" x14ac:dyDescent="0.3">
      <c r="A195" t="s">
        <v>519</v>
      </c>
      <c r="B195" t="s">
        <v>520</v>
      </c>
      <c r="C195" t="s">
        <v>521</v>
      </c>
      <c r="D195" t="s">
        <v>116</v>
      </c>
      <c r="E195" t="s">
        <v>22</v>
      </c>
      <c r="F195" t="s">
        <v>23</v>
      </c>
      <c r="G195">
        <v>34</v>
      </c>
      <c r="H195">
        <v>61.62</v>
      </c>
      <c r="I195">
        <v>2095.08</v>
      </c>
      <c r="J195">
        <v>80.13</v>
      </c>
      <c r="K195">
        <v>824.95</v>
      </c>
      <c r="L195" t="s">
        <v>33</v>
      </c>
      <c r="M195" t="s">
        <v>25</v>
      </c>
      <c r="N195" t="s">
        <v>76</v>
      </c>
      <c r="O195">
        <v>1190</v>
      </c>
      <c r="P195" s="5">
        <f t="shared" si="2"/>
        <v>0.39375584703209426</v>
      </c>
    </row>
    <row r="196" spans="1:16" x14ac:dyDescent="0.3">
      <c r="A196" t="s">
        <v>522</v>
      </c>
      <c r="B196" t="s">
        <v>306</v>
      </c>
      <c r="C196" t="s">
        <v>277</v>
      </c>
      <c r="D196" t="s">
        <v>62</v>
      </c>
      <c r="E196" t="s">
        <v>67</v>
      </c>
      <c r="F196" t="s">
        <v>68</v>
      </c>
      <c r="G196">
        <v>10</v>
      </c>
      <c r="H196">
        <v>40.03</v>
      </c>
      <c r="I196">
        <v>400.3</v>
      </c>
      <c r="J196">
        <v>25.8</v>
      </c>
      <c r="K196">
        <v>149.5</v>
      </c>
      <c r="L196" t="s">
        <v>48</v>
      </c>
      <c r="M196" t="s">
        <v>25</v>
      </c>
      <c r="N196" t="s">
        <v>98</v>
      </c>
      <c r="O196">
        <v>225</v>
      </c>
      <c r="P196" s="5">
        <f t="shared" si="2"/>
        <v>0.37346989757681737</v>
      </c>
    </row>
    <row r="197" spans="1:16" x14ac:dyDescent="0.3">
      <c r="A197" t="s">
        <v>523</v>
      </c>
      <c r="B197" t="s">
        <v>524</v>
      </c>
      <c r="C197" t="s">
        <v>134</v>
      </c>
      <c r="D197" t="s">
        <v>123</v>
      </c>
      <c r="E197" t="s">
        <v>63</v>
      </c>
      <c r="F197" t="s">
        <v>47</v>
      </c>
      <c r="G197">
        <v>23</v>
      </c>
      <c r="H197">
        <v>31.3</v>
      </c>
      <c r="I197">
        <v>719.9</v>
      </c>
      <c r="J197">
        <v>47.88</v>
      </c>
      <c r="K197">
        <v>212.02</v>
      </c>
      <c r="L197" t="s">
        <v>33</v>
      </c>
      <c r="M197" t="s">
        <v>34</v>
      </c>
      <c r="N197" t="s">
        <v>76</v>
      </c>
      <c r="O197">
        <v>460</v>
      </c>
      <c r="P197" s="5">
        <f t="shared" si="2"/>
        <v>0.29451312682316994</v>
      </c>
    </row>
    <row r="198" spans="1:16" x14ac:dyDescent="0.3">
      <c r="A198" t="s">
        <v>525</v>
      </c>
      <c r="B198" t="s">
        <v>105</v>
      </c>
      <c r="C198" t="s">
        <v>148</v>
      </c>
      <c r="D198" t="s">
        <v>62</v>
      </c>
      <c r="E198" t="s">
        <v>22</v>
      </c>
      <c r="F198" t="s">
        <v>23</v>
      </c>
      <c r="G198">
        <v>37</v>
      </c>
      <c r="H198">
        <v>50.39</v>
      </c>
      <c r="I198">
        <v>1864.43</v>
      </c>
      <c r="J198">
        <v>60.06</v>
      </c>
      <c r="K198">
        <v>509.37</v>
      </c>
      <c r="L198" t="s">
        <v>33</v>
      </c>
      <c r="M198" t="s">
        <v>34</v>
      </c>
      <c r="N198" t="s">
        <v>98</v>
      </c>
      <c r="O198">
        <v>1295</v>
      </c>
      <c r="P198" s="5">
        <f t="shared" si="2"/>
        <v>0.27320414282113031</v>
      </c>
    </row>
    <row r="199" spans="1:16" x14ac:dyDescent="0.3">
      <c r="A199" t="s">
        <v>526</v>
      </c>
      <c r="B199" t="s">
        <v>527</v>
      </c>
      <c r="C199" t="s">
        <v>442</v>
      </c>
      <c r="D199" t="s">
        <v>21</v>
      </c>
      <c r="E199" t="s">
        <v>86</v>
      </c>
      <c r="F199" t="s">
        <v>47</v>
      </c>
      <c r="G199">
        <v>38</v>
      </c>
      <c r="H199">
        <v>16.97</v>
      </c>
      <c r="I199">
        <v>644.86</v>
      </c>
      <c r="J199">
        <v>40</v>
      </c>
      <c r="K199">
        <v>120.36</v>
      </c>
      <c r="L199" t="s">
        <v>48</v>
      </c>
      <c r="M199" t="s">
        <v>25</v>
      </c>
      <c r="N199" t="s">
        <v>98</v>
      </c>
      <c r="O199">
        <v>484.5</v>
      </c>
      <c r="P199" s="5">
        <f t="shared" ref="P199:P262" si="3">K199/I199</f>
        <v>0.18664516329125702</v>
      </c>
    </row>
    <row r="200" spans="1:16" x14ac:dyDescent="0.3">
      <c r="A200" t="s">
        <v>528</v>
      </c>
      <c r="B200" t="s">
        <v>408</v>
      </c>
      <c r="C200" t="s">
        <v>328</v>
      </c>
      <c r="D200" t="s">
        <v>141</v>
      </c>
      <c r="E200" t="s">
        <v>63</v>
      </c>
      <c r="F200" t="s">
        <v>47</v>
      </c>
      <c r="G200">
        <v>2</v>
      </c>
      <c r="H200">
        <v>35.92</v>
      </c>
      <c r="I200">
        <v>71.84</v>
      </c>
      <c r="J200">
        <v>2.34</v>
      </c>
      <c r="K200">
        <v>29.5</v>
      </c>
      <c r="L200" t="s">
        <v>48</v>
      </c>
      <c r="M200" t="s">
        <v>34</v>
      </c>
      <c r="N200" t="s">
        <v>142</v>
      </c>
      <c r="O200">
        <v>40</v>
      </c>
      <c r="P200" s="5">
        <f t="shared" si="3"/>
        <v>0.41063474387527837</v>
      </c>
    </row>
    <row r="201" spans="1:16" x14ac:dyDescent="0.3">
      <c r="A201" t="s">
        <v>529</v>
      </c>
      <c r="B201" t="s">
        <v>530</v>
      </c>
      <c r="C201" t="s">
        <v>85</v>
      </c>
      <c r="D201" t="s">
        <v>45</v>
      </c>
      <c r="E201" t="s">
        <v>63</v>
      </c>
      <c r="F201" t="s">
        <v>47</v>
      </c>
      <c r="G201">
        <v>48</v>
      </c>
      <c r="H201">
        <v>31.87</v>
      </c>
      <c r="I201">
        <v>1529.76</v>
      </c>
      <c r="J201">
        <v>89.85</v>
      </c>
      <c r="K201">
        <v>479.91</v>
      </c>
      <c r="L201" t="s">
        <v>48</v>
      </c>
      <c r="M201" t="s">
        <v>25</v>
      </c>
      <c r="N201" t="s">
        <v>49</v>
      </c>
      <c r="O201">
        <v>959.99999999999977</v>
      </c>
      <c r="P201" s="5">
        <f t="shared" si="3"/>
        <v>0.31371587700031378</v>
      </c>
    </row>
    <row r="202" spans="1:16" x14ac:dyDescent="0.3">
      <c r="A202" t="s">
        <v>531</v>
      </c>
      <c r="B202" t="s">
        <v>532</v>
      </c>
      <c r="C202" t="s">
        <v>352</v>
      </c>
      <c r="D202" t="s">
        <v>206</v>
      </c>
      <c r="E202" t="s">
        <v>56</v>
      </c>
      <c r="F202" t="s">
        <v>57</v>
      </c>
      <c r="G202">
        <v>46</v>
      </c>
      <c r="H202">
        <v>70</v>
      </c>
      <c r="I202">
        <v>3220</v>
      </c>
      <c r="J202">
        <v>160.11000000000001</v>
      </c>
      <c r="K202">
        <v>1219.8900000000001</v>
      </c>
      <c r="L202" t="s">
        <v>33</v>
      </c>
      <c r="M202" t="s">
        <v>34</v>
      </c>
      <c r="N202" t="s">
        <v>207</v>
      </c>
      <c r="O202">
        <v>1840</v>
      </c>
      <c r="P202" s="5">
        <f t="shared" si="3"/>
        <v>0.37884782608695655</v>
      </c>
    </row>
    <row r="203" spans="1:16" x14ac:dyDescent="0.3">
      <c r="A203" t="s">
        <v>533</v>
      </c>
      <c r="B203" t="s">
        <v>534</v>
      </c>
      <c r="C203" t="s">
        <v>480</v>
      </c>
      <c r="D203" t="s">
        <v>116</v>
      </c>
      <c r="E203" t="s">
        <v>22</v>
      </c>
      <c r="F203" t="s">
        <v>23</v>
      </c>
      <c r="G203">
        <v>45</v>
      </c>
      <c r="H203">
        <v>57.7</v>
      </c>
      <c r="I203">
        <v>2596.5</v>
      </c>
      <c r="J203">
        <v>102.52</v>
      </c>
      <c r="K203">
        <v>918.98</v>
      </c>
      <c r="L203" t="s">
        <v>33</v>
      </c>
      <c r="M203" t="s">
        <v>25</v>
      </c>
      <c r="N203" t="s">
        <v>76</v>
      </c>
      <c r="O203">
        <v>1575</v>
      </c>
      <c r="P203" s="5">
        <f t="shared" si="3"/>
        <v>0.35393029077604471</v>
      </c>
    </row>
    <row r="204" spans="1:16" x14ac:dyDescent="0.3">
      <c r="A204" t="s">
        <v>535</v>
      </c>
      <c r="B204" t="s">
        <v>536</v>
      </c>
      <c r="C204" t="s">
        <v>191</v>
      </c>
      <c r="D204" t="s">
        <v>127</v>
      </c>
      <c r="E204" t="s">
        <v>86</v>
      </c>
      <c r="F204" t="s">
        <v>47</v>
      </c>
      <c r="G204">
        <v>23</v>
      </c>
      <c r="H204">
        <v>20.23</v>
      </c>
      <c r="I204">
        <v>465.29</v>
      </c>
      <c r="J204">
        <v>17.29</v>
      </c>
      <c r="K204">
        <v>154.75</v>
      </c>
      <c r="L204" t="s">
        <v>48</v>
      </c>
      <c r="M204" t="s">
        <v>25</v>
      </c>
      <c r="N204" t="s">
        <v>76</v>
      </c>
      <c r="O204">
        <v>293.25</v>
      </c>
      <c r="P204" s="5">
        <f t="shared" si="3"/>
        <v>0.33258827827806314</v>
      </c>
    </row>
    <row r="205" spans="1:16" x14ac:dyDescent="0.3">
      <c r="A205" t="s">
        <v>537</v>
      </c>
      <c r="B205" t="s">
        <v>224</v>
      </c>
      <c r="C205" t="s">
        <v>194</v>
      </c>
      <c r="D205" t="s">
        <v>37</v>
      </c>
      <c r="E205" t="s">
        <v>32</v>
      </c>
      <c r="F205" t="s">
        <v>23</v>
      </c>
      <c r="G205">
        <v>10</v>
      </c>
      <c r="H205">
        <v>22.96</v>
      </c>
      <c r="I205">
        <v>229.6</v>
      </c>
      <c r="J205">
        <v>18.260000000000002</v>
      </c>
      <c r="K205">
        <v>31.34</v>
      </c>
      <c r="L205" t="s">
        <v>24</v>
      </c>
      <c r="M205" t="s">
        <v>41</v>
      </c>
      <c r="N205" t="s">
        <v>35</v>
      </c>
      <c r="O205">
        <v>180</v>
      </c>
      <c r="P205" s="5">
        <f t="shared" si="3"/>
        <v>0.13649825783972125</v>
      </c>
    </row>
    <row r="206" spans="1:16" x14ac:dyDescent="0.3">
      <c r="A206" t="s">
        <v>538</v>
      </c>
      <c r="B206" t="s">
        <v>493</v>
      </c>
      <c r="C206" t="s">
        <v>539</v>
      </c>
      <c r="D206" t="s">
        <v>45</v>
      </c>
      <c r="E206" t="s">
        <v>22</v>
      </c>
      <c r="F206" t="s">
        <v>23</v>
      </c>
      <c r="G206">
        <v>40</v>
      </c>
      <c r="H206">
        <v>54.84</v>
      </c>
      <c r="I206">
        <v>2193.6</v>
      </c>
      <c r="J206">
        <v>89.26</v>
      </c>
      <c r="K206">
        <v>704.34</v>
      </c>
      <c r="L206" t="s">
        <v>33</v>
      </c>
      <c r="M206" t="s">
        <v>25</v>
      </c>
      <c r="N206" t="s">
        <v>49</v>
      </c>
      <c r="O206">
        <v>1399.9999999999998</v>
      </c>
      <c r="P206" s="5">
        <f t="shared" si="3"/>
        <v>0.32108862144420136</v>
      </c>
    </row>
    <row r="207" spans="1:16" x14ac:dyDescent="0.3">
      <c r="A207" t="s">
        <v>540</v>
      </c>
      <c r="B207" t="s">
        <v>541</v>
      </c>
      <c r="C207" t="s">
        <v>266</v>
      </c>
      <c r="D207" t="s">
        <v>116</v>
      </c>
      <c r="E207" t="s">
        <v>74</v>
      </c>
      <c r="F207" t="s">
        <v>75</v>
      </c>
      <c r="G207">
        <v>7</v>
      </c>
      <c r="H207">
        <v>36.43</v>
      </c>
      <c r="I207">
        <v>255.01</v>
      </c>
      <c r="J207">
        <v>6.3</v>
      </c>
      <c r="K207">
        <v>73.709999999999994</v>
      </c>
      <c r="L207" t="s">
        <v>24</v>
      </c>
      <c r="M207" t="s">
        <v>34</v>
      </c>
      <c r="N207" t="s">
        <v>76</v>
      </c>
      <c r="O207">
        <v>175</v>
      </c>
      <c r="P207" s="5">
        <f t="shared" si="3"/>
        <v>0.28904748833379079</v>
      </c>
    </row>
    <row r="208" spans="1:16" x14ac:dyDescent="0.3">
      <c r="A208" t="s">
        <v>542</v>
      </c>
      <c r="B208" t="s">
        <v>543</v>
      </c>
      <c r="C208" t="s">
        <v>328</v>
      </c>
      <c r="D208" t="s">
        <v>62</v>
      </c>
      <c r="E208" t="s">
        <v>86</v>
      </c>
      <c r="F208" t="s">
        <v>47</v>
      </c>
      <c r="G208">
        <v>39</v>
      </c>
      <c r="H208">
        <v>19.48</v>
      </c>
      <c r="I208">
        <v>759.72</v>
      </c>
      <c r="J208">
        <v>40.090000000000003</v>
      </c>
      <c r="K208">
        <v>222.38</v>
      </c>
      <c r="L208" t="s">
        <v>48</v>
      </c>
      <c r="M208" t="s">
        <v>34</v>
      </c>
      <c r="N208" t="s">
        <v>98</v>
      </c>
      <c r="O208">
        <v>497.25</v>
      </c>
      <c r="P208" s="5">
        <f t="shared" si="3"/>
        <v>0.29271310482809454</v>
      </c>
    </row>
    <row r="209" spans="1:16" x14ac:dyDescent="0.3">
      <c r="A209" t="s">
        <v>544</v>
      </c>
      <c r="B209" t="s">
        <v>444</v>
      </c>
      <c r="C209" t="s">
        <v>428</v>
      </c>
      <c r="D209" t="s">
        <v>141</v>
      </c>
      <c r="E209" t="s">
        <v>67</v>
      </c>
      <c r="F209" t="s">
        <v>68</v>
      </c>
      <c r="G209">
        <v>35</v>
      </c>
      <c r="H209">
        <v>38.83</v>
      </c>
      <c r="I209">
        <v>1359.05</v>
      </c>
      <c r="J209">
        <v>93.92</v>
      </c>
      <c r="K209">
        <v>477.63</v>
      </c>
      <c r="L209" t="s">
        <v>48</v>
      </c>
      <c r="M209" t="s">
        <v>34</v>
      </c>
      <c r="N209" t="s">
        <v>142</v>
      </c>
      <c r="O209">
        <v>787.5</v>
      </c>
      <c r="P209" s="5">
        <f t="shared" si="3"/>
        <v>0.35144402339869762</v>
      </c>
    </row>
    <row r="210" spans="1:16" x14ac:dyDescent="0.3">
      <c r="A210" t="s">
        <v>545</v>
      </c>
      <c r="B210" t="s">
        <v>404</v>
      </c>
      <c r="C210" t="s">
        <v>232</v>
      </c>
      <c r="D210" t="s">
        <v>51</v>
      </c>
      <c r="E210" t="s">
        <v>63</v>
      </c>
      <c r="F210" t="s">
        <v>47</v>
      </c>
      <c r="G210">
        <v>39</v>
      </c>
      <c r="H210">
        <v>32.76</v>
      </c>
      <c r="I210">
        <v>1277.6400000000001</v>
      </c>
      <c r="J210">
        <v>35.81</v>
      </c>
      <c r="K210">
        <v>461.83</v>
      </c>
      <c r="L210" t="s">
        <v>33</v>
      </c>
      <c r="M210" t="s">
        <v>41</v>
      </c>
      <c r="N210" t="s">
        <v>76</v>
      </c>
      <c r="O210">
        <v>780.00000000000023</v>
      </c>
      <c r="P210" s="5">
        <f t="shared" si="3"/>
        <v>0.36147114993268836</v>
      </c>
    </row>
    <row r="211" spans="1:16" x14ac:dyDescent="0.3">
      <c r="A211" t="s">
        <v>546</v>
      </c>
      <c r="B211" t="s">
        <v>547</v>
      </c>
      <c r="C211" t="s">
        <v>301</v>
      </c>
      <c r="D211" t="s">
        <v>21</v>
      </c>
      <c r="E211" t="s">
        <v>46</v>
      </c>
      <c r="F211" t="s">
        <v>47</v>
      </c>
      <c r="G211">
        <v>8</v>
      </c>
      <c r="H211">
        <v>39.869999999999997</v>
      </c>
      <c r="I211">
        <v>318.95999999999998</v>
      </c>
      <c r="J211">
        <v>15.95</v>
      </c>
      <c r="K211">
        <v>47.01</v>
      </c>
      <c r="L211" t="s">
        <v>48</v>
      </c>
      <c r="M211" t="s">
        <v>41</v>
      </c>
      <c r="N211" t="s">
        <v>98</v>
      </c>
      <c r="O211">
        <v>256</v>
      </c>
      <c r="P211" s="5">
        <f t="shared" si="3"/>
        <v>0.14738525206922498</v>
      </c>
    </row>
    <row r="212" spans="1:16" x14ac:dyDescent="0.3">
      <c r="A212" t="s">
        <v>548</v>
      </c>
      <c r="B212" t="s">
        <v>153</v>
      </c>
      <c r="C212" t="s">
        <v>417</v>
      </c>
      <c r="D212" t="s">
        <v>123</v>
      </c>
      <c r="E212" t="s">
        <v>56</v>
      </c>
      <c r="F212" t="s">
        <v>57</v>
      </c>
      <c r="G212">
        <v>10</v>
      </c>
      <c r="H212">
        <v>63.1</v>
      </c>
      <c r="I212">
        <v>631</v>
      </c>
      <c r="J212">
        <v>26.93</v>
      </c>
      <c r="K212">
        <v>204.07</v>
      </c>
      <c r="L212" t="s">
        <v>33</v>
      </c>
      <c r="M212" t="s">
        <v>34</v>
      </c>
      <c r="N212" t="s">
        <v>76</v>
      </c>
      <c r="O212">
        <v>400</v>
      </c>
      <c r="P212" s="5">
        <f t="shared" si="3"/>
        <v>0.32340729001584784</v>
      </c>
    </row>
    <row r="213" spans="1:16" x14ac:dyDescent="0.3">
      <c r="A213" t="s">
        <v>549</v>
      </c>
      <c r="B213" t="s">
        <v>550</v>
      </c>
      <c r="C213" t="s">
        <v>162</v>
      </c>
      <c r="D213" t="s">
        <v>241</v>
      </c>
      <c r="E213" t="s">
        <v>46</v>
      </c>
      <c r="F213" t="s">
        <v>47</v>
      </c>
      <c r="G213">
        <v>3</v>
      </c>
      <c r="H213">
        <v>55.1</v>
      </c>
      <c r="I213">
        <v>165.3</v>
      </c>
      <c r="J213">
        <v>9.17</v>
      </c>
      <c r="K213">
        <v>60.13</v>
      </c>
      <c r="L213" t="s">
        <v>24</v>
      </c>
      <c r="M213" t="s">
        <v>25</v>
      </c>
      <c r="N213" t="s">
        <v>35</v>
      </c>
      <c r="O213">
        <v>96.000000000000028</v>
      </c>
      <c r="P213" s="5">
        <f t="shared" si="3"/>
        <v>0.36376285541439807</v>
      </c>
    </row>
    <row r="214" spans="1:16" x14ac:dyDescent="0.3">
      <c r="A214" t="s">
        <v>551</v>
      </c>
      <c r="B214" t="s">
        <v>552</v>
      </c>
      <c r="C214" t="s">
        <v>119</v>
      </c>
      <c r="D214" t="s">
        <v>70</v>
      </c>
      <c r="E214" t="s">
        <v>81</v>
      </c>
      <c r="F214" t="s">
        <v>68</v>
      </c>
      <c r="G214">
        <v>26</v>
      </c>
      <c r="H214">
        <v>19.809999999999999</v>
      </c>
      <c r="I214">
        <v>515.05999999999995</v>
      </c>
      <c r="J214">
        <v>10.3</v>
      </c>
      <c r="K214">
        <v>101.76</v>
      </c>
      <c r="L214" t="s">
        <v>48</v>
      </c>
      <c r="M214" t="s">
        <v>34</v>
      </c>
      <c r="N214" t="s">
        <v>76</v>
      </c>
      <c r="O214">
        <v>402.99999999999994</v>
      </c>
      <c r="P214" s="5">
        <f t="shared" si="3"/>
        <v>0.19756921523705978</v>
      </c>
    </row>
    <row r="215" spans="1:16" x14ac:dyDescent="0.3">
      <c r="A215" t="s">
        <v>553</v>
      </c>
      <c r="B215" t="s">
        <v>554</v>
      </c>
      <c r="C215" t="s">
        <v>174</v>
      </c>
      <c r="D215" t="s">
        <v>123</v>
      </c>
      <c r="E215" t="s">
        <v>56</v>
      </c>
      <c r="F215" t="s">
        <v>57</v>
      </c>
      <c r="G215">
        <v>17</v>
      </c>
      <c r="H215">
        <v>53.34</v>
      </c>
      <c r="I215">
        <v>906.78</v>
      </c>
      <c r="J215">
        <v>30.6</v>
      </c>
      <c r="K215">
        <v>196.18</v>
      </c>
      <c r="L215" t="s">
        <v>24</v>
      </c>
      <c r="M215" t="s">
        <v>34</v>
      </c>
      <c r="N215" t="s">
        <v>76</v>
      </c>
      <c r="O215">
        <v>679.99999999999989</v>
      </c>
      <c r="P215" s="5">
        <f t="shared" si="3"/>
        <v>0.21634795650543684</v>
      </c>
    </row>
    <row r="216" spans="1:16" x14ac:dyDescent="0.3">
      <c r="A216" t="s">
        <v>555</v>
      </c>
      <c r="B216" t="s">
        <v>556</v>
      </c>
      <c r="C216" t="s">
        <v>151</v>
      </c>
      <c r="D216" t="s">
        <v>51</v>
      </c>
      <c r="E216" t="s">
        <v>63</v>
      </c>
      <c r="F216" t="s">
        <v>47</v>
      </c>
      <c r="G216">
        <v>17</v>
      </c>
      <c r="H216">
        <v>28.23</v>
      </c>
      <c r="I216">
        <v>479.91</v>
      </c>
      <c r="J216">
        <v>31.88</v>
      </c>
      <c r="K216">
        <v>108.03</v>
      </c>
      <c r="L216" t="s">
        <v>33</v>
      </c>
      <c r="M216" t="s">
        <v>25</v>
      </c>
      <c r="N216" t="s">
        <v>76</v>
      </c>
      <c r="O216">
        <v>340</v>
      </c>
      <c r="P216" s="5">
        <f t="shared" si="3"/>
        <v>0.22510470713258734</v>
      </c>
    </row>
    <row r="217" spans="1:16" x14ac:dyDescent="0.3">
      <c r="A217" t="s">
        <v>557</v>
      </c>
      <c r="B217" t="s">
        <v>558</v>
      </c>
      <c r="C217" t="s">
        <v>559</v>
      </c>
      <c r="D217" t="s">
        <v>241</v>
      </c>
      <c r="E217" t="s">
        <v>32</v>
      </c>
      <c r="F217" t="s">
        <v>23</v>
      </c>
      <c r="G217">
        <v>42</v>
      </c>
      <c r="H217">
        <v>25.26</v>
      </c>
      <c r="I217">
        <v>1060.92</v>
      </c>
      <c r="J217">
        <v>77.05</v>
      </c>
      <c r="K217">
        <v>227.87</v>
      </c>
      <c r="L217" t="s">
        <v>24</v>
      </c>
      <c r="M217" t="s">
        <v>41</v>
      </c>
      <c r="N217" t="s">
        <v>35</v>
      </c>
      <c r="O217">
        <v>756.00000000000011</v>
      </c>
      <c r="P217" s="5">
        <f t="shared" si="3"/>
        <v>0.21478528069976999</v>
      </c>
    </row>
    <row r="218" spans="1:16" x14ac:dyDescent="0.3">
      <c r="A218" t="s">
        <v>560</v>
      </c>
      <c r="B218" t="s">
        <v>561</v>
      </c>
      <c r="C218" t="s">
        <v>238</v>
      </c>
      <c r="D218" t="s">
        <v>70</v>
      </c>
      <c r="E218" t="s">
        <v>32</v>
      </c>
      <c r="F218" t="s">
        <v>23</v>
      </c>
      <c r="G218">
        <v>2</v>
      </c>
      <c r="H218">
        <v>27.27</v>
      </c>
      <c r="I218">
        <v>54.54</v>
      </c>
      <c r="J218">
        <v>1.45</v>
      </c>
      <c r="K218">
        <v>17.09</v>
      </c>
      <c r="L218" t="s">
        <v>24</v>
      </c>
      <c r="M218" t="s">
        <v>41</v>
      </c>
      <c r="N218" t="s">
        <v>76</v>
      </c>
      <c r="O218">
        <v>36</v>
      </c>
      <c r="P218" s="5">
        <f t="shared" si="3"/>
        <v>0.31334800146681335</v>
      </c>
    </row>
    <row r="219" spans="1:16" x14ac:dyDescent="0.3">
      <c r="A219" t="s">
        <v>562</v>
      </c>
      <c r="B219" t="s">
        <v>563</v>
      </c>
      <c r="C219" t="s">
        <v>369</v>
      </c>
      <c r="D219" t="s">
        <v>123</v>
      </c>
      <c r="E219" t="s">
        <v>137</v>
      </c>
      <c r="F219" t="s">
        <v>68</v>
      </c>
      <c r="G219">
        <v>48</v>
      </c>
      <c r="H219">
        <v>44.95</v>
      </c>
      <c r="I219">
        <v>2157.6</v>
      </c>
      <c r="J219">
        <v>148.41</v>
      </c>
      <c r="K219">
        <v>665.19</v>
      </c>
      <c r="L219" t="s">
        <v>24</v>
      </c>
      <c r="M219" t="s">
        <v>25</v>
      </c>
      <c r="N219" t="s">
        <v>76</v>
      </c>
      <c r="O219">
        <v>1343.9999999999998</v>
      </c>
      <c r="P219" s="5">
        <f t="shared" si="3"/>
        <v>0.30830088987764187</v>
      </c>
    </row>
    <row r="220" spans="1:16" x14ac:dyDescent="0.3">
      <c r="A220" t="s">
        <v>564</v>
      </c>
      <c r="B220" t="s">
        <v>400</v>
      </c>
      <c r="C220" t="s">
        <v>559</v>
      </c>
      <c r="D220" t="s">
        <v>116</v>
      </c>
      <c r="E220" t="s">
        <v>63</v>
      </c>
      <c r="F220" t="s">
        <v>47</v>
      </c>
      <c r="G220">
        <v>23</v>
      </c>
      <c r="H220">
        <v>28.6</v>
      </c>
      <c r="I220">
        <v>657.8</v>
      </c>
      <c r="J220">
        <v>13.36</v>
      </c>
      <c r="K220">
        <v>184.44</v>
      </c>
      <c r="L220" t="s">
        <v>24</v>
      </c>
      <c r="M220" t="s">
        <v>41</v>
      </c>
      <c r="N220" t="s">
        <v>76</v>
      </c>
      <c r="O220">
        <v>459.99999999999994</v>
      </c>
      <c r="P220" s="5">
        <f t="shared" si="3"/>
        <v>0.28038917604135</v>
      </c>
    </row>
    <row r="221" spans="1:16" x14ac:dyDescent="0.3">
      <c r="A221" t="s">
        <v>565</v>
      </c>
      <c r="B221" t="s">
        <v>309</v>
      </c>
      <c r="C221" t="s">
        <v>174</v>
      </c>
      <c r="D221" t="s">
        <v>171</v>
      </c>
      <c r="E221" t="s">
        <v>81</v>
      </c>
      <c r="F221" t="s">
        <v>68</v>
      </c>
      <c r="G221">
        <v>18</v>
      </c>
      <c r="H221">
        <v>26.1</v>
      </c>
      <c r="I221">
        <v>469.8</v>
      </c>
      <c r="J221">
        <v>19.52</v>
      </c>
      <c r="K221">
        <v>171.28</v>
      </c>
      <c r="L221" t="s">
        <v>48</v>
      </c>
      <c r="M221" t="s">
        <v>25</v>
      </c>
      <c r="N221" t="s">
        <v>35</v>
      </c>
      <c r="O221">
        <v>279</v>
      </c>
      <c r="P221" s="5">
        <f t="shared" si="3"/>
        <v>0.36458067262664962</v>
      </c>
    </row>
    <row r="222" spans="1:16" x14ac:dyDescent="0.3">
      <c r="A222" t="s">
        <v>566</v>
      </c>
      <c r="B222" t="s">
        <v>567</v>
      </c>
      <c r="C222" t="s">
        <v>568</v>
      </c>
      <c r="D222" t="s">
        <v>62</v>
      </c>
      <c r="E222" t="s">
        <v>137</v>
      </c>
      <c r="F222" t="s">
        <v>68</v>
      </c>
      <c r="G222">
        <v>21</v>
      </c>
      <c r="H222">
        <v>37.450000000000003</v>
      </c>
      <c r="I222">
        <v>786.45</v>
      </c>
      <c r="J222">
        <v>62.4</v>
      </c>
      <c r="K222">
        <v>136.05000000000001</v>
      </c>
      <c r="L222" t="s">
        <v>24</v>
      </c>
      <c r="M222" t="s">
        <v>41</v>
      </c>
      <c r="N222" t="s">
        <v>98</v>
      </c>
      <c r="O222">
        <v>588.00000000000011</v>
      </c>
      <c r="P222" s="5">
        <f t="shared" si="3"/>
        <v>0.17299256151058554</v>
      </c>
    </row>
    <row r="223" spans="1:16" x14ac:dyDescent="0.3">
      <c r="A223" t="s">
        <v>569</v>
      </c>
      <c r="B223" t="s">
        <v>570</v>
      </c>
      <c r="C223" t="s">
        <v>511</v>
      </c>
      <c r="D223" t="s">
        <v>116</v>
      </c>
      <c r="E223" t="s">
        <v>63</v>
      </c>
      <c r="F223" t="s">
        <v>47</v>
      </c>
      <c r="G223">
        <v>25</v>
      </c>
      <c r="H223">
        <v>28.54</v>
      </c>
      <c r="I223">
        <v>713.5</v>
      </c>
      <c r="J223">
        <v>50.38</v>
      </c>
      <c r="K223">
        <v>163.12</v>
      </c>
      <c r="L223" t="s">
        <v>24</v>
      </c>
      <c r="M223" t="s">
        <v>25</v>
      </c>
      <c r="N223" t="s">
        <v>76</v>
      </c>
      <c r="O223">
        <v>500</v>
      </c>
      <c r="P223" s="5">
        <f t="shared" si="3"/>
        <v>0.22861948142957253</v>
      </c>
    </row>
    <row r="224" spans="1:16" x14ac:dyDescent="0.3">
      <c r="A224" t="s">
        <v>571</v>
      </c>
      <c r="B224" t="s">
        <v>303</v>
      </c>
      <c r="C224" t="s">
        <v>182</v>
      </c>
      <c r="D224" t="s">
        <v>21</v>
      </c>
      <c r="E224" t="s">
        <v>74</v>
      </c>
      <c r="F224" t="s">
        <v>75</v>
      </c>
      <c r="G224">
        <v>11</v>
      </c>
      <c r="H224">
        <v>38.07</v>
      </c>
      <c r="I224">
        <v>418.77</v>
      </c>
      <c r="J224">
        <v>29.02</v>
      </c>
      <c r="K224">
        <v>114.75</v>
      </c>
      <c r="L224" t="s">
        <v>33</v>
      </c>
      <c r="M224" t="s">
        <v>25</v>
      </c>
      <c r="N224" t="s">
        <v>98</v>
      </c>
      <c r="O224">
        <v>275</v>
      </c>
      <c r="P224" s="5">
        <f t="shared" si="3"/>
        <v>0.27401676337846553</v>
      </c>
    </row>
    <row r="225" spans="1:16" x14ac:dyDescent="0.3">
      <c r="A225" t="s">
        <v>572</v>
      </c>
      <c r="B225" t="s">
        <v>573</v>
      </c>
      <c r="C225" t="s">
        <v>574</v>
      </c>
      <c r="D225" t="s">
        <v>55</v>
      </c>
      <c r="E225" t="s">
        <v>81</v>
      </c>
      <c r="F225" t="s">
        <v>68</v>
      </c>
      <c r="G225">
        <v>18</v>
      </c>
      <c r="H225">
        <v>19.32</v>
      </c>
      <c r="I225">
        <v>347.76</v>
      </c>
      <c r="J225">
        <v>21.34</v>
      </c>
      <c r="K225">
        <v>47.42</v>
      </c>
      <c r="L225" t="s">
        <v>33</v>
      </c>
      <c r="M225" t="s">
        <v>25</v>
      </c>
      <c r="N225" t="s">
        <v>98</v>
      </c>
      <c r="O225">
        <v>279</v>
      </c>
      <c r="P225" s="5">
        <f t="shared" si="3"/>
        <v>0.13635840809753855</v>
      </c>
    </row>
    <row r="226" spans="1:16" x14ac:dyDescent="0.3">
      <c r="A226" t="s">
        <v>575</v>
      </c>
      <c r="B226" t="s">
        <v>281</v>
      </c>
      <c r="C226" t="s">
        <v>110</v>
      </c>
      <c r="D226" t="s">
        <v>31</v>
      </c>
      <c r="E226" t="s">
        <v>137</v>
      </c>
      <c r="F226" t="s">
        <v>68</v>
      </c>
      <c r="G226">
        <v>42</v>
      </c>
      <c r="H226">
        <v>50.02</v>
      </c>
      <c r="I226">
        <v>2100.84</v>
      </c>
      <c r="J226">
        <v>89.65</v>
      </c>
      <c r="K226">
        <v>835.19</v>
      </c>
      <c r="L226" t="s">
        <v>33</v>
      </c>
      <c r="M226" t="s">
        <v>34</v>
      </c>
      <c r="N226" t="s">
        <v>35</v>
      </c>
      <c r="O226">
        <v>1176</v>
      </c>
      <c r="P226" s="5">
        <f t="shared" si="3"/>
        <v>0.39755050360808059</v>
      </c>
    </row>
    <row r="227" spans="1:16" x14ac:dyDescent="0.3">
      <c r="A227" t="s">
        <v>576</v>
      </c>
      <c r="B227" t="s">
        <v>577</v>
      </c>
      <c r="C227" t="s">
        <v>410</v>
      </c>
      <c r="D227" t="s">
        <v>206</v>
      </c>
      <c r="E227" t="s">
        <v>137</v>
      </c>
      <c r="F227" t="s">
        <v>68</v>
      </c>
      <c r="G227">
        <v>13</v>
      </c>
      <c r="H227">
        <v>49.39</v>
      </c>
      <c r="I227">
        <v>642.07000000000005</v>
      </c>
      <c r="J227">
        <v>38.32</v>
      </c>
      <c r="K227">
        <v>239.75</v>
      </c>
      <c r="L227" t="s">
        <v>33</v>
      </c>
      <c r="M227" t="s">
        <v>25</v>
      </c>
      <c r="N227" t="s">
        <v>207</v>
      </c>
      <c r="O227">
        <v>364.00000000000006</v>
      </c>
      <c r="P227" s="5">
        <f t="shared" si="3"/>
        <v>0.37340165402526199</v>
      </c>
    </row>
    <row r="228" spans="1:16" x14ac:dyDescent="0.3">
      <c r="A228" t="s">
        <v>578</v>
      </c>
      <c r="B228" t="s">
        <v>579</v>
      </c>
      <c r="C228" t="s">
        <v>188</v>
      </c>
      <c r="D228" t="s">
        <v>31</v>
      </c>
      <c r="E228" t="s">
        <v>32</v>
      </c>
      <c r="F228" t="s">
        <v>23</v>
      </c>
      <c r="G228">
        <v>15</v>
      </c>
      <c r="H228">
        <v>22.86</v>
      </c>
      <c r="I228">
        <v>342.9</v>
      </c>
      <c r="J228">
        <v>27.16</v>
      </c>
      <c r="K228">
        <v>45.74</v>
      </c>
      <c r="L228" t="s">
        <v>48</v>
      </c>
      <c r="M228" t="s">
        <v>41</v>
      </c>
      <c r="N228" t="s">
        <v>35</v>
      </c>
      <c r="O228">
        <v>269.99999999999994</v>
      </c>
      <c r="P228" s="5">
        <f t="shared" si="3"/>
        <v>0.13339165937591135</v>
      </c>
    </row>
    <row r="229" spans="1:16" x14ac:dyDescent="0.3">
      <c r="A229" t="s">
        <v>580</v>
      </c>
      <c r="B229" t="s">
        <v>581</v>
      </c>
      <c r="C229" t="s">
        <v>568</v>
      </c>
      <c r="D229" t="s">
        <v>70</v>
      </c>
      <c r="E229" t="s">
        <v>74</v>
      </c>
      <c r="F229" t="s">
        <v>75</v>
      </c>
      <c r="G229">
        <v>37</v>
      </c>
      <c r="H229">
        <v>37.270000000000003</v>
      </c>
      <c r="I229">
        <v>1378.99</v>
      </c>
      <c r="J229">
        <v>92.92</v>
      </c>
      <c r="K229">
        <v>361.07</v>
      </c>
      <c r="L229" t="s">
        <v>24</v>
      </c>
      <c r="M229" t="s">
        <v>25</v>
      </c>
      <c r="N229" t="s">
        <v>76</v>
      </c>
      <c r="O229">
        <v>925.00000000000011</v>
      </c>
      <c r="P229" s="5">
        <f t="shared" si="3"/>
        <v>0.26183656154141799</v>
      </c>
    </row>
    <row r="230" spans="1:16" x14ac:dyDescent="0.3">
      <c r="A230" t="s">
        <v>582</v>
      </c>
      <c r="B230" t="s">
        <v>583</v>
      </c>
      <c r="C230" t="s">
        <v>61</v>
      </c>
      <c r="D230" t="s">
        <v>171</v>
      </c>
      <c r="E230" t="s">
        <v>22</v>
      </c>
      <c r="F230" t="s">
        <v>23</v>
      </c>
      <c r="G230">
        <v>49</v>
      </c>
      <c r="H230">
        <v>54.05</v>
      </c>
      <c r="I230">
        <v>2648.45</v>
      </c>
      <c r="J230">
        <v>66.8</v>
      </c>
      <c r="K230">
        <v>866.65</v>
      </c>
      <c r="L230" t="s">
        <v>48</v>
      </c>
      <c r="M230" t="s">
        <v>25</v>
      </c>
      <c r="N230" t="s">
        <v>35</v>
      </c>
      <c r="O230">
        <v>1714.9999999999995</v>
      </c>
      <c r="P230" s="5">
        <f t="shared" si="3"/>
        <v>0.32722913402178633</v>
      </c>
    </row>
    <row r="231" spans="1:16" x14ac:dyDescent="0.3">
      <c r="A231" t="s">
        <v>584</v>
      </c>
      <c r="B231" t="s">
        <v>585</v>
      </c>
      <c r="C231" t="s">
        <v>586</v>
      </c>
      <c r="D231" t="s">
        <v>31</v>
      </c>
      <c r="E231" t="s">
        <v>86</v>
      </c>
      <c r="F231" t="s">
        <v>47</v>
      </c>
      <c r="G231">
        <v>33</v>
      </c>
      <c r="H231">
        <v>20.059999999999999</v>
      </c>
      <c r="I231">
        <v>661.98</v>
      </c>
      <c r="J231">
        <v>50.02</v>
      </c>
      <c r="K231">
        <v>191.21</v>
      </c>
      <c r="L231" t="s">
        <v>48</v>
      </c>
      <c r="M231" t="s">
        <v>34</v>
      </c>
      <c r="N231" t="s">
        <v>35</v>
      </c>
      <c r="O231">
        <v>420.75</v>
      </c>
      <c r="P231" s="5">
        <f t="shared" si="3"/>
        <v>0.28884558445874498</v>
      </c>
    </row>
    <row r="232" spans="1:16" x14ac:dyDescent="0.3">
      <c r="A232" t="s">
        <v>587</v>
      </c>
      <c r="B232" t="s">
        <v>588</v>
      </c>
      <c r="C232" t="s">
        <v>328</v>
      </c>
      <c r="D232" t="s">
        <v>241</v>
      </c>
      <c r="E232" t="s">
        <v>137</v>
      </c>
      <c r="F232" t="s">
        <v>68</v>
      </c>
      <c r="G232">
        <v>49</v>
      </c>
      <c r="H232">
        <v>35.68</v>
      </c>
      <c r="I232">
        <v>1748.32</v>
      </c>
      <c r="J232">
        <v>124.47</v>
      </c>
      <c r="K232">
        <v>251.85</v>
      </c>
      <c r="L232" t="s">
        <v>48</v>
      </c>
      <c r="M232" t="s">
        <v>41</v>
      </c>
      <c r="N232" t="s">
        <v>35</v>
      </c>
      <c r="O232">
        <v>1372</v>
      </c>
      <c r="P232" s="5">
        <f t="shared" si="3"/>
        <v>0.14405257618742565</v>
      </c>
    </row>
    <row r="233" spans="1:16" x14ac:dyDescent="0.3">
      <c r="A233" t="s">
        <v>589</v>
      </c>
      <c r="B233" t="s">
        <v>590</v>
      </c>
      <c r="C233" t="s">
        <v>40</v>
      </c>
      <c r="D233" t="s">
        <v>70</v>
      </c>
      <c r="E233" t="s">
        <v>74</v>
      </c>
      <c r="F233" t="s">
        <v>75</v>
      </c>
      <c r="G233">
        <v>23</v>
      </c>
      <c r="H233">
        <v>30.89</v>
      </c>
      <c r="I233">
        <v>710.47</v>
      </c>
      <c r="J233">
        <v>18.739999999999998</v>
      </c>
      <c r="K233">
        <v>116.73</v>
      </c>
      <c r="L233" t="s">
        <v>33</v>
      </c>
      <c r="M233" t="s">
        <v>25</v>
      </c>
      <c r="N233" t="s">
        <v>76</v>
      </c>
      <c r="O233">
        <v>575</v>
      </c>
      <c r="P233" s="5">
        <f t="shared" si="3"/>
        <v>0.16429968893830843</v>
      </c>
    </row>
    <row r="234" spans="1:16" x14ac:dyDescent="0.3">
      <c r="A234" t="s">
        <v>591</v>
      </c>
      <c r="B234" t="s">
        <v>101</v>
      </c>
      <c r="C234" t="s">
        <v>44</v>
      </c>
      <c r="D234" t="s">
        <v>171</v>
      </c>
      <c r="E234" t="s">
        <v>22</v>
      </c>
      <c r="F234" t="s">
        <v>23</v>
      </c>
      <c r="G234">
        <v>14</v>
      </c>
      <c r="H234">
        <v>59.6</v>
      </c>
      <c r="I234">
        <v>834.4</v>
      </c>
      <c r="J234">
        <v>19.11</v>
      </c>
      <c r="K234">
        <v>325.29000000000002</v>
      </c>
      <c r="L234" t="s">
        <v>33</v>
      </c>
      <c r="M234" t="s">
        <v>34</v>
      </c>
      <c r="N234" t="s">
        <v>35</v>
      </c>
      <c r="O234">
        <v>489.99999999999989</v>
      </c>
      <c r="P234" s="5">
        <f t="shared" si="3"/>
        <v>0.38984899328859063</v>
      </c>
    </row>
    <row r="235" spans="1:16" x14ac:dyDescent="0.3">
      <c r="A235" t="s">
        <v>592</v>
      </c>
      <c r="B235" t="s">
        <v>314</v>
      </c>
      <c r="C235" t="s">
        <v>480</v>
      </c>
      <c r="D235" t="s">
        <v>241</v>
      </c>
      <c r="E235" t="s">
        <v>67</v>
      </c>
      <c r="F235" t="s">
        <v>68</v>
      </c>
      <c r="G235">
        <v>3</v>
      </c>
      <c r="H235">
        <v>28.36</v>
      </c>
      <c r="I235">
        <v>85.08</v>
      </c>
      <c r="J235">
        <v>4.46</v>
      </c>
      <c r="K235">
        <v>13.12</v>
      </c>
      <c r="L235" t="s">
        <v>24</v>
      </c>
      <c r="M235" t="s">
        <v>34</v>
      </c>
      <c r="N235" t="s">
        <v>35</v>
      </c>
      <c r="O235">
        <v>67.5</v>
      </c>
      <c r="P235" s="5">
        <f t="shared" si="3"/>
        <v>0.15420780441936999</v>
      </c>
    </row>
    <row r="236" spans="1:16" x14ac:dyDescent="0.3">
      <c r="A236" t="s">
        <v>593</v>
      </c>
      <c r="B236" t="s">
        <v>398</v>
      </c>
      <c r="C236" t="s">
        <v>216</v>
      </c>
      <c r="D236" t="s">
        <v>241</v>
      </c>
      <c r="E236" t="s">
        <v>86</v>
      </c>
      <c r="F236" t="s">
        <v>47</v>
      </c>
      <c r="G236">
        <v>28</v>
      </c>
      <c r="H236">
        <v>22.13</v>
      </c>
      <c r="I236">
        <v>619.64</v>
      </c>
      <c r="J236">
        <v>17.2</v>
      </c>
      <c r="K236">
        <v>245.44</v>
      </c>
      <c r="L236" t="s">
        <v>33</v>
      </c>
      <c r="M236" t="s">
        <v>41</v>
      </c>
      <c r="N236" t="s">
        <v>35</v>
      </c>
      <c r="O236">
        <v>357</v>
      </c>
      <c r="P236" s="5">
        <f t="shared" si="3"/>
        <v>0.39610096184881544</v>
      </c>
    </row>
    <row r="237" spans="1:16" x14ac:dyDescent="0.3">
      <c r="A237" t="s">
        <v>594</v>
      </c>
      <c r="B237" t="s">
        <v>388</v>
      </c>
      <c r="C237" t="s">
        <v>372</v>
      </c>
      <c r="D237" t="s">
        <v>21</v>
      </c>
      <c r="E237" t="s">
        <v>32</v>
      </c>
      <c r="F237" t="s">
        <v>23</v>
      </c>
      <c r="G237">
        <v>28</v>
      </c>
      <c r="H237">
        <v>27.62</v>
      </c>
      <c r="I237">
        <v>773.36</v>
      </c>
      <c r="J237">
        <v>29.88</v>
      </c>
      <c r="K237">
        <v>239.48</v>
      </c>
      <c r="L237" t="s">
        <v>24</v>
      </c>
      <c r="M237" t="s">
        <v>25</v>
      </c>
      <c r="N237" t="s">
        <v>98</v>
      </c>
      <c r="O237">
        <v>504</v>
      </c>
      <c r="P237" s="5">
        <f t="shared" si="3"/>
        <v>0.30966173580221368</v>
      </c>
    </row>
    <row r="238" spans="1:16" x14ac:dyDescent="0.3">
      <c r="A238" t="s">
        <v>595</v>
      </c>
      <c r="B238" t="s">
        <v>596</v>
      </c>
      <c r="C238" t="s">
        <v>194</v>
      </c>
      <c r="D238" t="s">
        <v>55</v>
      </c>
      <c r="E238" t="s">
        <v>74</v>
      </c>
      <c r="F238" t="s">
        <v>75</v>
      </c>
      <c r="G238">
        <v>40</v>
      </c>
      <c r="H238">
        <v>34.229999999999997</v>
      </c>
      <c r="I238">
        <v>1369.2</v>
      </c>
      <c r="J238">
        <v>78.03</v>
      </c>
      <c r="K238">
        <v>291.17</v>
      </c>
      <c r="L238" t="s">
        <v>24</v>
      </c>
      <c r="M238" t="s">
        <v>25</v>
      </c>
      <c r="N238" t="s">
        <v>98</v>
      </c>
      <c r="O238">
        <v>1000</v>
      </c>
      <c r="P238" s="5">
        <f t="shared" si="3"/>
        <v>0.21265702600058428</v>
      </c>
    </row>
    <row r="239" spans="1:16" x14ac:dyDescent="0.3">
      <c r="A239" t="s">
        <v>597</v>
      </c>
      <c r="B239" t="s">
        <v>598</v>
      </c>
      <c r="C239" t="s">
        <v>285</v>
      </c>
      <c r="D239" t="s">
        <v>127</v>
      </c>
      <c r="E239" t="s">
        <v>56</v>
      </c>
      <c r="F239" t="s">
        <v>57</v>
      </c>
      <c r="G239">
        <v>9</v>
      </c>
      <c r="H239">
        <v>52.2</v>
      </c>
      <c r="I239">
        <v>469.8</v>
      </c>
      <c r="J239">
        <v>31.5</v>
      </c>
      <c r="K239">
        <v>78.3</v>
      </c>
      <c r="L239" t="s">
        <v>48</v>
      </c>
      <c r="M239" t="s">
        <v>41</v>
      </c>
      <c r="N239" t="s">
        <v>76</v>
      </c>
      <c r="O239">
        <v>360</v>
      </c>
      <c r="P239" s="5">
        <f t="shared" si="3"/>
        <v>0.16666666666666666</v>
      </c>
    </row>
    <row r="240" spans="1:16" x14ac:dyDescent="0.3">
      <c r="A240" t="s">
        <v>599</v>
      </c>
      <c r="B240" t="s">
        <v>205</v>
      </c>
      <c r="C240" t="s">
        <v>372</v>
      </c>
      <c r="D240" t="s">
        <v>171</v>
      </c>
      <c r="E240" t="s">
        <v>74</v>
      </c>
      <c r="F240" t="s">
        <v>75</v>
      </c>
      <c r="G240">
        <v>31</v>
      </c>
      <c r="H240">
        <v>43.54</v>
      </c>
      <c r="I240">
        <v>1349.74</v>
      </c>
      <c r="J240">
        <v>99.86</v>
      </c>
      <c r="K240">
        <v>474.88</v>
      </c>
      <c r="L240" t="s">
        <v>24</v>
      </c>
      <c r="M240" t="s">
        <v>34</v>
      </c>
      <c r="N240" t="s">
        <v>35</v>
      </c>
      <c r="O240">
        <v>775</v>
      </c>
      <c r="P240" s="5">
        <f t="shared" si="3"/>
        <v>0.35183072295405038</v>
      </c>
    </row>
    <row r="241" spans="1:16" x14ac:dyDescent="0.3">
      <c r="A241" t="s">
        <v>600</v>
      </c>
      <c r="B241" t="s">
        <v>479</v>
      </c>
      <c r="C241" t="s">
        <v>185</v>
      </c>
      <c r="D241" t="s">
        <v>123</v>
      </c>
      <c r="E241" t="s">
        <v>81</v>
      </c>
      <c r="F241" t="s">
        <v>68</v>
      </c>
      <c r="G241">
        <v>31</v>
      </c>
      <c r="H241">
        <v>18.63</v>
      </c>
      <c r="I241">
        <v>577.53</v>
      </c>
      <c r="J241">
        <v>36.65</v>
      </c>
      <c r="K241">
        <v>60.38</v>
      </c>
      <c r="L241" t="s">
        <v>48</v>
      </c>
      <c r="M241" t="s">
        <v>25</v>
      </c>
      <c r="N241" t="s">
        <v>76</v>
      </c>
      <c r="O241">
        <v>480.5</v>
      </c>
      <c r="P241" s="5">
        <f t="shared" si="3"/>
        <v>0.1045486814537773</v>
      </c>
    </row>
    <row r="242" spans="1:16" x14ac:dyDescent="0.3">
      <c r="A242" t="s">
        <v>601</v>
      </c>
      <c r="B242" t="s">
        <v>602</v>
      </c>
      <c r="C242" t="s">
        <v>442</v>
      </c>
      <c r="D242" t="s">
        <v>127</v>
      </c>
      <c r="E242" t="s">
        <v>63</v>
      </c>
      <c r="F242" t="s">
        <v>47</v>
      </c>
      <c r="G242">
        <v>38</v>
      </c>
      <c r="H242">
        <v>27.28</v>
      </c>
      <c r="I242">
        <v>1036.6400000000001</v>
      </c>
      <c r="J242">
        <v>38.770000000000003</v>
      </c>
      <c r="K242">
        <v>237.87</v>
      </c>
      <c r="L242" t="s">
        <v>24</v>
      </c>
      <c r="M242" t="s">
        <v>41</v>
      </c>
      <c r="N242" t="s">
        <v>76</v>
      </c>
      <c r="O242">
        <v>760.00000000000011</v>
      </c>
      <c r="P242" s="5">
        <f t="shared" si="3"/>
        <v>0.22946249421206974</v>
      </c>
    </row>
    <row r="243" spans="1:16" x14ac:dyDescent="0.3">
      <c r="A243" t="s">
        <v>603</v>
      </c>
      <c r="B243" t="s">
        <v>482</v>
      </c>
      <c r="C243" t="s">
        <v>328</v>
      </c>
      <c r="D243" t="s">
        <v>45</v>
      </c>
      <c r="E243" t="s">
        <v>32</v>
      </c>
      <c r="F243" t="s">
        <v>23</v>
      </c>
      <c r="G243">
        <v>50</v>
      </c>
      <c r="H243">
        <v>30.97</v>
      </c>
      <c r="I243">
        <v>1548.5</v>
      </c>
      <c r="J243">
        <v>82.09</v>
      </c>
      <c r="K243">
        <v>566.41</v>
      </c>
      <c r="L243" t="s">
        <v>33</v>
      </c>
      <c r="M243" t="s">
        <v>34</v>
      </c>
      <c r="N243" t="s">
        <v>49</v>
      </c>
      <c r="O243">
        <v>900</v>
      </c>
      <c r="P243" s="5">
        <f t="shared" si="3"/>
        <v>0.36577978689053919</v>
      </c>
    </row>
    <row r="244" spans="1:16" x14ac:dyDescent="0.3">
      <c r="A244" t="s">
        <v>604</v>
      </c>
      <c r="B244" t="s">
        <v>118</v>
      </c>
      <c r="C244" t="s">
        <v>126</v>
      </c>
      <c r="D244" t="s">
        <v>127</v>
      </c>
      <c r="E244" t="s">
        <v>56</v>
      </c>
      <c r="F244" t="s">
        <v>57</v>
      </c>
      <c r="G244">
        <v>17</v>
      </c>
      <c r="H244">
        <v>60.91</v>
      </c>
      <c r="I244">
        <v>1035.47</v>
      </c>
      <c r="J244">
        <v>54.09</v>
      </c>
      <c r="K244">
        <v>301.38</v>
      </c>
      <c r="L244" t="s">
        <v>48</v>
      </c>
      <c r="M244" t="s">
        <v>25</v>
      </c>
      <c r="N244" t="s">
        <v>76</v>
      </c>
      <c r="O244">
        <v>680</v>
      </c>
      <c r="P244" s="5">
        <f t="shared" si="3"/>
        <v>0.29105623533274744</v>
      </c>
    </row>
    <row r="245" spans="1:16" x14ac:dyDescent="0.3">
      <c r="A245" t="s">
        <v>605</v>
      </c>
      <c r="B245" t="s">
        <v>606</v>
      </c>
      <c r="C245" t="s">
        <v>437</v>
      </c>
      <c r="D245" t="s">
        <v>51</v>
      </c>
      <c r="E245" t="s">
        <v>63</v>
      </c>
      <c r="F245" t="s">
        <v>47</v>
      </c>
      <c r="G245">
        <v>25</v>
      </c>
      <c r="H245">
        <v>31.15</v>
      </c>
      <c r="I245">
        <v>778.75</v>
      </c>
      <c r="J245">
        <v>47.45</v>
      </c>
      <c r="K245">
        <v>231.3</v>
      </c>
      <c r="L245" t="s">
        <v>24</v>
      </c>
      <c r="M245" t="s">
        <v>41</v>
      </c>
      <c r="N245" t="s">
        <v>76</v>
      </c>
      <c r="O245">
        <v>500.00000000000011</v>
      </c>
      <c r="P245" s="5">
        <f t="shared" si="3"/>
        <v>0.29701444622792939</v>
      </c>
    </row>
    <row r="246" spans="1:16" x14ac:dyDescent="0.3">
      <c r="A246" t="s">
        <v>607</v>
      </c>
      <c r="B246" t="s">
        <v>608</v>
      </c>
      <c r="C246" t="s">
        <v>462</v>
      </c>
      <c r="D246" t="s">
        <v>171</v>
      </c>
      <c r="E246" t="s">
        <v>32</v>
      </c>
      <c r="F246" t="s">
        <v>23</v>
      </c>
      <c r="G246">
        <v>30</v>
      </c>
      <c r="H246">
        <v>31.12</v>
      </c>
      <c r="I246">
        <v>933.6</v>
      </c>
      <c r="J246">
        <v>50.88</v>
      </c>
      <c r="K246">
        <v>342.72</v>
      </c>
      <c r="L246" t="s">
        <v>33</v>
      </c>
      <c r="M246" t="s">
        <v>34</v>
      </c>
      <c r="N246" t="s">
        <v>35</v>
      </c>
      <c r="O246">
        <v>540</v>
      </c>
      <c r="P246" s="5">
        <f t="shared" si="3"/>
        <v>0.36709511568123393</v>
      </c>
    </row>
    <row r="247" spans="1:16" x14ac:dyDescent="0.3">
      <c r="A247" t="s">
        <v>609</v>
      </c>
      <c r="B247" t="s">
        <v>610</v>
      </c>
      <c r="C247" t="s">
        <v>182</v>
      </c>
      <c r="D247" t="s">
        <v>62</v>
      </c>
      <c r="E247" t="s">
        <v>81</v>
      </c>
      <c r="F247" t="s">
        <v>68</v>
      </c>
      <c r="G247">
        <v>17</v>
      </c>
      <c r="H247">
        <v>19.64</v>
      </c>
      <c r="I247">
        <v>333.88</v>
      </c>
      <c r="J247">
        <v>22.23</v>
      </c>
      <c r="K247">
        <v>48.15</v>
      </c>
      <c r="L247" t="s">
        <v>48</v>
      </c>
      <c r="M247" t="s">
        <v>41</v>
      </c>
      <c r="N247" t="s">
        <v>98</v>
      </c>
      <c r="O247">
        <v>263.5</v>
      </c>
      <c r="P247" s="5">
        <f t="shared" si="3"/>
        <v>0.14421348987660237</v>
      </c>
    </row>
    <row r="248" spans="1:16" x14ac:dyDescent="0.3">
      <c r="A248" t="s">
        <v>611</v>
      </c>
      <c r="B248" t="s">
        <v>612</v>
      </c>
      <c r="C248" t="s">
        <v>613</v>
      </c>
      <c r="D248" t="s">
        <v>21</v>
      </c>
      <c r="E248" t="s">
        <v>46</v>
      </c>
      <c r="F248" t="s">
        <v>47</v>
      </c>
      <c r="G248">
        <v>37</v>
      </c>
      <c r="H248">
        <v>57.35</v>
      </c>
      <c r="I248">
        <v>2121.9499999999998</v>
      </c>
      <c r="J248">
        <v>147.38999999999999</v>
      </c>
      <c r="K248">
        <v>790.56</v>
      </c>
      <c r="L248" t="s">
        <v>24</v>
      </c>
      <c r="M248" t="s">
        <v>25</v>
      </c>
      <c r="N248" t="s">
        <v>98</v>
      </c>
      <c r="O248">
        <v>1184</v>
      </c>
      <c r="P248" s="5">
        <f t="shared" si="3"/>
        <v>0.37256297273734068</v>
      </c>
    </row>
    <row r="249" spans="1:16" x14ac:dyDescent="0.3">
      <c r="A249" t="s">
        <v>614</v>
      </c>
      <c r="B249" t="s">
        <v>615</v>
      </c>
      <c r="C249" t="s">
        <v>20</v>
      </c>
      <c r="D249" t="s">
        <v>37</v>
      </c>
      <c r="E249" t="s">
        <v>22</v>
      </c>
      <c r="F249" t="s">
        <v>23</v>
      </c>
      <c r="G249">
        <v>45</v>
      </c>
      <c r="H249">
        <v>42.6</v>
      </c>
      <c r="I249">
        <v>1917</v>
      </c>
      <c r="J249">
        <v>104.27</v>
      </c>
      <c r="K249">
        <v>237.73</v>
      </c>
      <c r="L249" t="s">
        <v>33</v>
      </c>
      <c r="M249" t="s">
        <v>41</v>
      </c>
      <c r="N249" t="s">
        <v>35</v>
      </c>
      <c r="O249">
        <v>1575</v>
      </c>
      <c r="P249" s="5">
        <f t="shared" si="3"/>
        <v>0.12401147626499738</v>
      </c>
    </row>
    <row r="250" spans="1:16" x14ac:dyDescent="0.3">
      <c r="A250" t="s">
        <v>616</v>
      </c>
      <c r="B250" t="s">
        <v>617</v>
      </c>
      <c r="C250" t="s">
        <v>165</v>
      </c>
      <c r="D250" t="s">
        <v>31</v>
      </c>
      <c r="E250" t="s">
        <v>63</v>
      </c>
      <c r="F250" t="s">
        <v>47</v>
      </c>
      <c r="G250">
        <v>25</v>
      </c>
      <c r="H250">
        <v>31.82</v>
      </c>
      <c r="I250">
        <v>795.5</v>
      </c>
      <c r="J250">
        <v>37.33</v>
      </c>
      <c r="K250">
        <v>258.17</v>
      </c>
      <c r="L250" t="s">
        <v>24</v>
      </c>
      <c r="M250" t="s">
        <v>34</v>
      </c>
      <c r="N250" t="s">
        <v>35</v>
      </c>
      <c r="O250">
        <v>499.99999999999989</v>
      </c>
      <c r="P250" s="5">
        <f t="shared" si="3"/>
        <v>0.32453802639849155</v>
      </c>
    </row>
    <row r="251" spans="1:16" x14ac:dyDescent="0.3">
      <c r="A251" t="s">
        <v>618</v>
      </c>
      <c r="B251" t="s">
        <v>105</v>
      </c>
      <c r="C251" t="s">
        <v>200</v>
      </c>
      <c r="D251" t="s">
        <v>70</v>
      </c>
      <c r="E251" t="s">
        <v>74</v>
      </c>
      <c r="F251" t="s">
        <v>75</v>
      </c>
      <c r="G251">
        <v>17</v>
      </c>
      <c r="H251">
        <v>36.270000000000003</v>
      </c>
      <c r="I251">
        <v>616.59</v>
      </c>
      <c r="J251">
        <v>22.76</v>
      </c>
      <c r="K251">
        <v>168.83</v>
      </c>
      <c r="L251" t="s">
        <v>48</v>
      </c>
      <c r="M251" t="s">
        <v>25</v>
      </c>
      <c r="N251" t="s">
        <v>76</v>
      </c>
      <c r="O251">
        <v>425</v>
      </c>
      <c r="P251" s="5">
        <f t="shared" si="3"/>
        <v>0.27381241992247685</v>
      </c>
    </row>
    <row r="252" spans="1:16" x14ac:dyDescent="0.3">
      <c r="A252" t="s">
        <v>619</v>
      </c>
      <c r="B252" t="s">
        <v>620</v>
      </c>
      <c r="C252" t="s">
        <v>334</v>
      </c>
      <c r="D252" t="s">
        <v>123</v>
      </c>
      <c r="E252" t="s">
        <v>32</v>
      </c>
      <c r="F252" t="s">
        <v>23</v>
      </c>
      <c r="G252">
        <v>4</v>
      </c>
      <c r="H252">
        <v>27.01</v>
      </c>
      <c r="I252">
        <v>108.04</v>
      </c>
      <c r="J252">
        <v>4.7300000000000004</v>
      </c>
      <c r="K252">
        <v>31.31</v>
      </c>
      <c r="L252" t="s">
        <v>48</v>
      </c>
      <c r="M252" t="s">
        <v>41</v>
      </c>
      <c r="N252" t="s">
        <v>76</v>
      </c>
      <c r="O252">
        <v>72</v>
      </c>
      <c r="P252" s="5">
        <f t="shared" si="3"/>
        <v>0.28980007404664937</v>
      </c>
    </row>
    <row r="253" spans="1:16" x14ac:dyDescent="0.3">
      <c r="A253" t="s">
        <v>621</v>
      </c>
      <c r="B253" t="s">
        <v>173</v>
      </c>
      <c r="C253" t="s">
        <v>369</v>
      </c>
      <c r="D253" t="s">
        <v>62</v>
      </c>
      <c r="E253" t="s">
        <v>22</v>
      </c>
      <c r="F253" t="s">
        <v>23</v>
      </c>
      <c r="G253">
        <v>22</v>
      </c>
      <c r="H253">
        <v>57.6</v>
      </c>
      <c r="I253">
        <v>1267.2</v>
      </c>
      <c r="J253">
        <v>35.32</v>
      </c>
      <c r="K253">
        <v>461.88</v>
      </c>
      <c r="L253" t="s">
        <v>48</v>
      </c>
      <c r="M253" t="s">
        <v>25</v>
      </c>
      <c r="N253" t="s">
        <v>98</v>
      </c>
      <c r="O253">
        <v>770</v>
      </c>
      <c r="P253" s="5">
        <f t="shared" si="3"/>
        <v>0.36448863636363632</v>
      </c>
    </row>
    <row r="254" spans="1:16" x14ac:dyDescent="0.3">
      <c r="A254" t="s">
        <v>622</v>
      </c>
      <c r="B254" t="s">
        <v>623</v>
      </c>
      <c r="C254" t="s">
        <v>417</v>
      </c>
      <c r="D254" t="s">
        <v>241</v>
      </c>
      <c r="E254" t="s">
        <v>74</v>
      </c>
      <c r="F254" t="s">
        <v>75</v>
      </c>
      <c r="G254">
        <v>24</v>
      </c>
      <c r="H254">
        <v>43.34</v>
      </c>
      <c r="I254">
        <v>1040.1600000000001</v>
      </c>
      <c r="J254">
        <v>41.18</v>
      </c>
      <c r="K254">
        <v>398.98</v>
      </c>
      <c r="L254" t="s">
        <v>24</v>
      </c>
      <c r="M254" t="s">
        <v>41</v>
      </c>
      <c r="N254" t="s">
        <v>35</v>
      </c>
      <c r="O254">
        <v>600.00000000000011</v>
      </c>
      <c r="P254" s="5">
        <f t="shared" si="3"/>
        <v>0.38357560375326871</v>
      </c>
    </row>
    <row r="255" spans="1:16" x14ac:dyDescent="0.3">
      <c r="A255" t="s">
        <v>624</v>
      </c>
      <c r="B255" t="s">
        <v>625</v>
      </c>
      <c r="C255" t="s">
        <v>266</v>
      </c>
      <c r="D255" t="s">
        <v>62</v>
      </c>
      <c r="E255" t="s">
        <v>56</v>
      </c>
      <c r="F255" t="s">
        <v>57</v>
      </c>
      <c r="G255">
        <v>37</v>
      </c>
      <c r="H255">
        <v>71.8</v>
      </c>
      <c r="I255">
        <v>2656.6</v>
      </c>
      <c r="J255">
        <v>60.3</v>
      </c>
      <c r="K255">
        <v>1116.3</v>
      </c>
      <c r="L255" t="s">
        <v>33</v>
      </c>
      <c r="M255" t="s">
        <v>25</v>
      </c>
      <c r="N255" t="s">
        <v>98</v>
      </c>
      <c r="O255">
        <v>1480</v>
      </c>
      <c r="P255" s="5">
        <f t="shared" si="3"/>
        <v>0.42019875028231574</v>
      </c>
    </row>
    <row r="256" spans="1:16" x14ac:dyDescent="0.3">
      <c r="A256" t="s">
        <v>626</v>
      </c>
      <c r="B256" t="s">
        <v>627</v>
      </c>
      <c r="C256" t="s">
        <v>613</v>
      </c>
      <c r="D256" t="s">
        <v>123</v>
      </c>
      <c r="E256" t="s">
        <v>63</v>
      </c>
      <c r="F256" t="s">
        <v>47</v>
      </c>
      <c r="G256">
        <v>24</v>
      </c>
      <c r="H256">
        <v>29.11</v>
      </c>
      <c r="I256">
        <v>698.64</v>
      </c>
      <c r="J256">
        <v>53.99</v>
      </c>
      <c r="K256">
        <v>164.65</v>
      </c>
      <c r="L256" t="s">
        <v>48</v>
      </c>
      <c r="M256" t="s">
        <v>41</v>
      </c>
      <c r="N256" t="s">
        <v>76</v>
      </c>
      <c r="O256">
        <v>480</v>
      </c>
      <c r="P256" s="5">
        <f t="shared" si="3"/>
        <v>0.23567216305965877</v>
      </c>
    </row>
    <row r="257" spans="1:16" x14ac:dyDescent="0.3">
      <c r="A257" t="s">
        <v>628</v>
      </c>
      <c r="B257" t="s">
        <v>629</v>
      </c>
      <c r="C257" t="s">
        <v>630</v>
      </c>
      <c r="D257" t="s">
        <v>127</v>
      </c>
      <c r="E257" t="s">
        <v>67</v>
      </c>
      <c r="F257" t="s">
        <v>68</v>
      </c>
      <c r="G257">
        <v>6</v>
      </c>
      <c r="H257">
        <v>27.91</v>
      </c>
      <c r="I257">
        <v>167.46</v>
      </c>
      <c r="J257">
        <v>10.01</v>
      </c>
      <c r="K257">
        <v>22.45</v>
      </c>
      <c r="L257" t="s">
        <v>24</v>
      </c>
      <c r="M257" t="s">
        <v>25</v>
      </c>
      <c r="N257" t="s">
        <v>76</v>
      </c>
      <c r="O257">
        <v>135.00000000000003</v>
      </c>
      <c r="P257" s="5">
        <f t="shared" si="3"/>
        <v>0.1340618655201242</v>
      </c>
    </row>
    <row r="258" spans="1:16" x14ac:dyDescent="0.3">
      <c r="A258" t="s">
        <v>631</v>
      </c>
      <c r="B258" t="s">
        <v>602</v>
      </c>
      <c r="C258" t="s">
        <v>44</v>
      </c>
      <c r="D258" t="s">
        <v>51</v>
      </c>
      <c r="E258" t="s">
        <v>67</v>
      </c>
      <c r="F258" t="s">
        <v>68</v>
      </c>
      <c r="G258">
        <v>28</v>
      </c>
      <c r="H258">
        <v>27.29</v>
      </c>
      <c r="I258">
        <v>764.12</v>
      </c>
      <c r="J258">
        <v>25.78</v>
      </c>
      <c r="K258">
        <v>108.34</v>
      </c>
      <c r="L258" t="s">
        <v>48</v>
      </c>
      <c r="M258" t="s">
        <v>25</v>
      </c>
      <c r="N258" t="s">
        <v>76</v>
      </c>
      <c r="O258">
        <v>630</v>
      </c>
      <c r="P258" s="5">
        <f t="shared" si="3"/>
        <v>0.1417840129822541</v>
      </c>
    </row>
    <row r="259" spans="1:16" x14ac:dyDescent="0.3">
      <c r="A259" t="s">
        <v>632</v>
      </c>
      <c r="B259" t="s">
        <v>633</v>
      </c>
      <c r="C259" t="s">
        <v>505</v>
      </c>
      <c r="D259" t="s">
        <v>62</v>
      </c>
      <c r="E259" t="s">
        <v>67</v>
      </c>
      <c r="F259" t="s">
        <v>68</v>
      </c>
      <c r="G259">
        <v>47</v>
      </c>
      <c r="H259">
        <v>35.880000000000003</v>
      </c>
      <c r="I259">
        <v>1686.36</v>
      </c>
      <c r="J259">
        <v>70.3</v>
      </c>
      <c r="K259">
        <v>558.55999999999995</v>
      </c>
      <c r="L259" t="s">
        <v>24</v>
      </c>
      <c r="M259" t="s">
        <v>34</v>
      </c>
      <c r="N259" t="s">
        <v>98</v>
      </c>
      <c r="O259">
        <v>1057.5</v>
      </c>
      <c r="P259" s="5">
        <f t="shared" si="3"/>
        <v>0.33122227756825351</v>
      </c>
    </row>
    <row r="260" spans="1:16" x14ac:dyDescent="0.3">
      <c r="A260" t="s">
        <v>634</v>
      </c>
      <c r="B260" t="s">
        <v>617</v>
      </c>
      <c r="C260" t="s">
        <v>317</v>
      </c>
      <c r="D260" t="s">
        <v>171</v>
      </c>
      <c r="E260" t="s">
        <v>81</v>
      </c>
      <c r="F260" t="s">
        <v>68</v>
      </c>
      <c r="G260">
        <v>19</v>
      </c>
      <c r="H260">
        <v>27.47</v>
      </c>
      <c r="I260">
        <v>521.92999999999995</v>
      </c>
      <c r="J260">
        <v>31.29</v>
      </c>
      <c r="K260">
        <v>196.14</v>
      </c>
      <c r="L260" t="s">
        <v>33</v>
      </c>
      <c r="M260" t="s">
        <v>41</v>
      </c>
      <c r="N260" t="s">
        <v>35</v>
      </c>
      <c r="O260">
        <v>294.49999999999994</v>
      </c>
      <c r="P260" s="5">
        <f t="shared" si="3"/>
        <v>0.37579752074032918</v>
      </c>
    </row>
    <row r="261" spans="1:16" x14ac:dyDescent="0.3">
      <c r="A261" t="s">
        <v>635</v>
      </c>
      <c r="B261" t="s">
        <v>294</v>
      </c>
      <c r="C261" t="s">
        <v>216</v>
      </c>
      <c r="D261" t="s">
        <v>206</v>
      </c>
      <c r="E261" t="s">
        <v>63</v>
      </c>
      <c r="F261" t="s">
        <v>47</v>
      </c>
      <c r="G261">
        <v>13</v>
      </c>
      <c r="H261">
        <v>29.26</v>
      </c>
      <c r="I261">
        <v>380.38</v>
      </c>
      <c r="J261">
        <v>9.4700000000000006</v>
      </c>
      <c r="K261">
        <v>110.91</v>
      </c>
      <c r="L261" t="s">
        <v>33</v>
      </c>
      <c r="M261" t="s">
        <v>41</v>
      </c>
      <c r="N261" t="s">
        <v>207</v>
      </c>
      <c r="O261">
        <v>260</v>
      </c>
      <c r="P261" s="5">
        <f t="shared" si="3"/>
        <v>0.29157684420842317</v>
      </c>
    </row>
    <row r="262" spans="1:16" x14ac:dyDescent="0.3">
      <c r="A262" t="s">
        <v>636</v>
      </c>
      <c r="B262" t="s">
        <v>598</v>
      </c>
      <c r="C262" t="s">
        <v>485</v>
      </c>
      <c r="D262" t="s">
        <v>241</v>
      </c>
      <c r="E262" t="s">
        <v>32</v>
      </c>
      <c r="F262" t="s">
        <v>23</v>
      </c>
      <c r="G262">
        <v>4</v>
      </c>
      <c r="H262">
        <v>26.17</v>
      </c>
      <c r="I262">
        <v>104.68</v>
      </c>
      <c r="J262">
        <v>6.33</v>
      </c>
      <c r="K262">
        <v>26.35</v>
      </c>
      <c r="L262" t="s">
        <v>24</v>
      </c>
      <c r="M262" t="s">
        <v>34</v>
      </c>
      <c r="N262" t="s">
        <v>35</v>
      </c>
      <c r="O262">
        <v>72.000000000000014</v>
      </c>
      <c r="P262" s="5">
        <f t="shared" si="3"/>
        <v>0.25171952617500953</v>
      </c>
    </row>
    <row r="263" spans="1:16" x14ac:dyDescent="0.3">
      <c r="A263" t="s">
        <v>637</v>
      </c>
      <c r="B263" t="s">
        <v>638</v>
      </c>
      <c r="C263" t="s">
        <v>266</v>
      </c>
      <c r="D263" t="s">
        <v>241</v>
      </c>
      <c r="E263" t="s">
        <v>67</v>
      </c>
      <c r="F263" t="s">
        <v>68</v>
      </c>
      <c r="G263">
        <v>43</v>
      </c>
      <c r="H263">
        <v>37.32</v>
      </c>
      <c r="I263">
        <v>1604.76</v>
      </c>
      <c r="J263">
        <v>61.01</v>
      </c>
      <c r="K263">
        <v>576.25</v>
      </c>
      <c r="L263" t="s">
        <v>24</v>
      </c>
      <c r="M263" t="s">
        <v>34</v>
      </c>
      <c r="N263" t="s">
        <v>35</v>
      </c>
      <c r="O263">
        <v>967.5</v>
      </c>
      <c r="P263" s="5">
        <f t="shared" ref="P263:P326" si="4">K263/I263</f>
        <v>0.35908796330915527</v>
      </c>
    </row>
    <row r="264" spans="1:16" x14ac:dyDescent="0.3">
      <c r="A264" t="s">
        <v>639</v>
      </c>
      <c r="B264" t="s">
        <v>640</v>
      </c>
      <c r="C264" t="s">
        <v>465</v>
      </c>
      <c r="D264" t="s">
        <v>141</v>
      </c>
      <c r="E264" t="s">
        <v>32</v>
      </c>
      <c r="F264" t="s">
        <v>23</v>
      </c>
      <c r="G264">
        <v>27</v>
      </c>
      <c r="H264">
        <v>23.05</v>
      </c>
      <c r="I264">
        <v>622.35</v>
      </c>
      <c r="J264">
        <v>20.440000000000001</v>
      </c>
      <c r="K264">
        <v>115.91</v>
      </c>
      <c r="L264" t="s">
        <v>48</v>
      </c>
      <c r="M264" t="s">
        <v>34</v>
      </c>
      <c r="N264" t="s">
        <v>142</v>
      </c>
      <c r="O264">
        <v>486.00000000000011</v>
      </c>
      <c r="P264" s="5">
        <f t="shared" si="4"/>
        <v>0.18624568169036715</v>
      </c>
    </row>
    <row r="265" spans="1:16" x14ac:dyDescent="0.3">
      <c r="A265" t="s">
        <v>641</v>
      </c>
      <c r="B265" t="s">
        <v>642</v>
      </c>
      <c r="C265" t="s">
        <v>643</v>
      </c>
      <c r="D265" t="s">
        <v>127</v>
      </c>
      <c r="E265" t="s">
        <v>86</v>
      </c>
      <c r="F265" t="s">
        <v>47</v>
      </c>
      <c r="G265">
        <v>38</v>
      </c>
      <c r="H265">
        <v>19.02</v>
      </c>
      <c r="I265">
        <v>722.76</v>
      </c>
      <c r="J265">
        <v>14.63</v>
      </c>
      <c r="K265">
        <v>223.63</v>
      </c>
      <c r="L265" t="s">
        <v>33</v>
      </c>
      <c r="M265" t="s">
        <v>34</v>
      </c>
      <c r="N265" t="s">
        <v>76</v>
      </c>
      <c r="O265">
        <v>484.5</v>
      </c>
      <c r="P265" s="5">
        <f t="shared" si="4"/>
        <v>0.30941114616193482</v>
      </c>
    </row>
    <row r="266" spans="1:16" x14ac:dyDescent="0.3">
      <c r="A266" t="s">
        <v>644</v>
      </c>
      <c r="B266" t="s">
        <v>645</v>
      </c>
      <c r="C266" t="s">
        <v>646</v>
      </c>
      <c r="D266" t="s">
        <v>55</v>
      </c>
      <c r="E266" t="s">
        <v>56</v>
      </c>
      <c r="F266" t="s">
        <v>57</v>
      </c>
      <c r="G266">
        <v>10</v>
      </c>
      <c r="H266">
        <v>70.94</v>
      </c>
      <c r="I266">
        <v>709.4</v>
      </c>
      <c r="J266">
        <v>18.64</v>
      </c>
      <c r="K266">
        <v>290.76</v>
      </c>
      <c r="L266" t="s">
        <v>33</v>
      </c>
      <c r="M266" t="s">
        <v>41</v>
      </c>
      <c r="N266" t="s">
        <v>98</v>
      </c>
      <c r="O266">
        <v>400</v>
      </c>
      <c r="P266" s="5">
        <f t="shared" si="4"/>
        <v>0.40986749365661124</v>
      </c>
    </row>
    <row r="267" spans="1:16" x14ac:dyDescent="0.3">
      <c r="A267" t="s">
        <v>647</v>
      </c>
      <c r="B267" t="s">
        <v>648</v>
      </c>
      <c r="C267" t="s">
        <v>442</v>
      </c>
      <c r="D267" t="s">
        <v>116</v>
      </c>
      <c r="E267" t="s">
        <v>74</v>
      </c>
      <c r="F267" t="s">
        <v>75</v>
      </c>
      <c r="G267">
        <v>17</v>
      </c>
      <c r="H267">
        <v>38.28</v>
      </c>
      <c r="I267">
        <v>650.76</v>
      </c>
      <c r="J267">
        <v>38.43</v>
      </c>
      <c r="K267">
        <v>187.33</v>
      </c>
      <c r="L267" t="s">
        <v>33</v>
      </c>
      <c r="M267" t="s">
        <v>41</v>
      </c>
      <c r="N267" t="s">
        <v>76</v>
      </c>
      <c r="O267">
        <v>424.99999999999994</v>
      </c>
      <c r="P267" s="5">
        <f t="shared" si="4"/>
        <v>0.28786342123056119</v>
      </c>
    </row>
    <row r="268" spans="1:16" x14ac:dyDescent="0.3">
      <c r="A268" t="s">
        <v>649</v>
      </c>
      <c r="B268" t="s">
        <v>650</v>
      </c>
      <c r="C268" t="s">
        <v>574</v>
      </c>
      <c r="D268" t="s">
        <v>21</v>
      </c>
      <c r="E268" t="s">
        <v>46</v>
      </c>
      <c r="F268" t="s">
        <v>47</v>
      </c>
      <c r="G268">
        <v>10</v>
      </c>
      <c r="H268">
        <v>38.799999999999997</v>
      </c>
      <c r="I268">
        <v>388</v>
      </c>
      <c r="J268">
        <v>16.39</v>
      </c>
      <c r="K268">
        <v>51.61</v>
      </c>
      <c r="L268" t="s">
        <v>48</v>
      </c>
      <c r="M268" t="s">
        <v>34</v>
      </c>
      <c r="N268" t="s">
        <v>98</v>
      </c>
      <c r="O268">
        <v>320</v>
      </c>
      <c r="P268" s="5">
        <f t="shared" si="4"/>
        <v>0.13301546391752578</v>
      </c>
    </row>
    <row r="269" spans="1:16" x14ac:dyDescent="0.3">
      <c r="A269" t="s">
        <v>651</v>
      </c>
      <c r="B269" t="s">
        <v>652</v>
      </c>
      <c r="C269" t="s">
        <v>266</v>
      </c>
      <c r="D269" t="s">
        <v>51</v>
      </c>
      <c r="E269" t="s">
        <v>74</v>
      </c>
      <c r="F269" t="s">
        <v>75</v>
      </c>
      <c r="G269">
        <v>3</v>
      </c>
      <c r="H269">
        <v>33.840000000000003</v>
      </c>
      <c r="I269">
        <v>101.52</v>
      </c>
      <c r="J269">
        <v>2.3199999999999998</v>
      </c>
      <c r="K269">
        <v>24.2</v>
      </c>
      <c r="L269" t="s">
        <v>48</v>
      </c>
      <c r="M269" t="s">
        <v>41</v>
      </c>
      <c r="N269" t="s">
        <v>76</v>
      </c>
      <c r="O269">
        <v>75</v>
      </c>
      <c r="P269" s="5">
        <f t="shared" si="4"/>
        <v>0.23837667454688732</v>
      </c>
    </row>
    <row r="270" spans="1:16" x14ac:dyDescent="0.3">
      <c r="A270" t="s">
        <v>653</v>
      </c>
      <c r="B270" t="s">
        <v>654</v>
      </c>
      <c r="C270" t="s">
        <v>317</v>
      </c>
      <c r="D270" t="s">
        <v>241</v>
      </c>
      <c r="E270" t="s">
        <v>81</v>
      </c>
      <c r="F270" t="s">
        <v>68</v>
      </c>
      <c r="G270">
        <v>20</v>
      </c>
      <c r="H270">
        <v>21.12</v>
      </c>
      <c r="I270">
        <v>422.4</v>
      </c>
      <c r="J270">
        <v>22.08</v>
      </c>
      <c r="K270">
        <v>90.32</v>
      </c>
      <c r="L270" t="s">
        <v>33</v>
      </c>
      <c r="M270" t="s">
        <v>41</v>
      </c>
      <c r="N270" t="s">
        <v>35</v>
      </c>
      <c r="O270">
        <v>310</v>
      </c>
      <c r="P270" s="5">
        <f t="shared" si="4"/>
        <v>0.21382575757575756</v>
      </c>
    </row>
    <row r="271" spans="1:16" x14ac:dyDescent="0.3">
      <c r="A271" t="s">
        <v>655</v>
      </c>
      <c r="B271" t="s">
        <v>656</v>
      </c>
      <c r="C271" t="s">
        <v>440</v>
      </c>
      <c r="D271" t="s">
        <v>141</v>
      </c>
      <c r="E271" t="s">
        <v>22</v>
      </c>
      <c r="F271" t="s">
        <v>23</v>
      </c>
      <c r="G271">
        <v>1</v>
      </c>
      <c r="H271">
        <v>58.15</v>
      </c>
      <c r="I271">
        <v>58.15</v>
      </c>
      <c r="J271">
        <v>4.2</v>
      </c>
      <c r="K271">
        <v>18.95</v>
      </c>
      <c r="L271" t="s">
        <v>33</v>
      </c>
      <c r="M271" t="s">
        <v>34</v>
      </c>
      <c r="N271" t="s">
        <v>142</v>
      </c>
      <c r="O271">
        <v>35</v>
      </c>
      <c r="P271" s="5">
        <f t="shared" si="4"/>
        <v>0.32588134135855545</v>
      </c>
    </row>
    <row r="272" spans="1:16" x14ac:dyDescent="0.3">
      <c r="A272" t="s">
        <v>657</v>
      </c>
      <c r="B272" t="s">
        <v>658</v>
      </c>
      <c r="C272" t="s">
        <v>157</v>
      </c>
      <c r="D272" t="s">
        <v>45</v>
      </c>
      <c r="E272" t="s">
        <v>46</v>
      </c>
      <c r="F272" t="s">
        <v>47</v>
      </c>
      <c r="G272">
        <v>32</v>
      </c>
      <c r="H272">
        <v>45.96</v>
      </c>
      <c r="I272">
        <v>1470.72</v>
      </c>
      <c r="J272">
        <v>82.77</v>
      </c>
      <c r="K272">
        <v>363.95</v>
      </c>
      <c r="L272" t="s">
        <v>24</v>
      </c>
      <c r="M272" t="s">
        <v>34</v>
      </c>
      <c r="N272" t="s">
        <v>49</v>
      </c>
      <c r="O272">
        <v>1024</v>
      </c>
      <c r="P272" s="5">
        <f t="shared" si="4"/>
        <v>0.24746382724107918</v>
      </c>
    </row>
    <row r="273" spans="1:16" x14ac:dyDescent="0.3">
      <c r="A273" t="s">
        <v>659</v>
      </c>
      <c r="B273" t="s">
        <v>660</v>
      </c>
      <c r="C273" t="s">
        <v>471</v>
      </c>
      <c r="D273" t="s">
        <v>37</v>
      </c>
      <c r="E273" t="s">
        <v>86</v>
      </c>
      <c r="F273" t="s">
        <v>47</v>
      </c>
      <c r="G273">
        <v>37</v>
      </c>
      <c r="H273">
        <v>16.82</v>
      </c>
      <c r="I273">
        <v>622.34</v>
      </c>
      <c r="J273">
        <v>32.9</v>
      </c>
      <c r="K273">
        <v>117.69</v>
      </c>
      <c r="L273" t="s">
        <v>48</v>
      </c>
      <c r="M273" t="s">
        <v>34</v>
      </c>
      <c r="N273" t="s">
        <v>35</v>
      </c>
      <c r="O273">
        <v>471.75000000000006</v>
      </c>
      <c r="P273" s="5">
        <f t="shared" si="4"/>
        <v>0.18910884725391264</v>
      </c>
    </row>
    <row r="274" spans="1:16" x14ac:dyDescent="0.3">
      <c r="A274" t="s">
        <v>661</v>
      </c>
      <c r="B274" t="s">
        <v>662</v>
      </c>
      <c r="C274" t="s">
        <v>66</v>
      </c>
      <c r="D274" t="s">
        <v>37</v>
      </c>
      <c r="E274" t="s">
        <v>46</v>
      </c>
      <c r="F274" t="s">
        <v>47</v>
      </c>
      <c r="G274">
        <v>18</v>
      </c>
      <c r="H274">
        <v>54.62</v>
      </c>
      <c r="I274">
        <v>983.16</v>
      </c>
      <c r="J274">
        <v>22.61</v>
      </c>
      <c r="K274">
        <v>384.55</v>
      </c>
      <c r="L274" t="s">
        <v>48</v>
      </c>
      <c r="M274" t="s">
        <v>34</v>
      </c>
      <c r="N274" t="s">
        <v>35</v>
      </c>
      <c r="O274">
        <v>575.99999999999989</v>
      </c>
      <c r="P274" s="5">
        <f t="shared" si="4"/>
        <v>0.39113674274787424</v>
      </c>
    </row>
    <row r="275" spans="1:16" x14ac:dyDescent="0.3">
      <c r="A275" t="s">
        <v>663</v>
      </c>
      <c r="B275" t="s">
        <v>664</v>
      </c>
      <c r="C275" t="s">
        <v>170</v>
      </c>
      <c r="D275" t="s">
        <v>37</v>
      </c>
      <c r="E275" t="s">
        <v>86</v>
      </c>
      <c r="F275" t="s">
        <v>47</v>
      </c>
      <c r="G275">
        <v>30</v>
      </c>
      <c r="H275">
        <v>22.83</v>
      </c>
      <c r="I275">
        <v>684.9</v>
      </c>
      <c r="J275">
        <v>32.31</v>
      </c>
      <c r="K275">
        <v>270.08999999999997</v>
      </c>
      <c r="L275" t="s">
        <v>24</v>
      </c>
      <c r="M275" t="s">
        <v>34</v>
      </c>
      <c r="N275" t="s">
        <v>35</v>
      </c>
      <c r="O275">
        <v>382.5</v>
      </c>
      <c r="P275" s="5">
        <f t="shared" si="4"/>
        <v>0.3943495400788436</v>
      </c>
    </row>
    <row r="276" spans="1:16" x14ac:dyDescent="0.3">
      <c r="A276" t="s">
        <v>665</v>
      </c>
      <c r="B276" t="s">
        <v>388</v>
      </c>
      <c r="C276" t="s">
        <v>666</v>
      </c>
      <c r="D276" t="s">
        <v>171</v>
      </c>
      <c r="E276" t="s">
        <v>46</v>
      </c>
      <c r="F276" t="s">
        <v>47</v>
      </c>
      <c r="G276">
        <v>39</v>
      </c>
      <c r="H276">
        <v>47.02</v>
      </c>
      <c r="I276">
        <v>1833.78</v>
      </c>
      <c r="J276">
        <v>50.01</v>
      </c>
      <c r="K276">
        <v>535.77</v>
      </c>
      <c r="L276" t="s">
        <v>48</v>
      </c>
      <c r="M276" t="s">
        <v>34</v>
      </c>
      <c r="N276" t="s">
        <v>35</v>
      </c>
      <c r="O276">
        <v>1248</v>
      </c>
      <c r="P276" s="5">
        <f t="shared" si="4"/>
        <v>0.29216699931289469</v>
      </c>
    </row>
    <row r="277" spans="1:16" x14ac:dyDescent="0.3">
      <c r="A277" t="s">
        <v>667</v>
      </c>
      <c r="B277" t="s">
        <v>668</v>
      </c>
      <c r="C277" t="s">
        <v>145</v>
      </c>
      <c r="D277" t="s">
        <v>21</v>
      </c>
      <c r="E277" t="s">
        <v>137</v>
      </c>
      <c r="F277" t="s">
        <v>68</v>
      </c>
      <c r="G277">
        <v>22</v>
      </c>
      <c r="H277">
        <v>43.32</v>
      </c>
      <c r="I277">
        <v>953.04</v>
      </c>
      <c r="J277">
        <v>71.3</v>
      </c>
      <c r="K277">
        <v>265.74</v>
      </c>
      <c r="L277" t="s">
        <v>33</v>
      </c>
      <c r="M277" t="s">
        <v>41</v>
      </c>
      <c r="N277" t="s">
        <v>98</v>
      </c>
      <c r="O277">
        <v>616</v>
      </c>
      <c r="P277" s="5">
        <f t="shared" si="4"/>
        <v>0.27883404683958701</v>
      </c>
    </row>
    <row r="278" spans="1:16" x14ac:dyDescent="0.3">
      <c r="A278" t="s">
        <v>669</v>
      </c>
      <c r="B278" t="s">
        <v>670</v>
      </c>
      <c r="C278" t="s">
        <v>475</v>
      </c>
      <c r="D278" t="s">
        <v>127</v>
      </c>
      <c r="E278" t="s">
        <v>67</v>
      </c>
      <c r="F278" t="s">
        <v>68</v>
      </c>
      <c r="G278">
        <v>6</v>
      </c>
      <c r="H278">
        <v>31.69</v>
      </c>
      <c r="I278">
        <v>190.14</v>
      </c>
      <c r="J278">
        <v>12.52</v>
      </c>
      <c r="K278">
        <v>42.62</v>
      </c>
      <c r="L278" t="s">
        <v>48</v>
      </c>
      <c r="M278" t="s">
        <v>34</v>
      </c>
      <c r="N278" t="s">
        <v>76</v>
      </c>
      <c r="O278">
        <v>134.99999999999997</v>
      </c>
      <c r="P278" s="5">
        <f t="shared" si="4"/>
        <v>0.22415062585463344</v>
      </c>
    </row>
    <row r="279" spans="1:16" x14ac:dyDescent="0.3">
      <c r="A279" t="s">
        <v>671</v>
      </c>
      <c r="B279" t="s">
        <v>672</v>
      </c>
      <c r="C279" t="s">
        <v>317</v>
      </c>
      <c r="D279" t="s">
        <v>241</v>
      </c>
      <c r="E279" t="s">
        <v>22</v>
      </c>
      <c r="F279" t="s">
        <v>23</v>
      </c>
      <c r="G279">
        <v>19</v>
      </c>
      <c r="H279">
        <v>53.28</v>
      </c>
      <c r="I279">
        <v>1012.32</v>
      </c>
      <c r="J279">
        <v>27.24</v>
      </c>
      <c r="K279">
        <v>320.08</v>
      </c>
      <c r="L279" t="s">
        <v>48</v>
      </c>
      <c r="M279" t="s">
        <v>34</v>
      </c>
      <c r="N279" t="s">
        <v>35</v>
      </c>
      <c r="O279">
        <v>665</v>
      </c>
      <c r="P279" s="5">
        <f t="shared" si="4"/>
        <v>0.31618460565828982</v>
      </c>
    </row>
    <row r="280" spans="1:16" x14ac:dyDescent="0.3">
      <c r="A280" t="s">
        <v>673</v>
      </c>
      <c r="B280" t="s">
        <v>530</v>
      </c>
      <c r="C280" t="s">
        <v>246</v>
      </c>
      <c r="D280" t="s">
        <v>21</v>
      </c>
      <c r="E280" t="s">
        <v>22</v>
      </c>
      <c r="F280" t="s">
        <v>23</v>
      </c>
      <c r="G280">
        <v>47</v>
      </c>
      <c r="H280">
        <v>47.53</v>
      </c>
      <c r="I280">
        <v>2233.91</v>
      </c>
      <c r="J280">
        <v>128.91</v>
      </c>
      <c r="K280">
        <v>460</v>
      </c>
      <c r="L280" t="s">
        <v>33</v>
      </c>
      <c r="M280" t="s">
        <v>25</v>
      </c>
      <c r="N280" t="s">
        <v>98</v>
      </c>
      <c r="O280">
        <v>1644.9999999999998</v>
      </c>
      <c r="P280" s="5">
        <f t="shared" si="4"/>
        <v>0.20591697964555422</v>
      </c>
    </row>
    <row r="281" spans="1:16" x14ac:dyDescent="0.3">
      <c r="A281" t="s">
        <v>674</v>
      </c>
      <c r="B281" t="s">
        <v>675</v>
      </c>
      <c r="C281" t="s">
        <v>455</v>
      </c>
      <c r="D281" t="s">
        <v>116</v>
      </c>
      <c r="E281" t="s">
        <v>63</v>
      </c>
      <c r="F281" t="s">
        <v>47</v>
      </c>
      <c r="G281">
        <v>12</v>
      </c>
      <c r="H281">
        <v>24.02</v>
      </c>
      <c r="I281">
        <v>288.24</v>
      </c>
      <c r="J281">
        <v>9.8000000000000007</v>
      </c>
      <c r="K281">
        <v>38.44</v>
      </c>
      <c r="L281" t="s">
        <v>24</v>
      </c>
      <c r="M281" t="s">
        <v>41</v>
      </c>
      <c r="N281" t="s">
        <v>76</v>
      </c>
      <c r="O281">
        <v>240</v>
      </c>
      <c r="P281" s="5">
        <f t="shared" si="4"/>
        <v>0.133361087982237</v>
      </c>
    </row>
    <row r="282" spans="1:16" x14ac:dyDescent="0.3">
      <c r="A282" t="s">
        <v>676</v>
      </c>
      <c r="B282" t="s">
        <v>577</v>
      </c>
      <c r="C282" t="s">
        <v>574</v>
      </c>
      <c r="D282" t="s">
        <v>116</v>
      </c>
      <c r="E282" t="s">
        <v>86</v>
      </c>
      <c r="F282" t="s">
        <v>47</v>
      </c>
      <c r="G282">
        <v>32</v>
      </c>
      <c r="H282">
        <v>15.64</v>
      </c>
      <c r="I282">
        <v>500.48</v>
      </c>
      <c r="J282">
        <v>24.69</v>
      </c>
      <c r="K282">
        <v>67.790000000000006</v>
      </c>
      <c r="L282" t="s">
        <v>48</v>
      </c>
      <c r="M282" t="s">
        <v>25</v>
      </c>
      <c r="N282" t="s">
        <v>76</v>
      </c>
      <c r="O282">
        <v>408</v>
      </c>
      <c r="P282" s="5">
        <f t="shared" si="4"/>
        <v>0.13544996803069054</v>
      </c>
    </row>
    <row r="283" spans="1:16" x14ac:dyDescent="0.3">
      <c r="A283" t="s">
        <v>677</v>
      </c>
      <c r="B283" t="s">
        <v>495</v>
      </c>
      <c r="C283" t="s">
        <v>381</v>
      </c>
      <c r="D283" t="s">
        <v>206</v>
      </c>
      <c r="E283" t="s">
        <v>46</v>
      </c>
      <c r="F283" t="s">
        <v>47</v>
      </c>
      <c r="G283">
        <v>22</v>
      </c>
      <c r="H283">
        <v>42.54</v>
      </c>
      <c r="I283">
        <v>935.88</v>
      </c>
      <c r="J283">
        <v>45.37</v>
      </c>
      <c r="K283">
        <v>186.51</v>
      </c>
      <c r="L283" t="s">
        <v>24</v>
      </c>
      <c r="M283" t="s">
        <v>41</v>
      </c>
      <c r="N283" t="s">
        <v>207</v>
      </c>
      <c r="O283">
        <v>704</v>
      </c>
      <c r="P283" s="5">
        <f t="shared" si="4"/>
        <v>0.1992883703038851</v>
      </c>
    </row>
    <row r="284" spans="1:16" x14ac:dyDescent="0.3">
      <c r="A284" t="s">
        <v>678</v>
      </c>
      <c r="B284" t="s">
        <v>679</v>
      </c>
      <c r="C284" t="s">
        <v>499</v>
      </c>
      <c r="D284" t="s">
        <v>70</v>
      </c>
      <c r="E284" t="s">
        <v>74</v>
      </c>
      <c r="F284" t="s">
        <v>75</v>
      </c>
      <c r="G284">
        <v>37</v>
      </c>
      <c r="H284">
        <v>43.55</v>
      </c>
      <c r="I284">
        <v>1611.35</v>
      </c>
      <c r="J284">
        <v>67.78</v>
      </c>
      <c r="K284">
        <v>618.57000000000005</v>
      </c>
      <c r="L284" t="s">
        <v>33</v>
      </c>
      <c r="M284" t="s">
        <v>34</v>
      </c>
      <c r="N284" t="s">
        <v>76</v>
      </c>
      <c r="O284">
        <v>924.99999999999989</v>
      </c>
      <c r="P284" s="5">
        <f t="shared" si="4"/>
        <v>0.38388307940546751</v>
      </c>
    </row>
    <row r="285" spans="1:16" x14ac:dyDescent="0.3">
      <c r="A285" t="s">
        <v>680</v>
      </c>
      <c r="B285" t="s">
        <v>349</v>
      </c>
      <c r="C285" t="s">
        <v>182</v>
      </c>
      <c r="D285" t="s">
        <v>45</v>
      </c>
      <c r="E285" t="s">
        <v>81</v>
      </c>
      <c r="F285" t="s">
        <v>68</v>
      </c>
      <c r="G285">
        <v>42</v>
      </c>
      <c r="H285">
        <v>20.260000000000002</v>
      </c>
      <c r="I285">
        <v>850.92</v>
      </c>
      <c r="J285">
        <v>22.43</v>
      </c>
      <c r="K285">
        <v>177.49</v>
      </c>
      <c r="L285" t="s">
        <v>48</v>
      </c>
      <c r="M285" t="s">
        <v>41</v>
      </c>
      <c r="N285" t="s">
        <v>49</v>
      </c>
      <c r="O285">
        <v>651</v>
      </c>
      <c r="P285" s="5">
        <f t="shared" si="4"/>
        <v>0.20858600103417479</v>
      </c>
    </row>
    <row r="286" spans="1:16" x14ac:dyDescent="0.3">
      <c r="A286" t="s">
        <v>681</v>
      </c>
      <c r="B286" t="s">
        <v>682</v>
      </c>
      <c r="C286" t="s">
        <v>113</v>
      </c>
      <c r="D286" t="s">
        <v>55</v>
      </c>
      <c r="E286" t="s">
        <v>32</v>
      </c>
      <c r="F286" t="s">
        <v>23</v>
      </c>
      <c r="G286">
        <v>43</v>
      </c>
      <c r="H286">
        <v>24.08</v>
      </c>
      <c r="I286">
        <v>1035.44</v>
      </c>
      <c r="J286">
        <v>35.07</v>
      </c>
      <c r="K286">
        <v>226.37</v>
      </c>
      <c r="L286" t="s">
        <v>33</v>
      </c>
      <c r="M286" t="s">
        <v>41</v>
      </c>
      <c r="N286" t="s">
        <v>98</v>
      </c>
      <c r="O286">
        <v>774</v>
      </c>
      <c r="P286" s="5">
        <f t="shared" si="4"/>
        <v>0.21862203507687553</v>
      </c>
    </row>
    <row r="287" spans="1:16" x14ac:dyDescent="0.3">
      <c r="A287" t="s">
        <v>683</v>
      </c>
      <c r="B287" t="s">
        <v>366</v>
      </c>
      <c r="C287" t="s">
        <v>471</v>
      </c>
      <c r="D287" t="s">
        <v>241</v>
      </c>
      <c r="E287" t="s">
        <v>56</v>
      </c>
      <c r="F287" t="s">
        <v>57</v>
      </c>
      <c r="G287">
        <v>14</v>
      </c>
      <c r="H287">
        <v>69.010000000000005</v>
      </c>
      <c r="I287">
        <v>966.14</v>
      </c>
      <c r="J287">
        <v>32.67</v>
      </c>
      <c r="K287">
        <v>373.47</v>
      </c>
      <c r="L287" t="s">
        <v>33</v>
      </c>
      <c r="M287" t="s">
        <v>25</v>
      </c>
      <c r="N287" t="s">
        <v>35</v>
      </c>
      <c r="O287">
        <v>560</v>
      </c>
      <c r="P287" s="5">
        <f t="shared" si="4"/>
        <v>0.38655888380565967</v>
      </c>
    </row>
    <row r="288" spans="1:16" x14ac:dyDescent="0.3">
      <c r="A288" t="s">
        <v>684</v>
      </c>
      <c r="B288" t="s">
        <v>435</v>
      </c>
      <c r="C288" t="s">
        <v>188</v>
      </c>
      <c r="D288" t="s">
        <v>206</v>
      </c>
      <c r="E288" t="s">
        <v>63</v>
      </c>
      <c r="F288" t="s">
        <v>47</v>
      </c>
      <c r="G288">
        <v>29</v>
      </c>
      <c r="H288">
        <v>28.29</v>
      </c>
      <c r="I288">
        <v>820.41</v>
      </c>
      <c r="J288">
        <v>63.15</v>
      </c>
      <c r="K288">
        <v>177.26</v>
      </c>
      <c r="L288" t="s">
        <v>48</v>
      </c>
      <c r="M288" t="s">
        <v>41</v>
      </c>
      <c r="N288" t="s">
        <v>207</v>
      </c>
      <c r="O288">
        <v>580</v>
      </c>
      <c r="P288" s="5">
        <f t="shared" si="4"/>
        <v>0.21606270035713851</v>
      </c>
    </row>
    <row r="289" spans="1:16" x14ac:dyDescent="0.3">
      <c r="A289" t="s">
        <v>685</v>
      </c>
      <c r="B289" t="s">
        <v>686</v>
      </c>
      <c r="C289" t="s">
        <v>352</v>
      </c>
      <c r="D289" t="s">
        <v>62</v>
      </c>
      <c r="E289" t="s">
        <v>81</v>
      </c>
      <c r="F289" t="s">
        <v>68</v>
      </c>
      <c r="G289">
        <v>29</v>
      </c>
      <c r="H289">
        <v>26.51</v>
      </c>
      <c r="I289">
        <v>768.79</v>
      </c>
      <c r="J289">
        <v>15.66</v>
      </c>
      <c r="K289">
        <v>303.63</v>
      </c>
      <c r="L289" t="s">
        <v>33</v>
      </c>
      <c r="M289" t="s">
        <v>25</v>
      </c>
      <c r="N289" t="s">
        <v>98</v>
      </c>
      <c r="O289">
        <v>449.49999999999994</v>
      </c>
      <c r="P289" s="5">
        <f t="shared" si="4"/>
        <v>0.3949453036589966</v>
      </c>
    </row>
    <row r="290" spans="1:16" x14ac:dyDescent="0.3">
      <c r="A290" t="s">
        <v>687</v>
      </c>
      <c r="B290" t="s">
        <v>688</v>
      </c>
      <c r="C290" t="s">
        <v>194</v>
      </c>
      <c r="D290" t="s">
        <v>55</v>
      </c>
      <c r="E290" t="s">
        <v>22</v>
      </c>
      <c r="F290" t="s">
        <v>23</v>
      </c>
      <c r="G290">
        <v>11</v>
      </c>
      <c r="H290">
        <v>58.07</v>
      </c>
      <c r="I290">
        <v>638.77</v>
      </c>
      <c r="J290">
        <v>43.89</v>
      </c>
      <c r="K290">
        <v>209.88</v>
      </c>
      <c r="L290" t="s">
        <v>24</v>
      </c>
      <c r="M290" t="s">
        <v>34</v>
      </c>
      <c r="N290" t="s">
        <v>98</v>
      </c>
      <c r="O290">
        <v>385</v>
      </c>
      <c r="P290" s="5">
        <f t="shared" si="4"/>
        <v>0.32856896848630962</v>
      </c>
    </row>
    <row r="291" spans="1:16" x14ac:dyDescent="0.3">
      <c r="A291" t="s">
        <v>689</v>
      </c>
      <c r="B291" t="s">
        <v>536</v>
      </c>
      <c r="C291" t="s">
        <v>177</v>
      </c>
      <c r="D291" t="s">
        <v>31</v>
      </c>
      <c r="E291" t="s">
        <v>46</v>
      </c>
      <c r="F291" t="s">
        <v>47</v>
      </c>
      <c r="G291">
        <v>3</v>
      </c>
      <c r="H291">
        <v>48.76</v>
      </c>
      <c r="I291">
        <v>146.28</v>
      </c>
      <c r="J291">
        <v>10.45</v>
      </c>
      <c r="K291">
        <v>39.83</v>
      </c>
      <c r="L291" t="s">
        <v>48</v>
      </c>
      <c r="M291" t="s">
        <v>34</v>
      </c>
      <c r="N291" t="s">
        <v>35</v>
      </c>
      <c r="O291">
        <v>96</v>
      </c>
      <c r="P291" s="5">
        <f t="shared" si="4"/>
        <v>0.2722860267979218</v>
      </c>
    </row>
    <row r="292" spans="1:16" x14ac:dyDescent="0.3">
      <c r="A292" t="s">
        <v>690</v>
      </c>
      <c r="B292" t="s">
        <v>691</v>
      </c>
      <c r="C292" t="s">
        <v>257</v>
      </c>
      <c r="D292" t="s">
        <v>70</v>
      </c>
      <c r="E292" t="s">
        <v>63</v>
      </c>
      <c r="F292" t="s">
        <v>47</v>
      </c>
      <c r="G292">
        <v>49</v>
      </c>
      <c r="H292">
        <v>30.46</v>
      </c>
      <c r="I292">
        <v>1492.54</v>
      </c>
      <c r="J292">
        <v>51.82</v>
      </c>
      <c r="K292">
        <v>460.72</v>
      </c>
      <c r="L292" t="s">
        <v>33</v>
      </c>
      <c r="M292" t="s">
        <v>25</v>
      </c>
      <c r="N292" t="s">
        <v>76</v>
      </c>
      <c r="O292">
        <v>979.99999999999977</v>
      </c>
      <c r="P292" s="5">
        <f t="shared" si="4"/>
        <v>0.30868184437268015</v>
      </c>
    </row>
    <row r="293" spans="1:16" x14ac:dyDescent="0.3">
      <c r="A293" t="s">
        <v>692</v>
      </c>
      <c r="B293" t="s">
        <v>131</v>
      </c>
      <c r="C293" t="s">
        <v>40</v>
      </c>
      <c r="D293" t="s">
        <v>51</v>
      </c>
      <c r="E293" t="s">
        <v>137</v>
      </c>
      <c r="F293" t="s">
        <v>68</v>
      </c>
      <c r="G293">
        <v>25</v>
      </c>
      <c r="H293">
        <v>35.21</v>
      </c>
      <c r="I293">
        <v>880.25</v>
      </c>
      <c r="J293">
        <v>39.799999999999997</v>
      </c>
      <c r="K293">
        <v>140.44999999999999</v>
      </c>
      <c r="L293" t="s">
        <v>48</v>
      </c>
      <c r="M293" t="s">
        <v>34</v>
      </c>
      <c r="N293" t="s">
        <v>76</v>
      </c>
      <c r="O293">
        <v>700</v>
      </c>
      <c r="P293" s="5">
        <f t="shared" si="4"/>
        <v>0.1595569440499858</v>
      </c>
    </row>
    <row r="294" spans="1:16" x14ac:dyDescent="0.3">
      <c r="A294" t="s">
        <v>693</v>
      </c>
      <c r="B294" t="s">
        <v>694</v>
      </c>
      <c r="C294" t="s">
        <v>352</v>
      </c>
      <c r="D294" t="s">
        <v>21</v>
      </c>
      <c r="E294" t="s">
        <v>137</v>
      </c>
      <c r="F294" t="s">
        <v>68</v>
      </c>
      <c r="G294">
        <v>37</v>
      </c>
      <c r="H294">
        <v>44.82</v>
      </c>
      <c r="I294">
        <v>1658.34</v>
      </c>
      <c r="J294">
        <v>65.75</v>
      </c>
      <c r="K294">
        <v>556.59</v>
      </c>
      <c r="L294" t="s">
        <v>33</v>
      </c>
      <c r="M294" t="s">
        <v>34</v>
      </c>
      <c r="N294" t="s">
        <v>98</v>
      </c>
      <c r="O294">
        <v>1036</v>
      </c>
      <c r="P294" s="5">
        <f t="shared" si="4"/>
        <v>0.33563081153442603</v>
      </c>
    </row>
    <row r="295" spans="1:16" x14ac:dyDescent="0.3">
      <c r="A295" t="s">
        <v>695</v>
      </c>
      <c r="B295" t="s">
        <v>696</v>
      </c>
      <c r="C295" t="s">
        <v>485</v>
      </c>
      <c r="D295" t="s">
        <v>241</v>
      </c>
      <c r="E295" t="s">
        <v>81</v>
      </c>
      <c r="F295" t="s">
        <v>68</v>
      </c>
      <c r="G295">
        <v>11</v>
      </c>
      <c r="H295">
        <v>18.75</v>
      </c>
      <c r="I295">
        <v>206.25</v>
      </c>
      <c r="J295">
        <v>11.67</v>
      </c>
      <c r="K295">
        <v>24.08</v>
      </c>
      <c r="L295" t="s">
        <v>24</v>
      </c>
      <c r="M295" t="s">
        <v>25</v>
      </c>
      <c r="N295" t="s">
        <v>35</v>
      </c>
      <c r="O295">
        <v>170.50000000000003</v>
      </c>
      <c r="P295" s="5">
        <f t="shared" si="4"/>
        <v>0.11675151515151515</v>
      </c>
    </row>
    <row r="296" spans="1:16" x14ac:dyDescent="0.3">
      <c r="A296" t="s">
        <v>697</v>
      </c>
      <c r="B296" t="s">
        <v>488</v>
      </c>
      <c r="C296" t="s">
        <v>352</v>
      </c>
      <c r="D296" t="s">
        <v>45</v>
      </c>
      <c r="E296" t="s">
        <v>63</v>
      </c>
      <c r="F296" t="s">
        <v>47</v>
      </c>
      <c r="G296">
        <v>37</v>
      </c>
      <c r="H296">
        <v>31.66</v>
      </c>
      <c r="I296">
        <v>1171.42</v>
      </c>
      <c r="J296">
        <v>58.95</v>
      </c>
      <c r="K296">
        <v>372.47</v>
      </c>
      <c r="L296" t="s">
        <v>48</v>
      </c>
      <c r="M296" t="s">
        <v>25</v>
      </c>
      <c r="N296" t="s">
        <v>49</v>
      </c>
      <c r="O296">
        <v>740</v>
      </c>
      <c r="P296" s="5">
        <f t="shared" si="4"/>
        <v>0.31796452169162215</v>
      </c>
    </row>
    <row r="297" spans="1:16" x14ac:dyDescent="0.3">
      <c r="A297" t="s">
        <v>698</v>
      </c>
      <c r="B297" t="s">
        <v>699</v>
      </c>
      <c r="C297" t="s">
        <v>475</v>
      </c>
      <c r="D297" t="s">
        <v>31</v>
      </c>
      <c r="E297" t="s">
        <v>63</v>
      </c>
      <c r="F297" t="s">
        <v>47</v>
      </c>
      <c r="G297">
        <v>17</v>
      </c>
      <c r="H297">
        <v>32.74</v>
      </c>
      <c r="I297">
        <v>556.58000000000004</v>
      </c>
      <c r="J297">
        <v>14.68</v>
      </c>
      <c r="K297">
        <v>201.9</v>
      </c>
      <c r="L297" t="s">
        <v>33</v>
      </c>
      <c r="M297" t="s">
        <v>34</v>
      </c>
      <c r="N297" t="s">
        <v>35</v>
      </c>
      <c r="O297">
        <v>340.00000000000006</v>
      </c>
      <c r="P297" s="5">
        <f t="shared" si="4"/>
        <v>0.36275108699558012</v>
      </c>
    </row>
    <row r="298" spans="1:16" x14ac:dyDescent="0.3">
      <c r="A298" t="s">
        <v>700</v>
      </c>
      <c r="B298" t="s">
        <v>701</v>
      </c>
      <c r="C298" t="s">
        <v>113</v>
      </c>
      <c r="D298" t="s">
        <v>21</v>
      </c>
      <c r="E298" t="s">
        <v>137</v>
      </c>
      <c r="F298" t="s">
        <v>68</v>
      </c>
      <c r="G298">
        <v>7</v>
      </c>
      <c r="H298">
        <v>46.64</v>
      </c>
      <c r="I298">
        <v>326.48</v>
      </c>
      <c r="J298">
        <v>25.19</v>
      </c>
      <c r="K298">
        <v>105.29</v>
      </c>
      <c r="L298" t="s">
        <v>33</v>
      </c>
      <c r="M298" t="s">
        <v>41</v>
      </c>
      <c r="N298" t="s">
        <v>98</v>
      </c>
      <c r="O298">
        <v>196</v>
      </c>
      <c r="P298" s="5">
        <f t="shared" si="4"/>
        <v>0.32250061259495222</v>
      </c>
    </row>
    <row r="299" spans="1:16" x14ac:dyDescent="0.3">
      <c r="A299" t="s">
        <v>702</v>
      </c>
      <c r="B299" t="s">
        <v>703</v>
      </c>
      <c r="C299" t="s">
        <v>216</v>
      </c>
      <c r="D299" t="s">
        <v>123</v>
      </c>
      <c r="E299" t="s">
        <v>32</v>
      </c>
      <c r="F299" t="s">
        <v>23</v>
      </c>
      <c r="G299">
        <v>16</v>
      </c>
      <c r="H299">
        <v>24.77</v>
      </c>
      <c r="I299">
        <v>396.32</v>
      </c>
      <c r="J299">
        <v>15.6</v>
      </c>
      <c r="K299">
        <v>92.72</v>
      </c>
      <c r="L299" t="s">
        <v>24</v>
      </c>
      <c r="M299" t="s">
        <v>41</v>
      </c>
      <c r="N299" t="s">
        <v>76</v>
      </c>
      <c r="O299">
        <v>288</v>
      </c>
      <c r="P299" s="5">
        <f t="shared" si="4"/>
        <v>0.23395236172789666</v>
      </c>
    </row>
    <row r="300" spans="1:16" x14ac:dyDescent="0.3">
      <c r="A300" t="s">
        <v>704</v>
      </c>
      <c r="B300" t="s">
        <v>406</v>
      </c>
      <c r="C300" t="s">
        <v>85</v>
      </c>
      <c r="D300" t="s">
        <v>62</v>
      </c>
      <c r="E300" t="s">
        <v>56</v>
      </c>
      <c r="F300" t="s">
        <v>57</v>
      </c>
      <c r="G300">
        <v>39</v>
      </c>
      <c r="H300">
        <v>56.5</v>
      </c>
      <c r="I300">
        <v>2203.5</v>
      </c>
      <c r="J300">
        <v>141.58000000000001</v>
      </c>
      <c r="K300">
        <v>501.92</v>
      </c>
      <c r="L300" t="s">
        <v>48</v>
      </c>
      <c r="M300" t="s">
        <v>25</v>
      </c>
      <c r="N300" t="s">
        <v>98</v>
      </c>
      <c r="O300">
        <v>1560</v>
      </c>
      <c r="P300" s="5">
        <f t="shared" si="4"/>
        <v>0.2277830723848423</v>
      </c>
    </row>
    <row r="301" spans="1:16" x14ac:dyDescent="0.3">
      <c r="A301" t="s">
        <v>705</v>
      </c>
      <c r="B301" t="s">
        <v>706</v>
      </c>
      <c r="C301" t="s">
        <v>574</v>
      </c>
      <c r="D301" t="s">
        <v>70</v>
      </c>
      <c r="E301" t="s">
        <v>81</v>
      </c>
      <c r="F301" t="s">
        <v>68</v>
      </c>
      <c r="G301">
        <v>1</v>
      </c>
      <c r="H301">
        <v>24.01</v>
      </c>
      <c r="I301">
        <v>24.01</v>
      </c>
      <c r="J301">
        <v>1.58</v>
      </c>
      <c r="K301">
        <v>6.93</v>
      </c>
      <c r="L301" t="s">
        <v>24</v>
      </c>
      <c r="M301" t="s">
        <v>25</v>
      </c>
      <c r="N301" t="s">
        <v>76</v>
      </c>
      <c r="O301">
        <v>15.500000000000002</v>
      </c>
      <c r="P301" s="5">
        <f t="shared" si="4"/>
        <v>0.28862973760932942</v>
      </c>
    </row>
    <row r="302" spans="1:16" x14ac:dyDescent="0.3">
      <c r="A302" t="s">
        <v>707</v>
      </c>
      <c r="B302" t="s">
        <v>187</v>
      </c>
      <c r="C302" t="s">
        <v>162</v>
      </c>
      <c r="D302" t="s">
        <v>70</v>
      </c>
      <c r="E302" t="s">
        <v>74</v>
      </c>
      <c r="F302" t="s">
        <v>75</v>
      </c>
      <c r="G302">
        <v>45</v>
      </c>
      <c r="H302">
        <v>35.99</v>
      </c>
      <c r="I302">
        <v>1619.55</v>
      </c>
      <c r="J302">
        <v>49.95</v>
      </c>
      <c r="K302">
        <v>444.6</v>
      </c>
      <c r="L302" t="s">
        <v>24</v>
      </c>
      <c r="M302" t="s">
        <v>34</v>
      </c>
      <c r="N302" t="s">
        <v>76</v>
      </c>
      <c r="O302">
        <v>1124.9999999999998</v>
      </c>
      <c r="P302" s="5">
        <f t="shared" si="4"/>
        <v>0.27452070019449848</v>
      </c>
    </row>
    <row r="303" spans="1:16" x14ac:dyDescent="0.3">
      <c r="A303" t="s">
        <v>708</v>
      </c>
      <c r="B303" t="s">
        <v>303</v>
      </c>
      <c r="C303" t="s">
        <v>266</v>
      </c>
      <c r="D303" t="s">
        <v>116</v>
      </c>
      <c r="E303" t="s">
        <v>63</v>
      </c>
      <c r="F303" t="s">
        <v>47</v>
      </c>
      <c r="G303">
        <v>5</v>
      </c>
      <c r="H303">
        <v>25.45</v>
      </c>
      <c r="I303">
        <v>127.25</v>
      </c>
      <c r="J303">
        <v>7.22</v>
      </c>
      <c r="K303">
        <v>20.03</v>
      </c>
      <c r="L303" t="s">
        <v>48</v>
      </c>
      <c r="M303" t="s">
        <v>41</v>
      </c>
      <c r="N303" t="s">
        <v>76</v>
      </c>
      <c r="O303">
        <v>100</v>
      </c>
      <c r="P303" s="5">
        <f t="shared" si="4"/>
        <v>0.15740667976424363</v>
      </c>
    </row>
    <row r="304" spans="1:16" x14ac:dyDescent="0.3">
      <c r="A304" t="s">
        <v>709</v>
      </c>
      <c r="B304" t="s">
        <v>395</v>
      </c>
      <c r="C304" t="s">
        <v>162</v>
      </c>
      <c r="D304" t="s">
        <v>127</v>
      </c>
      <c r="E304" t="s">
        <v>81</v>
      </c>
      <c r="F304" t="s">
        <v>68</v>
      </c>
      <c r="G304">
        <v>24</v>
      </c>
      <c r="H304">
        <v>19.53</v>
      </c>
      <c r="I304">
        <v>468.72</v>
      </c>
      <c r="J304">
        <v>14.12</v>
      </c>
      <c r="K304">
        <v>82.6</v>
      </c>
      <c r="L304" t="s">
        <v>24</v>
      </c>
      <c r="M304" t="s">
        <v>25</v>
      </c>
      <c r="N304" t="s">
        <v>76</v>
      </c>
      <c r="O304">
        <v>372</v>
      </c>
      <c r="P304" s="5">
        <f t="shared" si="4"/>
        <v>0.17622461170848266</v>
      </c>
    </row>
    <row r="305" spans="1:16" x14ac:dyDescent="0.3">
      <c r="A305" t="s">
        <v>710</v>
      </c>
      <c r="B305" t="s">
        <v>164</v>
      </c>
      <c r="C305" t="s">
        <v>30</v>
      </c>
      <c r="D305" t="s">
        <v>55</v>
      </c>
      <c r="E305" t="s">
        <v>86</v>
      </c>
      <c r="F305" t="s">
        <v>47</v>
      </c>
      <c r="G305">
        <v>28</v>
      </c>
      <c r="H305">
        <v>22.33</v>
      </c>
      <c r="I305">
        <v>625.24</v>
      </c>
      <c r="J305">
        <v>44.24</v>
      </c>
      <c r="K305">
        <v>224</v>
      </c>
      <c r="L305" t="s">
        <v>24</v>
      </c>
      <c r="M305" t="s">
        <v>25</v>
      </c>
      <c r="N305" t="s">
        <v>98</v>
      </c>
      <c r="O305">
        <v>357</v>
      </c>
      <c r="P305" s="5">
        <f t="shared" si="4"/>
        <v>0.35826242722794449</v>
      </c>
    </row>
    <row r="306" spans="1:16" x14ac:dyDescent="0.3">
      <c r="A306" t="s">
        <v>711</v>
      </c>
      <c r="B306" t="s">
        <v>712</v>
      </c>
      <c r="C306" t="s">
        <v>148</v>
      </c>
      <c r="D306" t="s">
        <v>37</v>
      </c>
      <c r="E306" t="s">
        <v>46</v>
      </c>
      <c r="F306" t="s">
        <v>47</v>
      </c>
      <c r="G306">
        <v>49</v>
      </c>
      <c r="H306">
        <v>39.31</v>
      </c>
      <c r="I306">
        <v>1926.19</v>
      </c>
      <c r="J306">
        <v>69.7</v>
      </c>
      <c r="K306">
        <v>288.49</v>
      </c>
      <c r="L306" t="s">
        <v>33</v>
      </c>
      <c r="M306" t="s">
        <v>25</v>
      </c>
      <c r="N306" t="s">
        <v>35</v>
      </c>
      <c r="O306">
        <v>1568</v>
      </c>
      <c r="P306" s="5">
        <f t="shared" si="4"/>
        <v>0.14977234852221225</v>
      </c>
    </row>
    <row r="307" spans="1:16" x14ac:dyDescent="0.3">
      <c r="A307" t="s">
        <v>713</v>
      </c>
      <c r="B307" t="s">
        <v>714</v>
      </c>
      <c r="C307" t="s">
        <v>290</v>
      </c>
      <c r="D307" t="s">
        <v>70</v>
      </c>
      <c r="E307" t="s">
        <v>81</v>
      </c>
      <c r="F307" t="s">
        <v>68</v>
      </c>
      <c r="G307">
        <v>6</v>
      </c>
      <c r="H307">
        <v>22.95</v>
      </c>
      <c r="I307">
        <v>137.69999999999999</v>
      </c>
      <c r="J307">
        <v>5.63</v>
      </c>
      <c r="K307">
        <v>39.07</v>
      </c>
      <c r="L307" t="s">
        <v>33</v>
      </c>
      <c r="M307" t="s">
        <v>34</v>
      </c>
      <c r="N307" t="s">
        <v>76</v>
      </c>
      <c r="O307">
        <v>93</v>
      </c>
      <c r="P307" s="5">
        <f t="shared" si="4"/>
        <v>0.28373275236020334</v>
      </c>
    </row>
    <row r="308" spans="1:16" x14ac:dyDescent="0.3">
      <c r="A308" t="s">
        <v>715</v>
      </c>
      <c r="B308" t="s">
        <v>612</v>
      </c>
      <c r="C308" t="s">
        <v>246</v>
      </c>
      <c r="D308" t="s">
        <v>62</v>
      </c>
      <c r="E308" t="s">
        <v>63</v>
      </c>
      <c r="F308" t="s">
        <v>47</v>
      </c>
      <c r="G308">
        <v>35</v>
      </c>
      <c r="H308">
        <v>27.72</v>
      </c>
      <c r="I308">
        <v>970.2</v>
      </c>
      <c r="J308">
        <v>61.74</v>
      </c>
      <c r="K308">
        <v>208.46</v>
      </c>
      <c r="L308" t="s">
        <v>24</v>
      </c>
      <c r="M308" t="s">
        <v>41</v>
      </c>
      <c r="N308" t="s">
        <v>98</v>
      </c>
      <c r="O308">
        <v>700</v>
      </c>
      <c r="P308" s="5">
        <f t="shared" si="4"/>
        <v>0.21486291486291487</v>
      </c>
    </row>
    <row r="309" spans="1:16" x14ac:dyDescent="0.3">
      <c r="A309" t="s">
        <v>716</v>
      </c>
      <c r="B309" t="s">
        <v>261</v>
      </c>
      <c r="C309" t="s">
        <v>232</v>
      </c>
      <c r="D309" t="s">
        <v>51</v>
      </c>
      <c r="E309" t="s">
        <v>56</v>
      </c>
      <c r="F309" t="s">
        <v>57</v>
      </c>
      <c r="G309">
        <v>34</v>
      </c>
      <c r="H309">
        <v>64.75</v>
      </c>
      <c r="I309">
        <v>2201.5</v>
      </c>
      <c r="J309">
        <v>68.05</v>
      </c>
      <c r="K309">
        <v>773.45</v>
      </c>
      <c r="L309" t="s">
        <v>48</v>
      </c>
      <c r="M309" t="s">
        <v>41</v>
      </c>
      <c r="N309" t="s">
        <v>76</v>
      </c>
      <c r="O309">
        <v>1360</v>
      </c>
      <c r="P309" s="5">
        <f t="shared" si="4"/>
        <v>0.35132863956393368</v>
      </c>
    </row>
    <row r="310" spans="1:16" x14ac:dyDescent="0.3">
      <c r="A310" t="s">
        <v>717</v>
      </c>
      <c r="B310" t="s">
        <v>718</v>
      </c>
      <c r="C310" t="s">
        <v>191</v>
      </c>
      <c r="D310" t="s">
        <v>206</v>
      </c>
      <c r="E310" t="s">
        <v>63</v>
      </c>
      <c r="F310" t="s">
        <v>47</v>
      </c>
      <c r="G310">
        <v>49</v>
      </c>
      <c r="H310">
        <v>26.02</v>
      </c>
      <c r="I310">
        <v>1274.98</v>
      </c>
      <c r="J310">
        <v>61.84</v>
      </c>
      <c r="K310">
        <v>233.14</v>
      </c>
      <c r="L310" t="s">
        <v>48</v>
      </c>
      <c r="M310" t="s">
        <v>34</v>
      </c>
      <c r="N310" t="s">
        <v>207</v>
      </c>
      <c r="O310">
        <v>980.00000000000023</v>
      </c>
      <c r="P310" s="5">
        <f t="shared" si="4"/>
        <v>0.18285777031796577</v>
      </c>
    </row>
    <row r="311" spans="1:16" x14ac:dyDescent="0.3">
      <c r="A311" t="s">
        <v>719</v>
      </c>
      <c r="B311" t="s">
        <v>263</v>
      </c>
      <c r="C311" t="s">
        <v>391</v>
      </c>
      <c r="D311" t="s">
        <v>45</v>
      </c>
      <c r="E311" t="s">
        <v>74</v>
      </c>
      <c r="F311" t="s">
        <v>75</v>
      </c>
      <c r="G311">
        <v>1</v>
      </c>
      <c r="H311">
        <v>32.979999999999997</v>
      </c>
      <c r="I311">
        <v>32.979999999999997</v>
      </c>
      <c r="J311">
        <v>1.89</v>
      </c>
      <c r="K311">
        <v>6.09</v>
      </c>
      <c r="L311" t="s">
        <v>48</v>
      </c>
      <c r="M311" t="s">
        <v>34</v>
      </c>
      <c r="N311" t="s">
        <v>49</v>
      </c>
      <c r="O311">
        <v>24.999999999999996</v>
      </c>
      <c r="P311" s="5">
        <f t="shared" si="4"/>
        <v>0.18465736810187994</v>
      </c>
    </row>
    <row r="312" spans="1:16" x14ac:dyDescent="0.3">
      <c r="A312" t="s">
        <v>720</v>
      </c>
      <c r="B312" t="s">
        <v>294</v>
      </c>
      <c r="C312" t="s">
        <v>499</v>
      </c>
      <c r="D312" t="s">
        <v>45</v>
      </c>
      <c r="E312" t="s">
        <v>86</v>
      </c>
      <c r="F312" t="s">
        <v>47</v>
      </c>
      <c r="G312">
        <v>18</v>
      </c>
      <c r="H312">
        <v>20.09</v>
      </c>
      <c r="I312">
        <v>361.62</v>
      </c>
      <c r="J312">
        <v>8.3800000000000008</v>
      </c>
      <c r="K312">
        <v>123.74</v>
      </c>
      <c r="L312" t="s">
        <v>24</v>
      </c>
      <c r="M312" t="s">
        <v>25</v>
      </c>
      <c r="N312" t="s">
        <v>49</v>
      </c>
      <c r="O312">
        <v>229.5</v>
      </c>
      <c r="P312" s="5">
        <f t="shared" si="4"/>
        <v>0.34218240141585088</v>
      </c>
    </row>
    <row r="313" spans="1:16" x14ac:dyDescent="0.3">
      <c r="A313" t="s">
        <v>721</v>
      </c>
      <c r="B313" t="s">
        <v>679</v>
      </c>
      <c r="C313" t="s">
        <v>266</v>
      </c>
      <c r="D313" t="s">
        <v>70</v>
      </c>
      <c r="E313" t="s">
        <v>22</v>
      </c>
      <c r="F313" t="s">
        <v>23</v>
      </c>
      <c r="G313">
        <v>39</v>
      </c>
      <c r="H313">
        <v>49.59</v>
      </c>
      <c r="I313">
        <v>1934.01</v>
      </c>
      <c r="J313">
        <v>62.79</v>
      </c>
      <c r="K313">
        <v>506.22</v>
      </c>
      <c r="L313" t="s">
        <v>33</v>
      </c>
      <c r="M313" t="s">
        <v>34</v>
      </c>
      <c r="N313" t="s">
        <v>76</v>
      </c>
      <c r="O313">
        <v>1365</v>
      </c>
      <c r="P313" s="5">
        <f t="shared" si="4"/>
        <v>0.26174631982254487</v>
      </c>
    </row>
    <row r="314" spans="1:16" x14ac:dyDescent="0.3">
      <c r="A314" t="s">
        <v>722</v>
      </c>
      <c r="B314" t="s">
        <v>723</v>
      </c>
      <c r="C314" t="s">
        <v>462</v>
      </c>
      <c r="D314" t="s">
        <v>55</v>
      </c>
      <c r="E314" t="s">
        <v>46</v>
      </c>
      <c r="F314" t="s">
        <v>47</v>
      </c>
      <c r="G314">
        <v>6</v>
      </c>
      <c r="H314">
        <v>41.99</v>
      </c>
      <c r="I314">
        <v>251.94</v>
      </c>
      <c r="J314">
        <v>10.76</v>
      </c>
      <c r="K314">
        <v>49.18</v>
      </c>
      <c r="L314" t="s">
        <v>24</v>
      </c>
      <c r="M314" t="s">
        <v>25</v>
      </c>
      <c r="N314" t="s">
        <v>98</v>
      </c>
      <c r="O314">
        <v>192</v>
      </c>
      <c r="P314" s="5">
        <f t="shared" si="4"/>
        <v>0.19520520758910853</v>
      </c>
    </row>
    <row r="315" spans="1:16" x14ac:dyDescent="0.3">
      <c r="A315" t="s">
        <v>724</v>
      </c>
      <c r="B315" t="s">
        <v>243</v>
      </c>
      <c r="C315" t="s">
        <v>113</v>
      </c>
      <c r="D315" t="s">
        <v>116</v>
      </c>
      <c r="E315" t="s">
        <v>22</v>
      </c>
      <c r="F315" t="s">
        <v>23</v>
      </c>
      <c r="G315">
        <v>12</v>
      </c>
      <c r="H315">
        <v>47.4</v>
      </c>
      <c r="I315">
        <v>568.79999999999995</v>
      </c>
      <c r="J315">
        <v>23.31</v>
      </c>
      <c r="K315">
        <v>125.49</v>
      </c>
      <c r="L315" t="s">
        <v>48</v>
      </c>
      <c r="M315" t="s">
        <v>25</v>
      </c>
      <c r="N315" t="s">
        <v>76</v>
      </c>
      <c r="O315">
        <v>419.99999999999989</v>
      </c>
      <c r="P315" s="5">
        <f t="shared" si="4"/>
        <v>0.22062236286919831</v>
      </c>
    </row>
    <row r="316" spans="1:16" x14ac:dyDescent="0.3">
      <c r="A316" t="s">
        <v>725</v>
      </c>
      <c r="B316" t="s">
        <v>726</v>
      </c>
      <c r="C316" t="s">
        <v>396</v>
      </c>
      <c r="D316" t="s">
        <v>123</v>
      </c>
      <c r="E316" t="s">
        <v>63</v>
      </c>
      <c r="F316" t="s">
        <v>47</v>
      </c>
      <c r="G316">
        <v>50</v>
      </c>
      <c r="H316">
        <v>34.28</v>
      </c>
      <c r="I316">
        <v>1714</v>
      </c>
      <c r="J316">
        <v>59.84</v>
      </c>
      <c r="K316">
        <v>654.16</v>
      </c>
      <c r="L316" t="s">
        <v>24</v>
      </c>
      <c r="M316" t="s">
        <v>25</v>
      </c>
      <c r="N316" t="s">
        <v>76</v>
      </c>
      <c r="O316">
        <v>1000.0000000000002</v>
      </c>
      <c r="P316" s="5">
        <f t="shared" si="4"/>
        <v>0.38165694282380397</v>
      </c>
    </row>
    <row r="317" spans="1:16" x14ac:dyDescent="0.3">
      <c r="A317" t="s">
        <v>727</v>
      </c>
      <c r="B317" t="s">
        <v>728</v>
      </c>
      <c r="C317" t="s">
        <v>323</v>
      </c>
      <c r="D317" t="s">
        <v>141</v>
      </c>
      <c r="E317" t="s">
        <v>32</v>
      </c>
      <c r="F317" t="s">
        <v>23</v>
      </c>
      <c r="G317">
        <v>50</v>
      </c>
      <c r="H317">
        <v>29.39</v>
      </c>
      <c r="I317">
        <v>1469.5</v>
      </c>
      <c r="J317">
        <v>101.51</v>
      </c>
      <c r="K317">
        <v>467.99</v>
      </c>
      <c r="L317" t="s">
        <v>48</v>
      </c>
      <c r="M317" t="s">
        <v>41</v>
      </c>
      <c r="N317" t="s">
        <v>142</v>
      </c>
      <c r="O317">
        <v>900</v>
      </c>
      <c r="P317" s="5">
        <f t="shared" si="4"/>
        <v>0.31846886696155158</v>
      </c>
    </row>
    <row r="318" spans="1:16" x14ac:dyDescent="0.3">
      <c r="A318" t="s">
        <v>729</v>
      </c>
      <c r="B318" t="s">
        <v>423</v>
      </c>
      <c r="C318" t="s">
        <v>182</v>
      </c>
      <c r="D318" t="s">
        <v>45</v>
      </c>
      <c r="E318" t="s">
        <v>32</v>
      </c>
      <c r="F318" t="s">
        <v>23</v>
      </c>
      <c r="G318">
        <v>46</v>
      </c>
      <c r="H318">
        <v>30.34</v>
      </c>
      <c r="I318">
        <v>1395.64</v>
      </c>
      <c r="J318">
        <v>104.2</v>
      </c>
      <c r="K318">
        <v>463.44</v>
      </c>
      <c r="L318" t="s">
        <v>24</v>
      </c>
      <c r="M318" t="s">
        <v>34</v>
      </c>
      <c r="N318" t="s">
        <v>49</v>
      </c>
      <c r="O318">
        <v>828</v>
      </c>
      <c r="P318" s="5">
        <f t="shared" si="4"/>
        <v>0.33206270958126732</v>
      </c>
    </row>
    <row r="319" spans="1:16" x14ac:dyDescent="0.3">
      <c r="A319" t="s">
        <v>730</v>
      </c>
      <c r="B319" t="s">
        <v>731</v>
      </c>
      <c r="C319" t="s">
        <v>732</v>
      </c>
      <c r="D319" t="s">
        <v>116</v>
      </c>
      <c r="E319" t="s">
        <v>86</v>
      </c>
      <c r="F319" t="s">
        <v>47</v>
      </c>
      <c r="G319">
        <v>50</v>
      </c>
      <c r="H319">
        <v>18.809999999999999</v>
      </c>
      <c r="I319">
        <v>940.5</v>
      </c>
      <c r="J319">
        <v>40.25</v>
      </c>
      <c r="K319">
        <v>262.75</v>
      </c>
      <c r="L319" t="s">
        <v>33</v>
      </c>
      <c r="M319" t="s">
        <v>34</v>
      </c>
      <c r="N319" t="s">
        <v>76</v>
      </c>
      <c r="O319">
        <v>637.5</v>
      </c>
      <c r="P319" s="5">
        <f t="shared" si="4"/>
        <v>0.27937267410951622</v>
      </c>
    </row>
    <row r="320" spans="1:16" x14ac:dyDescent="0.3">
      <c r="A320" t="s">
        <v>733</v>
      </c>
      <c r="B320" t="s">
        <v>734</v>
      </c>
      <c r="C320" t="s">
        <v>323</v>
      </c>
      <c r="D320" t="s">
        <v>206</v>
      </c>
      <c r="E320" t="s">
        <v>67</v>
      </c>
      <c r="F320" t="s">
        <v>68</v>
      </c>
      <c r="G320">
        <v>2</v>
      </c>
      <c r="H320">
        <v>29.64</v>
      </c>
      <c r="I320">
        <v>59.28</v>
      </c>
      <c r="J320">
        <v>4.59</v>
      </c>
      <c r="K320">
        <v>9.69</v>
      </c>
      <c r="L320" t="s">
        <v>33</v>
      </c>
      <c r="M320" t="s">
        <v>41</v>
      </c>
      <c r="N320" t="s">
        <v>207</v>
      </c>
      <c r="O320">
        <v>45</v>
      </c>
      <c r="P320" s="5">
        <f t="shared" si="4"/>
        <v>0.16346153846153846</v>
      </c>
    </row>
    <row r="321" spans="1:16" x14ac:dyDescent="0.3">
      <c r="A321" t="s">
        <v>735</v>
      </c>
      <c r="B321" t="s">
        <v>736</v>
      </c>
      <c r="C321" t="s">
        <v>574</v>
      </c>
      <c r="D321" t="s">
        <v>116</v>
      </c>
      <c r="E321" t="s">
        <v>67</v>
      </c>
      <c r="F321" t="s">
        <v>68</v>
      </c>
      <c r="G321">
        <v>48</v>
      </c>
      <c r="H321">
        <v>27.9</v>
      </c>
      <c r="I321">
        <v>1339.2</v>
      </c>
      <c r="J321">
        <v>66.31</v>
      </c>
      <c r="K321">
        <v>192.89</v>
      </c>
      <c r="L321" t="s">
        <v>33</v>
      </c>
      <c r="M321" t="s">
        <v>41</v>
      </c>
      <c r="N321" t="s">
        <v>76</v>
      </c>
      <c r="O321">
        <v>1080</v>
      </c>
      <c r="P321" s="5">
        <f t="shared" si="4"/>
        <v>0.1440337514934289</v>
      </c>
    </row>
    <row r="322" spans="1:16" x14ac:dyDescent="0.3">
      <c r="A322" t="s">
        <v>737</v>
      </c>
      <c r="B322" t="s">
        <v>527</v>
      </c>
      <c r="C322" t="s">
        <v>465</v>
      </c>
      <c r="D322" t="s">
        <v>171</v>
      </c>
      <c r="E322" t="s">
        <v>74</v>
      </c>
      <c r="F322" t="s">
        <v>75</v>
      </c>
      <c r="G322">
        <v>28</v>
      </c>
      <c r="H322">
        <v>38.520000000000003</v>
      </c>
      <c r="I322">
        <v>1078.56</v>
      </c>
      <c r="J322">
        <v>64.510000000000005</v>
      </c>
      <c r="K322">
        <v>314.05</v>
      </c>
      <c r="L322" t="s">
        <v>24</v>
      </c>
      <c r="M322" t="s">
        <v>34</v>
      </c>
      <c r="N322" t="s">
        <v>35</v>
      </c>
      <c r="O322">
        <v>700</v>
      </c>
      <c r="P322" s="5">
        <f t="shared" si="4"/>
        <v>0.29117527073134553</v>
      </c>
    </row>
    <row r="323" spans="1:16" x14ac:dyDescent="0.3">
      <c r="A323" t="s">
        <v>738</v>
      </c>
      <c r="B323" t="s">
        <v>449</v>
      </c>
      <c r="C323" t="s">
        <v>288</v>
      </c>
      <c r="D323" t="s">
        <v>31</v>
      </c>
      <c r="E323" t="s">
        <v>67</v>
      </c>
      <c r="F323" t="s">
        <v>68</v>
      </c>
      <c r="G323">
        <v>11</v>
      </c>
      <c r="H323">
        <v>31.08</v>
      </c>
      <c r="I323">
        <v>341.88</v>
      </c>
      <c r="J323">
        <v>17.18</v>
      </c>
      <c r="K323">
        <v>77.2</v>
      </c>
      <c r="L323" t="s">
        <v>48</v>
      </c>
      <c r="M323" t="s">
        <v>41</v>
      </c>
      <c r="N323" t="s">
        <v>35</v>
      </c>
      <c r="O323">
        <v>247.5</v>
      </c>
      <c r="P323" s="5">
        <f t="shared" si="4"/>
        <v>0.22581022581022583</v>
      </c>
    </row>
    <row r="324" spans="1:16" x14ac:dyDescent="0.3">
      <c r="A324" t="s">
        <v>739</v>
      </c>
      <c r="B324" t="s">
        <v>740</v>
      </c>
      <c r="C324" t="s">
        <v>391</v>
      </c>
      <c r="D324" t="s">
        <v>62</v>
      </c>
      <c r="E324" t="s">
        <v>63</v>
      </c>
      <c r="F324" t="s">
        <v>47</v>
      </c>
      <c r="G324">
        <v>42</v>
      </c>
      <c r="H324">
        <v>25.95</v>
      </c>
      <c r="I324">
        <v>1089.9000000000001</v>
      </c>
      <c r="J324">
        <v>27.5</v>
      </c>
      <c r="K324">
        <v>222.4</v>
      </c>
      <c r="L324" t="s">
        <v>48</v>
      </c>
      <c r="M324" t="s">
        <v>41</v>
      </c>
      <c r="N324" t="s">
        <v>98</v>
      </c>
      <c r="O324">
        <v>840.00000000000011</v>
      </c>
      <c r="P324" s="5">
        <f t="shared" si="4"/>
        <v>0.2040554179282503</v>
      </c>
    </row>
    <row r="325" spans="1:16" x14ac:dyDescent="0.3">
      <c r="A325" t="s">
        <v>741</v>
      </c>
      <c r="B325" t="s">
        <v>393</v>
      </c>
      <c r="C325" t="s">
        <v>630</v>
      </c>
      <c r="D325" t="s">
        <v>116</v>
      </c>
      <c r="E325" t="s">
        <v>74</v>
      </c>
      <c r="F325" t="s">
        <v>75</v>
      </c>
      <c r="G325">
        <v>30</v>
      </c>
      <c r="H325">
        <v>30.16</v>
      </c>
      <c r="I325">
        <v>904.8</v>
      </c>
      <c r="J325">
        <v>70.13</v>
      </c>
      <c r="K325">
        <v>84.67</v>
      </c>
      <c r="L325" t="s">
        <v>33</v>
      </c>
      <c r="M325" t="s">
        <v>25</v>
      </c>
      <c r="N325" t="s">
        <v>76</v>
      </c>
      <c r="O325">
        <v>750</v>
      </c>
      <c r="P325" s="5">
        <f t="shared" si="4"/>
        <v>9.3578691423519017E-2</v>
      </c>
    </row>
    <row r="326" spans="1:16" x14ac:dyDescent="0.3">
      <c r="A326" t="s">
        <v>742</v>
      </c>
      <c r="B326" t="s">
        <v>464</v>
      </c>
      <c r="C326" t="s">
        <v>743</v>
      </c>
      <c r="D326" t="s">
        <v>45</v>
      </c>
      <c r="E326" t="s">
        <v>63</v>
      </c>
      <c r="F326" t="s">
        <v>47</v>
      </c>
      <c r="G326">
        <v>40</v>
      </c>
      <c r="H326">
        <v>30.03</v>
      </c>
      <c r="I326">
        <v>1201.2</v>
      </c>
      <c r="J326">
        <v>71.97</v>
      </c>
      <c r="K326">
        <v>329.23</v>
      </c>
      <c r="L326" t="s">
        <v>33</v>
      </c>
      <c r="M326" t="s">
        <v>25</v>
      </c>
      <c r="N326" t="s">
        <v>49</v>
      </c>
      <c r="O326">
        <v>800</v>
      </c>
      <c r="P326" s="5">
        <f t="shared" si="4"/>
        <v>0.27408424908424911</v>
      </c>
    </row>
    <row r="327" spans="1:16" x14ac:dyDescent="0.3">
      <c r="A327" t="s">
        <v>744</v>
      </c>
      <c r="B327" t="s">
        <v>745</v>
      </c>
      <c r="C327" t="s">
        <v>162</v>
      </c>
      <c r="D327" t="s">
        <v>141</v>
      </c>
      <c r="E327" t="s">
        <v>63</v>
      </c>
      <c r="F327" t="s">
        <v>47</v>
      </c>
      <c r="G327">
        <v>15</v>
      </c>
      <c r="H327">
        <v>27.12</v>
      </c>
      <c r="I327">
        <v>406.8</v>
      </c>
      <c r="J327">
        <v>24.28</v>
      </c>
      <c r="K327">
        <v>82.52</v>
      </c>
      <c r="L327" t="s">
        <v>33</v>
      </c>
      <c r="M327" t="s">
        <v>34</v>
      </c>
      <c r="N327" t="s">
        <v>142</v>
      </c>
      <c r="O327">
        <v>300</v>
      </c>
      <c r="P327" s="5">
        <f t="shared" ref="P327:P390" si="5">K327/I327</f>
        <v>0.20285152409046212</v>
      </c>
    </row>
    <row r="328" spans="1:16" x14ac:dyDescent="0.3">
      <c r="A328" t="s">
        <v>746</v>
      </c>
      <c r="B328" t="s">
        <v>567</v>
      </c>
      <c r="C328" t="s">
        <v>257</v>
      </c>
      <c r="D328" t="s">
        <v>171</v>
      </c>
      <c r="E328" t="s">
        <v>86</v>
      </c>
      <c r="F328" t="s">
        <v>47</v>
      </c>
      <c r="G328">
        <v>35</v>
      </c>
      <c r="H328">
        <v>18.350000000000001</v>
      </c>
      <c r="I328">
        <v>642.25</v>
      </c>
      <c r="J328">
        <v>29.35</v>
      </c>
      <c r="K328">
        <v>166.65</v>
      </c>
      <c r="L328" t="s">
        <v>24</v>
      </c>
      <c r="M328" t="s">
        <v>34</v>
      </c>
      <c r="N328" t="s">
        <v>35</v>
      </c>
      <c r="O328">
        <v>446.25</v>
      </c>
      <c r="P328" s="5">
        <f t="shared" si="5"/>
        <v>0.2594783962631374</v>
      </c>
    </row>
    <row r="329" spans="1:16" x14ac:dyDescent="0.3">
      <c r="A329" t="s">
        <v>747</v>
      </c>
      <c r="B329" t="s">
        <v>696</v>
      </c>
      <c r="C329" t="s">
        <v>646</v>
      </c>
      <c r="D329" t="s">
        <v>141</v>
      </c>
      <c r="E329" t="s">
        <v>22</v>
      </c>
      <c r="F329" t="s">
        <v>23</v>
      </c>
      <c r="G329">
        <v>21</v>
      </c>
      <c r="H329">
        <v>52.59</v>
      </c>
      <c r="I329">
        <v>1104.3900000000001</v>
      </c>
      <c r="J329">
        <v>57.06</v>
      </c>
      <c r="K329">
        <v>312.33</v>
      </c>
      <c r="L329" t="s">
        <v>33</v>
      </c>
      <c r="M329" t="s">
        <v>34</v>
      </c>
      <c r="N329" t="s">
        <v>142</v>
      </c>
      <c r="O329">
        <v>735.00000000000034</v>
      </c>
      <c r="P329" s="5">
        <f t="shared" si="5"/>
        <v>0.28280770380028791</v>
      </c>
    </row>
    <row r="330" spans="1:16" x14ac:dyDescent="0.3">
      <c r="A330" t="s">
        <v>748</v>
      </c>
      <c r="B330" t="s">
        <v>749</v>
      </c>
      <c r="C330" t="s">
        <v>574</v>
      </c>
      <c r="D330" t="s">
        <v>51</v>
      </c>
      <c r="E330" t="s">
        <v>137</v>
      </c>
      <c r="F330" t="s">
        <v>68</v>
      </c>
      <c r="G330">
        <v>10</v>
      </c>
      <c r="H330">
        <v>44.2</v>
      </c>
      <c r="I330">
        <v>442</v>
      </c>
      <c r="J330">
        <v>18.45</v>
      </c>
      <c r="K330">
        <v>143.55000000000001</v>
      </c>
      <c r="L330" t="s">
        <v>24</v>
      </c>
      <c r="M330" t="s">
        <v>25</v>
      </c>
      <c r="N330" t="s">
        <v>76</v>
      </c>
      <c r="O330">
        <v>280</v>
      </c>
      <c r="P330" s="5">
        <f t="shared" si="5"/>
        <v>0.32477375565610861</v>
      </c>
    </row>
    <row r="331" spans="1:16" x14ac:dyDescent="0.3">
      <c r="A331" t="s">
        <v>750</v>
      </c>
      <c r="B331" t="s">
        <v>532</v>
      </c>
      <c r="C331" t="s">
        <v>331</v>
      </c>
      <c r="D331" t="s">
        <v>51</v>
      </c>
      <c r="E331" t="s">
        <v>22</v>
      </c>
      <c r="F331" t="s">
        <v>23</v>
      </c>
      <c r="G331">
        <v>11</v>
      </c>
      <c r="H331">
        <v>60.9</v>
      </c>
      <c r="I331">
        <v>669.9</v>
      </c>
      <c r="J331">
        <v>26.28</v>
      </c>
      <c r="K331">
        <v>258.62</v>
      </c>
      <c r="L331" t="s">
        <v>33</v>
      </c>
      <c r="M331" t="s">
        <v>34</v>
      </c>
      <c r="N331" t="s">
        <v>76</v>
      </c>
      <c r="O331">
        <v>385</v>
      </c>
      <c r="P331" s="5">
        <f t="shared" si="5"/>
        <v>0.38605762054037918</v>
      </c>
    </row>
    <row r="332" spans="1:16" x14ac:dyDescent="0.3">
      <c r="A332" t="s">
        <v>751</v>
      </c>
      <c r="B332" t="s">
        <v>752</v>
      </c>
      <c r="C332" t="s">
        <v>73</v>
      </c>
      <c r="D332" t="s">
        <v>123</v>
      </c>
      <c r="E332" t="s">
        <v>86</v>
      </c>
      <c r="F332" t="s">
        <v>47</v>
      </c>
      <c r="G332">
        <v>26</v>
      </c>
      <c r="H332">
        <v>22.32</v>
      </c>
      <c r="I332">
        <v>580.32000000000005</v>
      </c>
      <c r="J332">
        <v>45.08</v>
      </c>
      <c r="K332">
        <v>203.74</v>
      </c>
      <c r="L332" t="s">
        <v>33</v>
      </c>
      <c r="M332" t="s">
        <v>34</v>
      </c>
      <c r="N332" t="s">
        <v>76</v>
      </c>
      <c r="O332">
        <v>331.50000000000006</v>
      </c>
      <c r="P332" s="5">
        <f t="shared" si="5"/>
        <v>0.3510821615660325</v>
      </c>
    </row>
    <row r="333" spans="1:16" x14ac:dyDescent="0.3">
      <c r="A333" t="s">
        <v>753</v>
      </c>
      <c r="B333" t="s">
        <v>754</v>
      </c>
      <c r="C333" t="s">
        <v>417</v>
      </c>
      <c r="D333" t="s">
        <v>51</v>
      </c>
      <c r="E333" t="s">
        <v>137</v>
      </c>
      <c r="F333" t="s">
        <v>68</v>
      </c>
      <c r="G333">
        <v>46</v>
      </c>
      <c r="H333">
        <v>41.89</v>
      </c>
      <c r="I333">
        <v>1926.94</v>
      </c>
      <c r="J333">
        <v>97.39</v>
      </c>
      <c r="K333">
        <v>541.54999999999995</v>
      </c>
      <c r="L333" t="s">
        <v>24</v>
      </c>
      <c r="M333" t="s">
        <v>41</v>
      </c>
      <c r="N333" t="s">
        <v>76</v>
      </c>
      <c r="O333">
        <v>1288</v>
      </c>
      <c r="P333" s="5">
        <f t="shared" si="5"/>
        <v>0.28104144394739844</v>
      </c>
    </row>
    <row r="334" spans="1:16" x14ac:dyDescent="0.3">
      <c r="A334" t="s">
        <v>755</v>
      </c>
      <c r="B334" t="s">
        <v>495</v>
      </c>
      <c r="C334" t="s">
        <v>277</v>
      </c>
      <c r="D334" t="s">
        <v>31</v>
      </c>
      <c r="E334" t="s">
        <v>86</v>
      </c>
      <c r="F334" t="s">
        <v>47</v>
      </c>
      <c r="G334">
        <v>43</v>
      </c>
      <c r="H334">
        <v>21.24</v>
      </c>
      <c r="I334">
        <v>913.32</v>
      </c>
      <c r="J334">
        <v>50.32</v>
      </c>
      <c r="K334">
        <v>314.75</v>
      </c>
      <c r="L334" t="s">
        <v>33</v>
      </c>
      <c r="M334" t="s">
        <v>25</v>
      </c>
      <c r="N334" t="s">
        <v>35</v>
      </c>
      <c r="O334">
        <v>548.25</v>
      </c>
      <c r="P334" s="5">
        <f t="shared" si="5"/>
        <v>0.34462181929663205</v>
      </c>
    </row>
    <row r="335" spans="1:16" x14ac:dyDescent="0.3">
      <c r="A335" t="s">
        <v>756</v>
      </c>
      <c r="B335" t="s">
        <v>658</v>
      </c>
      <c r="C335" t="s">
        <v>757</v>
      </c>
      <c r="D335" t="s">
        <v>241</v>
      </c>
      <c r="E335" t="s">
        <v>67</v>
      </c>
      <c r="F335" t="s">
        <v>68</v>
      </c>
      <c r="G335">
        <v>28</v>
      </c>
      <c r="H335">
        <v>33.700000000000003</v>
      </c>
      <c r="I335">
        <v>943.6</v>
      </c>
      <c r="J335">
        <v>20.170000000000002</v>
      </c>
      <c r="K335">
        <v>293.43</v>
      </c>
      <c r="L335" t="s">
        <v>24</v>
      </c>
      <c r="M335" t="s">
        <v>34</v>
      </c>
      <c r="N335" t="s">
        <v>35</v>
      </c>
      <c r="O335">
        <v>630.00000000000011</v>
      </c>
      <c r="P335" s="5">
        <f t="shared" si="5"/>
        <v>0.31096863077575243</v>
      </c>
    </row>
    <row r="336" spans="1:16" x14ac:dyDescent="0.3">
      <c r="A336" t="s">
        <v>758</v>
      </c>
      <c r="B336" t="s">
        <v>759</v>
      </c>
      <c r="C336" t="s">
        <v>334</v>
      </c>
      <c r="D336" t="s">
        <v>70</v>
      </c>
      <c r="E336" t="s">
        <v>22</v>
      </c>
      <c r="F336" t="s">
        <v>23</v>
      </c>
      <c r="G336">
        <v>41</v>
      </c>
      <c r="H336">
        <v>42.74</v>
      </c>
      <c r="I336">
        <v>1752.34</v>
      </c>
      <c r="J336">
        <v>92.09</v>
      </c>
      <c r="K336">
        <v>225.25</v>
      </c>
      <c r="L336" t="s">
        <v>48</v>
      </c>
      <c r="M336" t="s">
        <v>25</v>
      </c>
      <c r="N336" t="s">
        <v>76</v>
      </c>
      <c r="O336">
        <v>1435</v>
      </c>
      <c r="P336" s="5">
        <f t="shared" si="5"/>
        <v>0.12854240615405688</v>
      </c>
    </row>
    <row r="337" spans="1:16" x14ac:dyDescent="0.3">
      <c r="A337" t="s">
        <v>760</v>
      </c>
      <c r="B337" t="s">
        <v>761</v>
      </c>
      <c r="C337" t="s">
        <v>646</v>
      </c>
      <c r="D337" t="s">
        <v>31</v>
      </c>
      <c r="E337" t="s">
        <v>63</v>
      </c>
      <c r="F337" t="s">
        <v>47</v>
      </c>
      <c r="G337">
        <v>24</v>
      </c>
      <c r="H337">
        <v>30.18</v>
      </c>
      <c r="I337">
        <v>724.32</v>
      </c>
      <c r="J337">
        <v>44.97</v>
      </c>
      <c r="K337">
        <v>199.35</v>
      </c>
      <c r="L337" t="s">
        <v>24</v>
      </c>
      <c r="M337" t="s">
        <v>25</v>
      </c>
      <c r="N337" t="s">
        <v>35</v>
      </c>
      <c r="O337">
        <v>480</v>
      </c>
      <c r="P337" s="5">
        <f t="shared" si="5"/>
        <v>0.27522365805168986</v>
      </c>
    </row>
    <row r="338" spans="1:16" x14ac:dyDescent="0.3">
      <c r="A338" t="s">
        <v>762</v>
      </c>
      <c r="B338" t="s">
        <v>354</v>
      </c>
      <c r="C338" t="s">
        <v>177</v>
      </c>
      <c r="D338" t="s">
        <v>127</v>
      </c>
      <c r="E338" t="s">
        <v>81</v>
      </c>
      <c r="F338" t="s">
        <v>68</v>
      </c>
      <c r="G338">
        <v>44</v>
      </c>
      <c r="H338">
        <v>20.02</v>
      </c>
      <c r="I338">
        <v>880.88</v>
      </c>
      <c r="J338">
        <v>60.27</v>
      </c>
      <c r="K338">
        <v>138.61000000000001</v>
      </c>
      <c r="L338" t="s">
        <v>33</v>
      </c>
      <c r="M338" t="s">
        <v>34</v>
      </c>
      <c r="N338" t="s">
        <v>76</v>
      </c>
      <c r="O338">
        <v>682</v>
      </c>
      <c r="P338" s="5">
        <f t="shared" si="5"/>
        <v>0.15735400962673693</v>
      </c>
    </row>
    <row r="339" spans="1:16" x14ac:dyDescent="0.3">
      <c r="A339" t="s">
        <v>763</v>
      </c>
      <c r="B339" t="s">
        <v>585</v>
      </c>
      <c r="C339" t="s">
        <v>174</v>
      </c>
      <c r="D339" t="s">
        <v>31</v>
      </c>
      <c r="E339" t="s">
        <v>63</v>
      </c>
      <c r="F339" t="s">
        <v>47</v>
      </c>
      <c r="G339">
        <v>12</v>
      </c>
      <c r="H339">
        <v>27.45</v>
      </c>
      <c r="I339">
        <v>329.4</v>
      </c>
      <c r="J339">
        <v>13.22</v>
      </c>
      <c r="K339">
        <v>76.180000000000007</v>
      </c>
      <c r="L339" t="s">
        <v>48</v>
      </c>
      <c r="M339" t="s">
        <v>41</v>
      </c>
      <c r="N339" t="s">
        <v>35</v>
      </c>
      <c r="O339">
        <v>239.99999999999994</v>
      </c>
      <c r="P339" s="5">
        <f t="shared" si="5"/>
        <v>0.23126897389192475</v>
      </c>
    </row>
    <row r="340" spans="1:16" x14ac:dyDescent="0.3">
      <c r="A340" t="s">
        <v>764</v>
      </c>
      <c r="B340" t="s">
        <v>306</v>
      </c>
      <c r="C340" t="s">
        <v>145</v>
      </c>
      <c r="D340" t="s">
        <v>141</v>
      </c>
      <c r="E340" t="s">
        <v>63</v>
      </c>
      <c r="F340" t="s">
        <v>47</v>
      </c>
      <c r="G340">
        <v>26</v>
      </c>
      <c r="H340">
        <v>30.57</v>
      </c>
      <c r="I340">
        <v>794.82</v>
      </c>
      <c r="J340">
        <v>19.45</v>
      </c>
      <c r="K340">
        <v>255.37</v>
      </c>
      <c r="L340" t="s">
        <v>48</v>
      </c>
      <c r="M340" t="s">
        <v>34</v>
      </c>
      <c r="N340" t="s">
        <v>142</v>
      </c>
      <c r="O340">
        <v>520</v>
      </c>
      <c r="P340" s="5">
        <f t="shared" si="5"/>
        <v>0.32129287134193907</v>
      </c>
    </row>
    <row r="341" spans="1:16" x14ac:dyDescent="0.3">
      <c r="A341" t="s">
        <v>765</v>
      </c>
      <c r="B341" t="s">
        <v>766</v>
      </c>
      <c r="C341" t="s">
        <v>185</v>
      </c>
      <c r="D341" t="s">
        <v>127</v>
      </c>
      <c r="E341" t="s">
        <v>74</v>
      </c>
      <c r="F341" t="s">
        <v>75</v>
      </c>
      <c r="G341">
        <v>46</v>
      </c>
      <c r="H341">
        <v>32.19</v>
      </c>
      <c r="I341">
        <v>1480.74</v>
      </c>
      <c r="J341">
        <v>111.13</v>
      </c>
      <c r="K341">
        <v>219.61</v>
      </c>
      <c r="L341" t="s">
        <v>48</v>
      </c>
      <c r="M341" t="s">
        <v>34</v>
      </c>
      <c r="N341" t="s">
        <v>76</v>
      </c>
      <c r="O341">
        <v>1150</v>
      </c>
      <c r="P341" s="5">
        <f t="shared" si="5"/>
        <v>0.14831097964531248</v>
      </c>
    </row>
    <row r="342" spans="1:16" x14ac:dyDescent="0.3">
      <c r="A342" t="s">
        <v>767</v>
      </c>
      <c r="B342" t="s">
        <v>768</v>
      </c>
      <c r="C342" t="s">
        <v>140</v>
      </c>
      <c r="D342" t="s">
        <v>116</v>
      </c>
      <c r="E342" t="s">
        <v>32</v>
      </c>
      <c r="F342" t="s">
        <v>23</v>
      </c>
      <c r="G342">
        <v>20</v>
      </c>
      <c r="H342">
        <v>31.79</v>
      </c>
      <c r="I342">
        <v>635.79999999999995</v>
      </c>
      <c r="J342">
        <v>38.43</v>
      </c>
      <c r="K342">
        <v>237.37</v>
      </c>
      <c r="L342" t="s">
        <v>24</v>
      </c>
      <c r="M342" t="s">
        <v>34</v>
      </c>
      <c r="N342" t="s">
        <v>76</v>
      </c>
      <c r="O342">
        <v>359.99999999999994</v>
      </c>
      <c r="P342" s="5">
        <f t="shared" si="5"/>
        <v>0.37334067316766284</v>
      </c>
    </row>
    <row r="343" spans="1:16" x14ac:dyDescent="0.3">
      <c r="A343" t="s">
        <v>769</v>
      </c>
      <c r="B343" t="s">
        <v>770</v>
      </c>
      <c r="C343" t="s">
        <v>20</v>
      </c>
      <c r="D343" t="s">
        <v>206</v>
      </c>
      <c r="E343" t="s">
        <v>32</v>
      </c>
      <c r="F343" t="s">
        <v>23</v>
      </c>
      <c r="G343">
        <v>8</v>
      </c>
      <c r="H343">
        <v>28.94</v>
      </c>
      <c r="I343">
        <v>231.52</v>
      </c>
      <c r="J343">
        <v>7</v>
      </c>
      <c r="K343">
        <v>80.52</v>
      </c>
      <c r="L343" t="s">
        <v>48</v>
      </c>
      <c r="M343" t="s">
        <v>34</v>
      </c>
      <c r="N343" t="s">
        <v>207</v>
      </c>
      <c r="O343">
        <v>144</v>
      </c>
      <c r="P343" s="5">
        <f t="shared" si="5"/>
        <v>0.34778852798894261</v>
      </c>
    </row>
    <row r="344" spans="1:16" x14ac:dyDescent="0.3">
      <c r="A344" t="s">
        <v>771</v>
      </c>
      <c r="B344" t="s">
        <v>772</v>
      </c>
      <c r="C344" t="s">
        <v>334</v>
      </c>
      <c r="D344" t="s">
        <v>171</v>
      </c>
      <c r="E344" t="s">
        <v>32</v>
      </c>
      <c r="F344" t="s">
        <v>23</v>
      </c>
      <c r="G344">
        <v>40</v>
      </c>
      <c r="H344">
        <v>30.66</v>
      </c>
      <c r="I344">
        <v>1226.4000000000001</v>
      </c>
      <c r="J344">
        <v>85.24</v>
      </c>
      <c r="K344">
        <v>421.16</v>
      </c>
      <c r="L344" t="s">
        <v>24</v>
      </c>
      <c r="M344" t="s">
        <v>25</v>
      </c>
      <c r="N344" t="s">
        <v>35</v>
      </c>
      <c r="O344">
        <v>720</v>
      </c>
      <c r="P344" s="5">
        <f t="shared" si="5"/>
        <v>0.34341161121983038</v>
      </c>
    </row>
    <row r="345" spans="1:16" x14ac:dyDescent="0.3">
      <c r="A345" t="s">
        <v>773</v>
      </c>
      <c r="B345" t="s">
        <v>316</v>
      </c>
      <c r="C345" t="s">
        <v>539</v>
      </c>
      <c r="D345" t="s">
        <v>206</v>
      </c>
      <c r="E345" t="s">
        <v>46</v>
      </c>
      <c r="F345" t="s">
        <v>47</v>
      </c>
      <c r="G345">
        <v>44</v>
      </c>
      <c r="H345">
        <v>54.09</v>
      </c>
      <c r="I345">
        <v>2379.96</v>
      </c>
      <c r="J345">
        <v>106.39</v>
      </c>
      <c r="K345">
        <v>865.57</v>
      </c>
      <c r="L345" t="s">
        <v>24</v>
      </c>
      <c r="M345" t="s">
        <v>34</v>
      </c>
      <c r="N345" t="s">
        <v>207</v>
      </c>
      <c r="O345">
        <v>1407.9999999999998</v>
      </c>
      <c r="P345" s="5">
        <f t="shared" si="5"/>
        <v>0.36369098640313285</v>
      </c>
    </row>
    <row r="346" spans="1:16" x14ac:dyDescent="0.3">
      <c r="A346" t="s">
        <v>774</v>
      </c>
      <c r="B346" t="s">
        <v>615</v>
      </c>
      <c r="C346" t="s">
        <v>177</v>
      </c>
      <c r="D346" t="s">
        <v>116</v>
      </c>
      <c r="E346" t="s">
        <v>56</v>
      </c>
      <c r="F346" t="s">
        <v>57</v>
      </c>
      <c r="G346">
        <v>32</v>
      </c>
      <c r="H346">
        <v>68.89</v>
      </c>
      <c r="I346">
        <v>2204.48</v>
      </c>
      <c r="J346">
        <v>152.05000000000001</v>
      </c>
      <c r="K346">
        <v>772.43</v>
      </c>
      <c r="L346" t="s">
        <v>24</v>
      </c>
      <c r="M346" t="s">
        <v>34</v>
      </c>
      <c r="N346" t="s">
        <v>76</v>
      </c>
      <c r="O346">
        <v>1280.0000000000002</v>
      </c>
      <c r="P346" s="5">
        <f t="shared" si="5"/>
        <v>0.35039102191900129</v>
      </c>
    </row>
    <row r="347" spans="1:16" x14ac:dyDescent="0.3">
      <c r="A347" t="s">
        <v>775</v>
      </c>
      <c r="B347" t="s">
        <v>776</v>
      </c>
      <c r="C347" t="s">
        <v>732</v>
      </c>
      <c r="D347" t="s">
        <v>70</v>
      </c>
      <c r="E347" t="s">
        <v>22</v>
      </c>
      <c r="F347" t="s">
        <v>23</v>
      </c>
      <c r="G347">
        <v>44</v>
      </c>
      <c r="H347">
        <v>43.35</v>
      </c>
      <c r="I347">
        <v>1907.4</v>
      </c>
      <c r="J347">
        <v>99.05</v>
      </c>
      <c r="K347">
        <v>268.35000000000002</v>
      </c>
      <c r="L347" t="s">
        <v>48</v>
      </c>
      <c r="M347" t="s">
        <v>34</v>
      </c>
      <c r="N347" t="s">
        <v>76</v>
      </c>
      <c r="O347">
        <v>1540.0000000000002</v>
      </c>
      <c r="P347" s="5">
        <f t="shared" si="5"/>
        <v>0.1406888958792073</v>
      </c>
    </row>
    <row r="348" spans="1:16" x14ac:dyDescent="0.3">
      <c r="A348" t="s">
        <v>777</v>
      </c>
      <c r="B348" t="s">
        <v>778</v>
      </c>
      <c r="C348" t="s">
        <v>30</v>
      </c>
      <c r="D348" t="s">
        <v>62</v>
      </c>
      <c r="E348" t="s">
        <v>137</v>
      </c>
      <c r="F348" t="s">
        <v>68</v>
      </c>
      <c r="G348">
        <v>24</v>
      </c>
      <c r="H348">
        <v>34</v>
      </c>
      <c r="I348">
        <v>816</v>
      </c>
      <c r="J348">
        <v>42.15</v>
      </c>
      <c r="K348">
        <v>101.85</v>
      </c>
      <c r="L348" t="s">
        <v>48</v>
      </c>
      <c r="M348" t="s">
        <v>25</v>
      </c>
      <c r="N348" t="s">
        <v>98</v>
      </c>
      <c r="O348">
        <v>672</v>
      </c>
      <c r="P348" s="5">
        <f t="shared" si="5"/>
        <v>0.12481617647058822</v>
      </c>
    </row>
    <row r="349" spans="1:16" x14ac:dyDescent="0.3">
      <c r="A349" t="s">
        <v>779</v>
      </c>
      <c r="B349" t="s">
        <v>633</v>
      </c>
      <c r="C349" t="s">
        <v>238</v>
      </c>
      <c r="D349" t="s">
        <v>51</v>
      </c>
      <c r="E349" t="s">
        <v>32</v>
      </c>
      <c r="F349" t="s">
        <v>23</v>
      </c>
      <c r="G349">
        <v>41</v>
      </c>
      <c r="H349">
        <v>30.25</v>
      </c>
      <c r="I349">
        <v>1240.25</v>
      </c>
      <c r="J349">
        <v>92.86</v>
      </c>
      <c r="K349">
        <v>409.39</v>
      </c>
      <c r="L349" t="s">
        <v>24</v>
      </c>
      <c r="M349" t="s">
        <v>25</v>
      </c>
      <c r="N349" t="s">
        <v>76</v>
      </c>
      <c r="O349">
        <v>738</v>
      </c>
      <c r="P349" s="5">
        <f t="shared" si="5"/>
        <v>0.33008667607337228</v>
      </c>
    </row>
    <row r="350" spans="1:16" x14ac:dyDescent="0.3">
      <c r="A350" t="s">
        <v>780</v>
      </c>
      <c r="B350" t="s">
        <v>781</v>
      </c>
      <c r="C350" t="s">
        <v>20</v>
      </c>
      <c r="D350" t="s">
        <v>141</v>
      </c>
      <c r="E350" t="s">
        <v>81</v>
      </c>
      <c r="F350" t="s">
        <v>68</v>
      </c>
      <c r="G350">
        <v>15</v>
      </c>
      <c r="H350">
        <v>23.71</v>
      </c>
      <c r="I350">
        <v>355.65</v>
      </c>
      <c r="J350">
        <v>7.22</v>
      </c>
      <c r="K350">
        <v>115.93</v>
      </c>
      <c r="L350" t="s">
        <v>33</v>
      </c>
      <c r="M350" t="s">
        <v>34</v>
      </c>
      <c r="N350" t="s">
        <v>142</v>
      </c>
      <c r="O350">
        <v>232.49999999999997</v>
      </c>
      <c r="P350" s="5">
        <f t="shared" si="5"/>
        <v>0.32596654013777593</v>
      </c>
    </row>
    <row r="351" spans="1:16" x14ac:dyDescent="0.3">
      <c r="A351" t="s">
        <v>782</v>
      </c>
      <c r="B351" t="s">
        <v>276</v>
      </c>
      <c r="C351" t="s">
        <v>197</v>
      </c>
      <c r="D351" t="s">
        <v>116</v>
      </c>
      <c r="E351" t="s">
        <v>46</v>
      </c>
      <c r="F351" t="s">
        <v>47</v>
      </c>
      <c r="G351">
        <v>33</v>
      </c>
      <c r="H351">
        <v>48.64</v>
      </c>
      <c r="I351">
        <v>1605.12</v>
      </c>
      <c r="J351">
        <v>98.71</v>
      </c>
      <c r="K351">
        <v>450.41</v>
      </c>
      <c r="L351" t="s">
        <v>24</v>
      </c>
      <c r="M351" t="s">
        <v>34</v>
      </c>
      <c r="N351" t="s">
        <v>76</v>
      </c>
      <c r="O351">
        <v>1055.9999999999998</v>
      </c>
      <c r="P351" s="5">
        <f t="shared" si="5"/>
        <v>0.28060830342902715</v>
      </c>
    </row>
    <row r="352" spans="1:16" x14ac:dyDescent="0.3">
      <c r="A352" t="s">
        <v>783</v>
      </c>
      <c r="B352" t="s">
        <v>784</v>
      </c>
      <c r="C352" t="s">
        <v>44</v>
      </c>
      <c r="D352" t="s">
        <v>241</v>
      </c>
      <c r="E352" t="s">
        <v>22</v>
      </c>
      <c r="F352" t="s">
        <v>23</v>
      </c>
      <c r="G352">
        <v>7</v>
      </c>
      <c r="H352">
        <v>50.94</v>
      </c>
      <c r="I352">
        <v>356.58</v>
      </c>
      <c r="J352">
        <v>11.19</v>
      </c>
      <c r="K352">
        <v>100.39</v>
      </c>
      <c r="L352" t="s">
        <v>33</v>
      </c>
      <c r="M352" t="s">
        <v>25</v>
      </c>
      <c r="N352" t="s">
        <v>35</v>
      </c>
      <c r="O352">
        <v>245</v>
      </c>
      <c r="P352" s="5">
        <f t="shared" si="5"/>
        <v>0.28153570026361546</v>
      </c>
    </row>
    <row r="353" spans="1:16" x14ac:dyDescent="0.3">
      <c r="A353" t="s">
        <v>785</v>
      </c>
      <c r="B353" t="s">
        <v>786</v>
      </c>
      <c r="C353" t="s">
        <v>323</v>
      </c>
      <c r="D353" t="s">
        <v>206</v>
      </c>
      <c r="E353" t="s">
        <v>63</v>
      </c>
      <c r="F353" t="s">
        <v>47</v>
      </c>
      <c r="G353">
        <v>1</v>
      </c>
      <c r="H353">
        <v>31.4</v>
      </c>
      <c r="I353">
        <v>31.4</v>
      </c>
      <c r="J353">
        <v>1.1399999999999999</v>
      </c>
      <c r="K353">
        <v>10.26</v>
      </c>
      <c r="L353" t="s">
        <v>48</v>
      </c>
      <c r="M353" t="s">
        <v>34</v>
      </c>
      <c r="N353" t="s">
        <v>207</v>
      </c>
      <c r="O353">
        <v>20</v>
      </c>
      <c r="P353" s="5">
        <f t="shared" si="5"/>
        <v>0.32675159235668788</v>
      </c>
    </row>
    <row r="354" spans="1:16" x14ac:dyDescent="0.3">
      <c r="A354" t="s">
        <v>787</v>
      </c>
      <c r="B354" t="s">
        <v>408</v>
      </c>
      <c r="C354" t="s">
        <v>317</v>
      </c>
      <c r="D354" t="s">
        <v>37</v>
      </c>
      <c r="E354" t="s">
        <v>86</v>
      </c>
      <c r="F354" t="s">
        <v>47</v>
      </c>
      <c r="G354">
        <v>28</v>
      </c>
      <c r="H354">
        <v>18.59</v>
      </c>
      <c r="I354">
        <v>520.52</v>
      </c>
      <c r="J354">
        <v>14.08</v>
      </c>
      <c r="K354">
        <v>149.44</v>
      </c>
      <c r="L354" t="s">
        <v>24</v>
      </c>
      <c r="M354" t="s">
        <v>25</v>
      </c>
      <c r="N354" t="s">
        <v>35</v>
      </c>
      <c r="O354">
        <v>357</v>
      </c>
      <c r="P354" s="5">
        <f t="shared" si="5"/>
        <v>0.28709751786674864</v>
      </c>
    </row>
    <row r="355" spans="1:16" x14ac:dyDescent="0.3">
      <c r="A355" t="s">
        <v>788</v>
      </c>
      <c r="B355" t="s">
        <v>789</v>
      </c>
      <c r="C355" t="s">
        <v>790</v>
      </c>
      <c r="D355" t="s">
        <v>171</v>
      </c>
      <c r="E355" t="s">
        <v>81</v>
      </c>
      <c r="F355" t="s">
        <v>68</v>
      </c>
      <c r="G355">
        <v>50</v>
      </c>
      <c r="H355">
        <v>20.66</v>
      </c>
      <c r="I355">
        <v>1033</v>
      </c>
      <c r="J355">
        <v>34.130000000000003</v>
      </c>
      <c r="K355">
        <v>223.87</v>
      </c>
      <c r="L355" t="s">
        <v>48</v>
      </c>
      <c r="M355" t="s">
        <v>34</v>
      </c>
      <c r="N355" t="s">
        <v>35</v>
      </c>
      <c r="O355">
        <v>775</v>
      </c>
      <c r="P355" s="5">
        <f t="shared" si="5"/>
        <v>0.21671829622458857</v>
      </c>
    </row>
    <row r="356" spans="1:16" x14ac:dyDescent="0.3">
      <c r="A356" t="s">
        <v>791</v>
      </c>
      <c r="B356" t="s">
        <v>547</v>
      </c>
      <c r="C356" t="s">
        <v>249</v>
      </c>
      <c r="D356" t="s">
        <v>51</v>
      </c>
      <c r="E356" t="s">
        <v>22</v>
      </c>
      <c r="F356" t="s">
        <v>23</v>
      </c>
      <c r="G356">
        <v>4</v>
      </c>
      <c r="H356">
        <v>46.62</v>
      </c>
      <c r="I356">
        <v>186.48</v>
      </c>
      <c r="J356">
        <v>13.29</v>
      </c>
      <c r="K356">
        <v>33.19</v>
      </c>
      <c r="L356" t="s">
        <v>33</v>
      </c>
      <c r="M356" t="s">
        <v>25</v>
      </c>
      <c r="N356" t="s">
        <v>76</v>
      </c>
      <c r="O356">
        <v>140</v>
      </c>
      <c r="P356" s="5">
        <f t="shared" si="5"/>
        <v>0.17798155298155299</v>
      </c>
    </row>
    <row r="357" spans="1:16" x14ac:dyDescent="0.3">
      <c r="A357" t="s">
        <v>792</v>
      </c>
      <c r="B357" t="s">
        <v>547</v>
      </c>
      <c r="C357" t="s">
        <v>732</v>
      </c>
      <c r="D357" t="s">
        <v>141</v>
      </c>
      <c r="E357" t="s">
        <v>81</v>
      </c>
      <c r="F357" t="s">
        <v>68</v>
      </c>
      <c r="G357">
        <v>37</v>
      </c>
      <c r="H357">
        <v>21.81</v>
      </c>
      <c r="I357">
        <v>806.97</v>
      </c>
      <c r="J357">
        <v>19.63</v>
      </c>
      <c r="K357">
        <v>213.84</v>
      </c>
      <c r="L357" t="s">
        <v>48</v>
      </c>
      <c r="M357" t="s">
        <v>41</v>
      </c>
      <c r="N357" t="s">
        <v>142</v>
      </c>
      <c r="O357">
        <v>573.5</v>
      </c>
      <c r="P357" s="5">
        <f t="shared" si="5"/>
        <v>0.26499126361574782</v>
      </c>
    </row>
    <row r="358" spans="1:16" x14ac:dyDescent="0.3">
      <c r="A358" t="s">
        <v>793</v>
      </c>
      <c r="B358" t="s">
        <v>100</v>
      </c>
      <c r="C358" t="s">
        <v>216</v>
      </c>
      <c r="D358" t="s">
        <v>51</v>
      </c>
      <c r="E358" t="s">
        <v>81</v>
      </c>
      <c r="F358" t="s">
        <v>68</v>
      </c>
      <c r="G358">
        <v>48</v>
      </c>
      <c r="H358">
        <v>26.68</v>
      </c>
      <c r="I358">
        <v>1280.6400000000001</v>
      </c>
      <c r="J358">
        <v>55.36</v>
      </c>
      <c r="K358">
        <v>481.28</v>
      </c>
      <c r="L358" t="s">
        <v>24</v>
      </c>
      <c r="M358" t="s">
        <v>34</v>
      </c>
      <c r="N358" t="s">
        <v>76</v>
      </c>
      <c r="O358">
        <v>744.00000000000011</v>
      </c>
      <c r="P358" s="5">
        <f t="shared" si="5"/>
        <v>0.37581209395302345</v>
      </c>
    </row>
    <row r="359" spans="1:16" x14ac:dyDescent="0.3">
      <c r="A359" t="s">
        <v>794</v>
      </c>
      <c r="B359" t="s">
        <v>795</v>
      </c>
      <c r="C359" t="s">
        <v>191</v>
      </c>
      <c r="D359" t="s">
        <v>45</v>
      </c>
      <c r="E359" t="s">
        <v>74</v>
      </c>
      <c r="F359" t="s">
        <v>75</v>
      </c>
      <c r="G359">
        <v>24</v>
      </c>
      <c r="H359">
        <v>42.82</v>
      </c>
      <c r="I359">
        <v>1027.68</v>
      </c>
      <c r="J359">
        <v>69.95</v>
      </c>
      <c r="K359">
        <v>357.73</v>
      </c>
      <c r="L359" t="s">
        <v>24</v>
      </c>
      <c r="M359" t="s">
        <v>25</v>
      </c>
      <c r="N359" t="s">
        <v>49</v>
      </c>
      <c r="O359">
        <v>600</v>
      </c>
      <c r="P359" s="5">
        <f t="shared" si="5"/>
        <v>0.34809473766152887</v>
      </c>
    </row>
    <row r="360" spans="1:16" x14ac:dyDescent="0.3">
      <c r="A360" t="s">
        <v>796</v>
      </c>
      <c r="B360" t="s">
        <v>179</v>
      </c>
      <c r="C360" t="s">
        <v>194</v>
      </c>
      <c r="D360" t="s">
        <v>206</v>
      </c>
      <c r="E360" t="s">
        <v>67</v>
      </c>
      <c r="F360" t="s">
        <v>68</v>
      </c>
      <c r="G360">
        <v>26</v>
      </c>
      <c r="H360">
        <v>34.4</v>
      </c>
      <c r="I360">
        <v>894.4</v>
      </c>
      <c r="J360">
        <v>40.42</v>
      </c>
      <c r="K360">
        <v>268.98</v>
      </c>
      <c r="L360" t="s">
        <v>24</v>
      </c>
      <c r="M360" t="s">
        <v>25</v>
      </c>
      <c r="N360" t="s">
        <v>207</v>
      </c>
      <c r="O360">
        <v>585</v>
      </c>
      <c r="P360" s="5">
        <f t="shared" si="5"/>
        <v>0.3007379248658319</v>
      </c>
    </row>
    <row r="361" spans="1:16" x14ac:dyDescent="0.3">
      <c r="A361" t="s">
        <v>797</v>
      </c>
      <c r="B361" t="s">
        <v>798</v>
      </c>
      <c r="C361" t="s">
        <v>321</v>
      </c>
      <c r="D361" t="s">
        <v>37</v>
      </c>
      <c r="E361" t="s">
        <v>22</v>
      </c>
      <c r="F361" t="s">
        <v>23</v>
      </c>
      <c r="G361">
        <v>47</v>
      </c>
      <c r="H361">
        <v>44.89</v>
      </c>
      <c r="I361">
        <v>2109.83</v>
      </c>
      <c r="J361">
        <v>45.91</v>
      </c>
      <c r="K361">
        <v>418.92</v>
      </c>
      <c r="L361" t="s">
        <v>24</v>
      </c>
      <c r="M361" t="s">
        <v>34</v>
      </c>
      <c r="N361" t="s">
        <v>35</v>
      </c>
      <c r="O361">
        <v>1644.9999999999998</v>
      </c>
      <c r="P361" s="5">
        <f t="shared" si="5"/>
        <v>0.19855628178573631</v>
      </c>
    </row>
    <row r="362" spans="1:16" x14ac:dyDescent="0.3">
      <c r="A362" t="s">
        <v>799</v>
      </c>
      <c r="B362" t="s">
        <v>688</v>
      </c>
      <c r="C362" t="s">
        <v>285</v>
      </c>
      <c r="D362" t="s">
        <v>51</v>
      </c>
      <c r="E362" t="s">
        <v>81</v>
      </c>
      <c r="F362" t="s">
        <v>68</v>
      </c>
      <c r="G362">
        <v>1</v>
      </c>
      <c r="H362">
        <v>18.739999999999998</v>
      </c>
      <c r="I362">
        <v>18.739999999999998</v>
      </c>
      <c r="J362">
        <v>0.5</v>
      </c>
      <c r="K362">
        <v>2.74</v>
      </c>
      <c r="L362" t="s">
        <v>48</v>
      </c>
      <c r="M362" t="s">
        <v>34</v>
      </c>
      <c r="N362" t="s">
        <v>76</v>
      </c>
      <c r="O362">
        <v>15.499999999999998</v>
      </c>
      <c r="P362" s="5">
        <f t="shared" si="5"/>
        <v>0.14621131270010676</v>
      </c>
    </row>
    <row r="363" spans="1:16" x14ac:dyDescent="0.3">
      <c r="A363" t="s">
        <v>800</v>
      </c>
      <c r="B363" t="s">
        <v>156</v>
      </c>
      <c r="C363" t="s">
        <v>272</v>
      </c>
      <c r="D363" t="s">
        <v>116</v>
      </c>
      <c r="E363" t="s">
        <v>67</v>
      </c>
      <c r="F363" t="s">
        <v>68</v>
      </c>
      <c r="G363">
        <v>27</v>
      </c>
      <c r="H363">
        <v>36.270000000000003</v>
      </c>
      <c r="I363">
        <v>979.29</v>
      </c>
      <c r="J363">
        <v>54.58</v>
      </c>
      <c r="K363">
        <v>317.20999999999998</v>
      </c>
      <c r="L363" t="s">
        <v>33</v>
      </c>
      <c r="M363" t="s">
        <v>34</v>
      </c>
      <c r="N363" t="s">
        <v>76</v>
      </c>
      <c r="O363">
        <v>607.49999999999989</v>
      </c>
      <c r="P363" s="5">
        <f t="shared" si="5"/>
        <v>0.32391834900795474</v>
      </c>
    </row>
    <row r="364" spans="1:16" x14ac:dyDescent="0.3">
      <c r="A364" t="s">
        <v>801</v>
      </c>
      <c r="B364" t="s">
        <v>261</v>
      </c>
      <c r="C364" t="s">
        <v>151</v>
      </c>
      <c r="D364" t="s">
        <v>241</v>
      </c>
      <c r="E364" t="s">
        <v>86</v>
      </c>
      <c r="F364" t="s">
        <v>47</v>
      </c>
      <c r="G364">
        <v>13</v>
      </c>
      <c r="H364">
        <v>18.82</v>
      </c>
      <c r="I364">
        <v>244.66</v>
      </c>
      <c r="J364">
        <v>6.49</v>
      </c>
      <c r="K364">
        <v>72.42</v>
      </c>
      <c r="L364" t="s">
        <v>48</v>
      </c>
      <c r="M364" t="s">
        <v>34</v>
      </c>
      <c r="N364" t="s">
        <v>35</v>
      </c>
      <c r="O364">
        <v>165.75</v>
      </c>
      <c r="P364" s="5">
        <f t="shared" si="5"/>
        <v>0.29600261587509197</v>
      </c>
    </row>
    <row r="365" spans="1:16" x14ac:dyDescent="0.3">
      <c r="A365" t="s">
        <v>802</v>
      </c>
      <c r="B365" t="s">
        <v>139</v>
      </c>
      <c r="C365" t="s">
        <v>539</v>
      </c>
      <c r="D365" t="s">
        <v>206</v>
      </c>
      <c r="E365" t="s">
        <v>137</v>
      </c>
      <c r="F365" t="s">
        <v>68</v>
      </c>
      <c r="G365">
        <v>41</v>
      </c>
      <c r="H365">
        <v>43.19</v>
      </c>
      <c r="I365">
        <v>1770.79</v>
      </c>
      <c r="J365">
        <v>83.28</v>
      </c>
      <c r="K365">
        <v>539.51</v>
      </c>
      <c r="L365" t="s">
        <v>33</v>
      </c>
      <c r="M365" t="s">
        <v>25</v>
      </c>
      <c r="N365" t="s">
        <v>207</v>
      </c>
      <c r="O365">
        <v>1148</v>
      </c>
      <c r="P365" s="5">
        <f t="shared" si="5"/>
        <v>0.30467192608948551</v>
      </c>
    </row>
    <row r="366" spans="1:16" x14ac:dyDescent="0.3">
      <c r="A366" t="s">
        <v>803</v>
      </c>
      <c r="B366" t="s">
        <v>804</v>
      </c>
      <c r="C366" t="s">
        <v>110</v>
      </c>
      <c r="D366" t="s">
        <v>51</v>
      </c>
      <c r="E366" t="s">
        <v>137</v>
      </c>
      <c r="F366" t="s">
        <v>68</v>
      </c>
      <c r="G366">
        <v>40</v>
      </c>
      <c r="H366">
        <v>42.31</v>
      </c>
      <c r="I366">
        <v>1692.4</v>
      </c>
      <c r="J366">
        <v>118.59</v>
      </c>
      <c r="K366">
        <v>453.81</v>
      </c>
      <c r="L366" t="s">
        <v>33</v>
      </c>
      <c r="M366" t="s">
        <v>41</v>
      </c>
      <c r="N366" t="s">
        <v>76</v>
      </c>
      <c r="O366">
        <v>1120.0000000000002</v>
      </c>
      <c r="P366" s="5">
        <f t="shared" si="5"/>
        <v>0.26814582840935947</v>
      </c>
    </row>
    <row r="367" spans="1:16" x14ac:dyDescent="0.3">
      <c r="A367" t="s">
        <v>805</v>
      </c>
      <c r="B367" t="s">
        <v>536</v>
      </c>
      <c r="C367" t="s">
        <v>440</v>
      </c>
      <c r="D367" t="s">
        <v>70</v>
      </c>
      <c r="E367" t="s">
        <v>46</v>
      </c>
      <c r="F367" t="s">
        <v>47</v>
      </c>
      <c r="G367">
        <v>1</v>
      </c>
      <c r="H367">
        <v>57.15</v>
      </c>
      <c r="I367">
        <v>57.15</v>
      </c>
      <c r="J367">
        <v>4.1100000000000003</v>
      </c>
      <c r="K367">
        <v>21.04</v>
      </c>
      <c r="L367" t="s">
        <v>33</v>
      </c>
      <c r="M367" t="s">
        <v>25</v>
      </c>
      <c r="N367" t="s">
        <v>76</v>
      </c>
      <c r="O367">
        <v>32</v>
      </c>
      <c r="P367" s="5">
        <f t="shared" si="5"/>
        <v>0.36815398075240596</v>
      </c>
    </row>
    <row r="368" spans="1:16" x14ac:dyDescent="0.3">
      <c r="A368" t="s">
        <v>806</v>
      </c>
      <c r="B368" t="s">
        <v>196</v>
      </c>
      <c r="C368" t="s">
        <v>269</v>
      </c>
      <c r="D368" t="s">
        <v>55</v>
      </c>
      <c r="E368" t="s">
        <v>63</v>
      </c>
      <c r="F368" t="s">
        <v>47</v>
      </c>
      <c r="G368">
        <v>15</v>
      </c>
      <c r="H368">
        <v>30.03</v>
      </c>
      <c r="I368">
        <v>450.45</v>
      </c>
      <c r="J368">
        <v>29.99</v>
      </c>
      <c r="K368">
        <v>120.46</v>
      </c>
      <c r="L368" t="s">
        <v>48</v>
      </c>
      <c r="M368" t="s">
        <v>34</v>
      </c>
      <c r="N368" t="s">
        <v>98</v>
      </c>
      <c r="O368">
        <v>300</v>
      </c>
      <c r="P368" s="5">
        <f t="shared" si="5"/>
        <v>0.26742146742146744</v>
      </c>
    </row>
    <row r="369" spans="1:16" x14ac:dyDescent="0.3">
      <c r="A369" t="s">
        <v>807</v>
      </c>
      <c r="B369" t="s">
        <v>808</v>
      </c>
      <c r="C369" t="s">
        <v>257</v>
      </c>
      <c r="D369" t="s">
        <v>45</v>
      </c>
      <c r="E369" t="s">
        <v>63</v>
      </c>
      <c r="F369" t="s">
        <v>47</v>
      </c>
      <c r="G369">
        <v>48</v>
      </c>
      <c r="H369">
        <v>30.91</v>
      </c>
      <c r="I369">
        <v>1483.68</v>
      </c>
      <c r="J369">
        <v>85.5</v>
      </c>
      <c r="K369">
        <v>438.18</v>
      </c>
      <c r="L369" t="s">
        <v>24</v>
      </c>
      <c r="M369" t="s">
        <v>34</v>
      </c>
      <c r="N369" t="s">
        <v>49</v>
      </c>
      <c r="O369">
        <v>960</v>
      </c>
      <c r="P369" s="5">
        <f t="shared" si="5"/>
        <v>0.29533322549336782</v>
      </c>
    </row>
    <row r="370" spans="1:16" x14ac:dyDescent="0.3">
      <c r="A370" t="s">
        <v>809</v>
      </c>
      <c r="B370" t="s">
        <v>810</v>
      </c>
      <c r="C370" t="s">
        <v>511</v>
      </c>
      <c r="D370" t="s">
        <v>62</v>
      </c>
      <c r="E370" t="s">
        <v>67</v>
      </c>
      <c r="F370" t="s">
        <v>68</v>
      </c>
      <c r="G370">
        <v>8</v>
      </c>
      <c r="H370">
        <v>32.19</v>
      </c>
      <c r="I370">
        <v>257.52</v>
      </c>
      <c r="J370">
        <v>11.85</v>
      </c>
      <c r="K370">
        <v>65.67</v>
      </c>
      <c r="L370" t="s">
        <v>24</v>
      </c>
      <c r="M370" t="s">
        <v>25</v>
      </c>
      <c r="N370" t="s">
        <v>98</v>
      </c>
      <c r="O370">
        <v>179.99999999999997</v>
      </c>
      <c r="P370" s="5">
        <f t="shared" si="5"/>
        <v>0.25500931966449208</v>
      </c>
    </row>
    <row r="371" spans="1:16" x14ac:dyDescent="0.3">
      <c r="A371" t="s">
        <v>811</v>
      </c>
      <c r="B371" t="s">
        <v>812</v>
      </c>
      <c r="C371" t="s">
        <v>235</v>
      </c>
      <c r="D371" t="s">
        <v>123</v>
      </c>
      <c r="E371" t="s">
        <v>56</v>
      </c>
      <c r="F371" t="s">
        <v>57</v>
      </c>
      <c r="G371">
        <v>22</v>
      </c>
      <c r="H371">
        <v>60.75</v>
      </c>
      <c r="I371">
        <v>1336.5</v>
      </c>
      <c r="J371">
        <v>38.340000000000003</v>
      </c>
      <c r="K371">
        <v>418.16</v>
      </c>
      <c r="L371" t="s">
        <v>24</v>
      </c>
      <c r="M371" t="s">
        <v>34</v>
      </c>
      <c r="N371" t="s">
        <v>76</v>
      </c>
      <c r="O371">
        <v>879.99999999999989</v>
      </c>
      <c r="P371" s="5">
        <f t="shared" si="5"/>
        <v>0.3128769173213618</v>
      </c>
    </row>
    <row r="372" spans="1:16" x14ac:dyDescent="0.3">
      <c r="A372" t="s">
        <v>813</v>
      </c>
      <c r="B372" t="s">
        <v>319</v>
      </c>
      <c r="C372" t="s">
        <v>191</v>
      </c>
      <c r="D372" t="s">
        <v>37</v>
      </c>
      <c r="E372" t="s">
        <v>56</v>
      </c>
      <c r="F372" t="s">
        <v>57</v>
      </c>
      <c r="G372">
        <v>38</v>
      </c>
      <c r="H372">
        <v>66.06</v>
      </c>
      <c r="I372">
        <v>2510.2800000000002</v>
      </c>
      <c r="J372">
        <v>50.37</v>
      </c>
      <c r="K372">
        <v>939.91</v>
      </c>
      <c r="L372" t="s">
        <v>24</v>
      </c>
      <c r="M372" t="s">
        <v>25</v>
      </c>
      <c r="N372" t="s">
        <v>35</v>
      </c>
      <c r="O372">
        <v>1520.0000000000005</v>
      </c>
      <c r="P372" s="5">
        <f t="shared" si="5"/>
        <v>0.37442436700288412</v>
      </c>
    </row>
    <row r="373" spans="1:16" x14ac:dyDescent="0.3">
      <c r="A373" t="s">
        <v>814</v>
      </c>
      <c r="B373" t="s">
        <v>502</v>
      </c>
      <c r="C373" t="s">
        <v>157</v>
      </c>
      <c r="D373" t="s">
        <v>21</v>
      </c>
      <c r="E373" t="s">
        <v>22</v>
      </c>
      <c r="F373" t="s">
        <v>23</v>
      </c>
      <c r="G373">
        <v>33</v>
      </c>
      <c r="H373">
        <v>50.88</v>
      </c>
      <c r="I373">
        <v>1679.04</v>
      </c>
      <c r="J373">
        <v>61.48</v>
      </c>
      <c r="K373">
        <v>462.56</v>
      </c>
      <c r="L373" t="s">
        <v>24</v>
      </c>
      <c r="M373" t="s">
        <v>34</v>
      </c>
      <c r="N373" t="s">
        <v>98</v>
      </c>
      <c r="O373">
        <v>1155</v>
      </c>
      <c r="P373" s="5">
        <f t="shared" si="5"/>
        <v>0.27549075662283212</v>
      </c>
    </row>
    <row r="374" spans="1:16" x14ac:dyDescent="0.3">
      <c r="A374" t="s">
        <v>815</v>
      </c>
      <c r="B374" t="s">
        <v>816</v>
      </c>
      <c r="C374" t="s">
        <v>417</v>
      </c>
      <c r="D374" t="s">
        <v>51</v>
      </c>
      <c r="E374" t="s">
        <v>137</v>
      </c>
      <c r="F374" t="s">
        <v>68</v>
      </c>
      <c r="G374">
        <v>49</v>
      </c>
      <c r="H374">
        <v>34.479999999999997</v>
      </c>
      <c r="I374">
        <v>1689.52</v>
      </c>
      <c r="J374">
        <v>53.06</v>
      </c>
      <c r="K374">
        <v>264.45999999999998</v>
      </c>
      <c r="L374" t="s">
        <v>48</v>
      </c>
      <c r="M374" t="s">
        <v>41</v>
      </c>
      <c r="N374" t="s">
        <v>76</v>
      </c>
      <c r="O374">
        <v>1372</v>
      </c>
      <c r="P374" s="5">
        <f t="shared" si="5"/>
        <v>0.15652966523036127</v>
      </c>
    </row>
    <row r="375" spans="1:16" x14ac:dyDescent="0.3">
      <c r="A375" t="s">
        <v>817</v>
      </c>
      <c r="B375" t="s">
        <v>736</v>
      </c>
      <c r="C375" t="s">
        <v>269</v>
      </c>
      <c r="D375" t="s">
        <v>127</v>
      </c>
      <c r="E375" t="s">
        <v>63</v>
      </c>
      <c r="F375" t="s">
        <v>47</v>
      </c>
      <c r="G375">
        <v>31</v>
      </c>
      <c r="H375">
        <v>25.43</v>
      </c>
      <c r="I375">
        <v>788.33</v>
      </c>
      <c r="J375">
        <v>57.81</v>
      </c>
      <c r="K375">
        <v>110.52</v>
      </c>
      <c r="L375" t="s">
        <v>24</v>
      </c>
      <c r="M375" t="s">
        <v>34</v>
      </c>
      <c r="N375" t="s">
        <v>76</v>
      </c>
      <c r="O375">
        <v>620</v>
      </c>
      <c r="P375" s="5">
        <f t="shared" si="5"/>
        <v>0.14019509596235077</v>
      </c>
    </row>
    <row r="376" spans="1:16" x14ac:dyDescent="0.3">
      <c r="A376" t="s">
        <v>818</v>
      </c>
      <c r="B376" t="s">
        <v>467</v>
      </c>
      <c r="C376" t="s">
        <v>360</v>
      </c>
      <c r="D376" t="s">
        <v>241</v>
      </c>
      <c r="E376" t="s">
        <v>63</v>
      </c>
      <c r="F376" t="s">
        <v>47</v>
      </c>
      <c r="G376">
        <v>29</v>
      </c>
      <c r="H376">
        <v>31.68</v>
      </c>
      <c r="I376">
        <v>918.72</v>
      </c>
      <c r="J376">
        <v>22.22</v>
      </c>
      <c r="K376">
        <v>316.5</v>
      </c>
      <c r="L376" t="s">
        <v>48</v>
      </c>
      <c r="M376" t="s">
        <v>25</v>
      </c>
      <c r="N376" t="s">
        <v>35</v>
      </c>
      <c r="O376">
        <v>580</v>
      </c>
      <c r="P376" s="5">
        <f t="shared" si="5"/>
        <v>0.34450104493207939</v>
      </c>
    </row>
    <row r="377" spans="1:16" x14ac:dyDescent="0.3">
      <c r="A377" t="s">
        <v>819</v>
      </c>
      <c r="B377" t="s">
        <v>590</v>
      </c>
      <c r="C377" t="s">
        <v>559</v>
      </c>
      <c r="D377" t="s">
        <v>116</v>
      </c>
      <c r="E377" t="s">
        <v>137</v>
      </c>
      <c r="F377" t="s">
        <v>68</v>
      </c>
      <c r="G377">
        <v>42</v>
      </c>
      <c r="H377">
        <v>33.89</v>
      </c>
      <c r="I377">
        <v>1423.38</v>
      </c>
      <c r="J377">
        <v>85.4</v>
      </c>
      <c r="K377">
        <v>161.97999999999999</v>
      </c>
      <c r="L377" t="s">
        <v>48</v>
      </c>
      <c r="M377" t="s">
        <v>25</v>
      </c>
      <c r="N377" t="s">
        <v>76</v>
      </c>
      <c r="O377">
        <v>1176</v>
      </c>
      <c r="P377" s="5">
        <f t="shared" si="5"/>
        <v>0.11379954755581782</v>
      </c>
    </row>
    <row r="378" spans="1:16" x14ac:dyDescent="0.3">
      <c r="A378" t="s">
        <v>820</v>
      </c>
      <c r="B378" t="s">
        <v>821</v>
      </c>
      <c r="C378" t="s">
        <v>66</v>
      </c>
      <c r="D378" t="s">
        <v>116</v>
      </c>
      <c r="E378" t="s">
        <v>32</v>
      </c>
      <c r="F378" t="s">
        <v>23</v>
      </c>
      <c r="G378">
        <v>13</v>
      </c>
      <c r="H378">
        <v>21.75</v>
      </c>
      <c r="I378">
        <v>282.75</v>
      </c>
      <c r="J378">
        <v>12.5</v>
      </c>
      <c r="K378">
        <v>36.25</v>
      </c>
      <c r="L378" t="s">
        <v>48</v>
      </c>
      <c r="M378" t="s">
        <v>34</v>
      </c>
      <c r="N378" t="s">
        <v>76</v>
      </c>
      <c r="O378">
        <v>234</v>
      </c>
      <c r="P378" s="5">
        <f t="shared" si="5"/>
        <v>0.12820512820512819</v>
      </c>
    </row>
    <row r="379" spans="1:16" x14ac:dyDescent="0.3">
      <c r="A379" t="s">
        <v>822</v>
      </c>
      <c r="B379" t="s">
        <v>823</v>
      </c>
      <c r="C379" t="s">
        <v>162</v>
      </c>
      <c r="D379" t="s">
        <v>127</v>
      </c>
      <c r="E379" t="s">
        <v>67</v>
      </c>
      <c r="F379" t="s">
        <v>68</v>
      </c>
      <c r="G379">
        <v>25</v>
      </c>
      <c r="H379">
        <v>37.58</v>
      </c>
      <c r="I379">
        <v>939.5</v>
      </c>
      <c r="J379">
        <v>48.44</v>
      </c>
      <c r="K379">
        <v>328.56</v>
      </c>
      <c r="L379" t="s">
        <v>48</v>
      </c>
      <c r="M379" t="s">
        <v>41</v>
      </c>
      <c r="N379" t="s">
        <v>76</v>
      </c>
      <c r="O379">
        <v>562.5</v>
      </c>
      <c r="P379" s="5">
        <f t="shared" si="5"/>
        <v>0.34971793507184673</v>
      </c>
    </row>
    <row r="380" spans="1:16" x14ac:dyDescent="0.3">
      <c r="A380" t="s">
        <v>824</v>
      </c>
      <c r="B380" t="s">
        <v>825</v>
      </c>
      <c r="C380" t="s">
        <v>480</v>
      </c>
      <c r="D380" t="s">
        <v>241</v>
      </c>
      <c r="E380" t="s">
        <v>63</v>
      </c>
      <c r="F380" t="s">
        <v>47</v>
      </c>
      <c r="G380">
        <v>16</v>
      </c>
      <c r="H380">
        <v>25.25</v>
      </c>
      <c r="I380">
        <v>404</v>
      </c>
      <c r="J380">
        <v>18.75</v>
      </c>
      <c r="K380">
        <v>65.25</v>
      </c>
      <c r="L380" t="s">
        <v>33</v>
      </c>
      <c r="M380" t="s">
        <v>41</v>
      </c>
      <c r="N380" t="s">
        <v>35</v>
      </c>
      <c r="O380">
        <v>320</v>
      </c>
      <c r="P380" s="5">
        <f t="shared" si="5"/>
        <v>0.16150990099009901</v>
      </c>
    </row>
    <row r="381" spans="1:16" x14ac:dyDescent="0.3">
      <c r="A381" t="s">
        <v>826</v>
      </c>
      <c r="B381" t="s">
        <v>131</v>
      </c>
      <c r="C381" t="s">
        <v>381</v>
      </c>
      <c r="D381" t="s">
        <v>127</v>
      </c>
      <c r="E381" t="s">
        <v>81</v>
      </c>
      <c r="F381" t="s">
        <v>68</v>
      </c>
      <c r="G381">
        <v>37</v>
      </c>
      <c r="H381">
        <v>25.85</v>
      </c>
      <c r="I381">
        <v>956.45</v>
      </c>
      <c r="J381">
        <v>31.7</v>
      </c>
      <c r="K381">
        <v>351.25</v>
      </c>
      <c r="L381" t="s">
        <v>48</v>
      </c>
      <c r="M381" t="s">
        <v>41</v>
      </c>
      <c r="N381" t="s">
        <v>76</v>
      </c>
      <c r="O381">
        <v>573.5</v>
      </c>
      <c r="P381" s="5">
        <f t="shared" si="5"/>
        <v>0.3672434523498353</v>
      </c>
    </row>
    <row r="382" spans="1:16" x14ac:dyDescent="0.3">
      <c r="A382" t="s">
        <v>827</v>
      </c>
      <c r="B382" t="s">
        <v>421</v>
      </c>
      <c r="C382" t="s">
        <v>73</v>
      </c>
      <c r="D382" t="s">
        <v>116</v>
      </c>
      <c r="E382" t="s">
        <v>63</v>
      </c>
      <c r="F382" t="s">
        <v>47</v>
      </c>
      <c r="G382">
        <v>1</v>
      </c>
      <c r="H382">
        <v>25.72</v>
      </c>
      <c r="I382">
        <v>25.72</v>
      </c>
      <c r="J382">
        <v>2.04</v>
      </c>
      <c r="K382">
        <v>3.68</v>
      </c>
      <c r="L382" t="s">
        <v>48</v>
      </c>
      <c r="M382" t="s">
        <v>41</v>
      </c>
      <c r="N382" t="s">
        <v>76</v>
      </c>
      <c r="O382">
        <v>20</v>
      </c>
      <c r="P382" s="5">
        <f t="shared" si="5"/>
        <v>0.14307931570762053</v>
      </c>
    </row>
    <row r="383" spans="1:16" x14ac:dyDescent="0.3">
      <c r="A383" t="s">
        <v>828</v>
      </c>
      <c r="B383" t="s">
        <v>229</v>
      </c>
      <c r="C383" t="s">
        <v>539</v>
      </c>
      <c r="D383" t="s">
        <v>116</v>
      </c>
      <c r="E383" t="s">
        <v>137</v>
      </c>
      <c r="F383" t="s">
        <v>68</v>
      </c>
      <c r="G383">
        <v>48</v>
      </c>
      <c r="H383">
        <v>47.05</v>
      </c>
      <c r="I383">
        <v>2258.4</v>
      </c>
      <c r="J383">
        <v>179.44</v>
      </c>
      <c r="K383">
        <v>734.96</v>
      </c>
      <c r="L383" t="s">
        <v>33</v>
      </c>
      <c r="M383" t="s">
        <v>34</v>
      </c>
      <c r="N383" t="s">
        <v>76</v>
      </c>
      <c r="O383">
        <v>1344</v>
      </c>
      <c r="P383" s="5">
        <f t="shared" si="5"/>
        <v>0.32543393552957844</v>
      </c>
    </row>
    <row r="384" spans="1:16" x14ac:dyDescent="0.3">
      <c r="A384" t="s">
        <v>829</v>
      </c>
      <c r="B384" t="s">
        <v>830</v>
      </c>
      <c r="C384" t="s">
        <v>197</v>
      </c>
      <c r="D384" t="s">
        <v>45</v>
      </c>
      <c r="E384" t="s">
        <v>63</v>
      </c>
      <c r="F384" t="s">
        <v>47</v>
      </c>
      <c r="G384">
        <v>48</v>
      </c>
      <c r="H384">
        <v>29.94</v>
      </c>
      <c r="I384">
        <v>1437.12</v>
      </c>
      <c r="J384">
        <v>30.14</v>
      </c>
      <c r="K384">
        <v>446.98</v>
      </c>
      <c r="L384" t="s">
        <v>33</v>
      </c>
      <c r="M384" t="s">
        <v>34</v>
      </c>
      <c r="N384" t="s">
        <v>49</v>
      </c>
      <c r="O384">
        <v>959.99999999999977</v>
      </c>
      <c r="P384" s="5">
        <f t="shared" si="5"/>
        <v>0.31102482743264309</v>
      </c>
    </row>
    <row r="385" spans="1:16" x14ac:dyDescent="0.3">
      <c r="A385" t="s">
        <v>831</v>
      </c>
      <c r="B385" t="s">
        <v>832</v>
      </c>
      <c r="C385" t="s">
        <v>586</v>
      </c>
      <c r="D385" t="s">
        <v>37</v>
      </c>
      <c r="E385" t="s">
        <v>67</v>
      </c>
      <c r="F385" t="s">
        <v>68</v>
      </c>
      <c r="G385">
        <v>12</v>
      </c>
      <c r="H385">
        <v>35.68</v>
      </c>
      <c r="I385">
        <v>428.16</v>
      </c>
      <c r="J385">
        <v>13.07</v>
      </c>
      <c r="K385">
        <v>145.09</v>
      </c>
      <c r="L385" t="s">
        <v>33</v>
      </c>
      <c r="M385" t="s">
        <v>41</v>
      </c>
      <c r="N385" t="s">
        <v>35</v>
      </c>
      <c r="O385">
        <v>270.00000000000006</v>
      </c>
      <c r="P385" s="5">
        <f t="shared" si="5"/>
        <v>0.33886864723467863</v>
      </c>
    </row>
    <row r="386" spans="1:16" x14ac:dyDescent="0.3">
      <c r="A386" t="s">
        <v>833</v>
      </c>
      <c r="B386" t="s">
        <v>706</v>
      </c>
      <c r="C386" t="s">
        <v>455</v>
      </c>
      <c r="D386" t="s">
        <v>21</v>
      </c>
      <c r="E386" t="s">
        <v>46</v>
      </c>
      <c r="F386" t="s">
        <v>47</v>
      </c>
      <c r="G386">
        <v>30</v>
      </c>
      <c r="H386">
        <v>49.32</v>
      </c>
      <c r="I386">
        <v>1479.6</v>
      </c>
      <c r="J386">
        <v>105.97</v>
      </c>
      <c r="K386">
        <v>413.63</v>
      </c>
      <c r="L386" t="s">
        <v>33</v>
      </c>
      <c r="M386" t="s">
        <v>34</v>
      </c>
      <c r="N386" t="s">
        <v>98</v>
      </c>
      <c r="O386">
        <v>959.99999999999977</v>
      </c>
      <c r="P386" s="5">
        <f t="shared" si="5"/>
        <v>0.27955528521221951</v>
      </c>
    </row>
    <row r="387" spans="1:16" x14ac:dyDescent="0.3">
      <c r="A387" t="s">
        <v>834</v>
      </c>
      <c r="B387" t="s">
        <v>623</v>
      </c>
      <c r="C387" t="s">
        <v>475</v>
      </c>
      <c r="D387" t="s">
        <v>171</v>
      </c>
      <c r="E387" t="s">
        <v>137</v>
      </c>
      <c r="F387" t="s">
        <v>68</v>
      </c>
      <c r="G387">
        <v>27</v>
      </c>
      <c r="H387">
        <v>37.68</v>
      </c>
      <c r="I387">
        <v>1017.36</v>
      </c>
      <c r="J387">
        <v>80.739999999999995</v>
      </c>
      <c r="K387">
        <v>180.62</v>
      </c>
      <c r="L387" t="s">
        <v>48</v>
      </c>
      <c r="M387" t="s">
        <v>25</v>
      </c>
      <c r="N387" t="s">
        <v>35</v>
      </c>
      <c r="O387">
        <v>756</v>
      </c>
      <c r="P387" s="5">
        <f t="shared" si="5"/>
        <v>0.17753794133836598</v>
      </c>
    </row>
    <row r="388" spans="1:16" x14ac:dyDescent="0.3">
      <c r="A388" t="s">
        <v>835</v>
      </c>
      <c r="B388" t="s">
        <v>836</v>
      </c>
      <c r="C388" t="s">
        <v>277</v>
      </c>
      <c r="D388" t="s">
        <v>37</v>
      </c>
      <c r="E388" t="s">
        <v>74</v>
      </c>
      <c r="F388" t="s">
        <v>75</v>
      </c>
      <c r="G388">
        <v>39</v>
      </c>
      <c r="H388">
        <v>36.340000000000003</v>
      </c>
      <c r="I388">
        <v>1417.26</v>
      </c>
      <c r="J388">
        <v>67</v>
      </c>
      <c r="K388">
        <v>375.26</v>
      </c>
      <c r="L388" t="s">
        <v>48</v>
      </c>
      <c r="M388" t="s">
        <v>34</v>
      </c>
      <c r="N388" t="s">
        <v>35</v>
      </c>
      <c r="O388">
        <v>975</v>
      </c>
      <c r="P388" s="5">
        <f t="shared" si="5"/>
        <v>0.26477851629200005</v>
      </c>
    </row>
    <row r="389" spans="1:16" x14ac:dyDescent="0.3">
      <c r="A389" t="s">
        <v>837</v>
      </c>
      <c r="B389" t="s">
        <v>838</v>
      </c>
      <c r="C389" t="s">
        <v>73</v>
      </c>
      <c r="D389" t="s">
        <v>51</v>
      </c>
      <c r="E389" t="s">
        <v>81</v>
      </c>
      <c r="F389" t="s">
        <v>68</v>
      </c>
      <c r="G389">
        <v>16</v>
      </c>
      <c r="H389">
        <v>24.33</v>
      </c>
      <c r="I389">
        <v>389.28</v>
      </c>
      <c r="J389">
        <v>22.33</v>
      </c>
      <c r="K389">
        <v>118.95</v>
      </c>
      <c r="L389" t="s">
        <v>24</v>
      </c>
      <c r="M389" t="s">
        <v>41</v>
      </c>
      <c r="N389" t="s">
        <v>76</v>
      </c>
      <c r="O389">
        <v>248</v>
      </c>
      <c r="P389" s="5">
        <f t="shared" si="5"/>
        <v>0.30556411837237979</v>
      </c>
    </row>
    <row r="390" spans="1:16" x14ac:dyDescent="0.3">
      <c r="A390" t="s">
        <v>839</v>
      </c>
      <c r="B390" t="s">
        <v>547</v>
      </c>
      <c r="C390" t="s">
        <v>475</v>
      </c>
      <c r="D390" t="s">
        <v>123</v>
      </c>
      <c r="E390" t="s">
        <v>81</v>
      </c>
      <c r="F390" t="s">
        <v>68</v>
      </c>
      <c r="G390">
        <v>40</v>
      </c>
      <c r="H390">
        <v>22.28</v>
      </c>
      <c r="I390">
        <v>891.2</v>
      </c>
      <c r="J390">
        <v>32.729999999999997</v>
      </c>
      <c r="K390">
        <v>238.47</v>
      </c>
      <c r="L390" t="s">
        <v>24</v>
      </c>
      <c r="M390" t="s">
        <v>34</v>
      </c>
      <c r="N390" t="s">
        <v>76</v>
      </c>
      <c r="O390">
        <v>620</v>
      </c>
      <c r="P390" s="5">
        <f t="shared" si="5"/>
        <v>0.26758303411131057</v>
      </c>
    </row>
    <row r="391" spans="1:16" x14ac:dyDescent="0.3">
      <c r="A391" t="s">
        <v>840</v>
      </c>
      <c r="B391" t="s">
        <v>129</v>
      </c>
      <c r="C391" t="s">
        <v>170</v>
      </c>
      <c r="D391" t="s">
        <v>127</v>
      </c>
      <c r="E391" t="s">
        <v>86</v>
      </c>
      <c r="F391" t="s">
        <v>47</v>
      </c>
      <c r="G391">
        <v>45</v>
      </c>
      <c r="H391">
        <v>21.71</v>
      </c>
      <c r="I391">
        <v>976.95</v>
      </c>
      <c r="J391">
        <v>51.6</v>
      </c>
      <c r="K391">
        <v>351.6</v>
      </c>
      <c r="L391" t="s">
        <v>24</v>
      </c>
      <c r="M391" t="s">
        <v>25</v>
      </c>
      <c r="N391" t="s">
        <v>76</v>
      </c>
      <c r="O391">
        <v>573.75</v>
      </c>
      <c r="P391" s="5">
        <f t="shared" ref="P391:P454" si="6">K391/I391</f>
        <v>0.35989559342852756</v>
      </c>
    </row>
    <row r="392" spans="1:16" x14ac:dyDescent="0.3">
      <c r="A392" t="s">
        <v>841</v>
      </c>
      <c r="B392" t="s">
        <v>477</v>
      </c>
      <c r="C392" t="s">
        <v>288</v>
      </c>
      <c r="D392" t="s">
        <v>241</v>
      </c>
      <c r="E392" t="s">
        <v>74</v>
      </c>
      <c r="F392" t="s">
        <v>75</v>
      </c>
      <c r="G392">
        <v>8</v>
      </c>
      <c r="H392">
        <v>31.07</v>
      </c>
      <c r="I392">
        <v>248.56</v>
      </c>
      <c r="J392">
        <v>10.97</v>
      </c>
      <c r="K392">
        <v>37.590000000000003</v>
      </c>
      <c r="L392" t="s">
        <v>24</v>
      </c>
      <c r="M392" t="s">
        <v>34</v>
      </c>
      <c r="N392" t="s">
        <v>35</v>
      </c>
      <c r="O392">
        <v>200</v>
      </c>
      <c r="P392" s="5">
        <f t="shared" si="6"/>
        <v>0.15123109108464758</v>
      </c>
    </row>
    <row r="393" spans="1:16" x14ac:dyDescent="0.3">
      <c r="A393" t="s">
        <v>842</v>
      </c>
      <c r="B393" t="s">
        <v>843</v>
      </c>
      <c r="C393" t="s">
        <v>369</v>
      </c>
      <c r="D393" t="s">
        <v>171</v>
      </c>
      <c r="E393" t="s">
        <v>86</v>
      </c>
      <c r="F393" t="s">
        <v>47</v>
      </c>
      <c r="G393">
        <v>47</v>
      </c>
      <c r="H393">
        <v>21.93</v>
      </c>
      <c r="I393">
        <v>1030.71</v>
      </c>
      <c r="J393">
        <v>70.989999999999995</v>
      </c>
      <c r="K393">
        <v>360.47</v>
      </c>
      <c r="L393" t="s">
        <v>48</v>
      </c>
      <c r="M393" t="s">
        <v>25</v>
      </c>
      <c r="N393" t="s">
        <v>35</v>
      </c>
      <c r="O393">
        <v>599.25</v>
      </c>
      <c r="P393" s="5">
        <f t="shared" si="6"/>
        <v>0.3497297979062976</v>
      </c>
    </row>
    <row r="394" spans="1:16" x14ac:dyDescent="0.3">
      <c r="A394" t="s">
        <v>844</v>
      </c>
      <c r="B394" t="s">
        <v>845</v>
      </c>
      <c r="C394" t="s">
        <v>165</v>
      </c>
      <c r="D394" t="s">
        <v>171</v>
      </c>
      <c r="E394" t="s">
        <v>86</v>
      </c>
      <c r="F394" t="s">
        <v>47</v>
      </c>
      <c r="G394">
        <v>46</v>
      </c>
      <c r="H394">
        <v>21.46</v>
      </c>
      <c r="I394">
        <v>987.16</v>
      </c>
      <c r="J394">
        <v>21.64</v>
      </c>
      <c r="K394">
        <v>379.02</v>
      </c>
      <c r="L394" t="s">
        <v>33</v>
      </c>
      <c r="M394" t="s">
        <v>25</v>
      </c>
      <c r="N394" t="s">
        <v>35</v>
      </c>
      <c r="O394">
        <v>586.5</v>
      </c>
      <c r="P394" s="5">
        <f t="shared" si="6"/>
        <v>0.38394991693342517</v>
      </c>
    </row>
    <row r="395" spans="1:16" x14ac:dyDescent="0.3">
      <c r="A395" t="s">
        <v>846</v>
      </c>
      <c r="B395" t="s">
        <v>847</v>
      </c>
      <c r="C395" t="s">
        <v>126</v>
      </c>
      <c r="D395" t="s">
        <v>21</v>
      </c>
      <c r="E395" t="s">
        <v>137</v>
      </c>
      <c r="F395" t="s">
        <v>68</v>
      </c>
      <c r="G395">
        <v>45</v>
      </c>
      <c r="H395">
        <v>47.1</v>
      </c>
      <c r="I395">
        <v>2119.5</v>
      </c>
      <c r="J395">
        <v>120.16</v>
      </c>
      <c r="K395">
        <v>739.34</v>
      </c>
      <c r="L395" t="s">
        <v>33</v>
      </c>
      <c r="M395" t="s">
        <v>34</v>
      </c>
      <c r="N395" t="s">
        <v>98</v>
      </c>
      <c r="O395">
        <v>1259.9999999999998</v>
      </c>
      <c r="P395" s="5">
        <f t="shared" si="6"/>
        <v>0.34882755366831802</v>
      </c>
    </row>
    <row r="396" spans="1:16" x14ac:dyDescent="0.3">
      <c r="A396" t="s">
        <v>848</v>
      </c>
      <c r="B396" t="s">
        <v>319</v>
      </c>
      <c r="C396" t="s">
        <v>20</v>
      </c>
      <c r="D396" t="s">
        <v>70</v>
      </c>
      <c r="E396" t="s">
        <v>22</v>
      </c>
      <c r="F396" t="s">
        <v>23</v>
      </c>
      <c r="G396">
        <v>2</v>
      </c>
      <c r="H396">
        <v>58.32</v>
      </c>
      <c r="I396">
        <v>116.64</v>
      </c>
      <c r="J396">
        <v>8.99</v>
      </c>
      <c r="K396">
        <v>37.65</v>
      </c>
      <c r="L396" t="s">
        <v>24</v>
      </c>
      <c r="M396" t="s">
        <v>34</v>
      </c>
      <c r="N396" t="s">
        <v>76</v>
      </c>
      <c r="O396">
        <v>70.000000000000014</v>
      </c>
      <c r="P396" s="5">
        <f t="shared" si="6"/>
        <v>0.32278806584362141</v>
      </c>
    </row>
    <row r="397" spans="1:16" x14ac:dyDescent="0.3">
      <c r="A397" t="s">
        <v>849</v>
      </c>
      <c r="B397" t="s">
        <v>850</v>
      </c>
      <c r="C397" t="s">
        <v>475</v>
      </c>
      <c r="D397" t="s">
        <v>171</v>
      </c>
      <c r="E397" t="s">
        <v>22</v>
      </c>
      <c r="F397" t="s">
        <v>23</v>
      </c>
      <c r="G397">
        <v>31</v>
      </c>
      <c r="H397">
        <v>61.34</v>
      </c>
      <c r="I397">
        <v>1901.54</v>
      </c>
      <c r="J397">
        <v>147.43</v>
      </c>
      <c r="K397">
        <v>669.11</v>
      </c>
      <c r="L397" t="s">
        <v>33</v>
      </c>
      <c r="M397" t="s">
        <v>25</v>
      </c>
      <c r="N397" t="s">
        <v>35</v>
      </c>
      <c r="O397">
        <v>1084.9999999999998</v>
      </c>
      <c r="P397" s="5">
        <f t="shared" si="6"/>
        <v>0.35187795155505541</v>
      </c>
    </row>
    <row r="398" spans="1:16" x14ac:dyDescent="0.3">
      <c r="A398" t="s">
        <v>851</v>
      </c>
      <c r="B398" t="s">
        <v>852</v>
      </c>
      <c r="C398" t="s">
        <v>266</v>
      </c>
      <c r="D398" t="s">
        <v>55</v>
      </c>
      <c r="E398" t="s">
        <v>74</v>
      </c>
      <c r="F398" t="s">
        <v>75</v>
      </c>
      <c r="G398">
        <v>15</v>
      </c>
      <c r="H398">
        <v>43.9</v>
      </c>
      <c r="I398">
        <v>658.5</v>
      </c>
      <c r="J398">
        <v>36.479999999999997</v>
      </c>
      <c r="K398">
        <v>247.02</v>
      </c>
      <c r="L398" t="s">
        <v>48</v>
      </c>
      <c r="M398" t="s">
        <v>34</v>
      </c>
      <c r="N398" t="s">
        <v>98</v>
      </c>
      <c r="O398">
        <v>375</v>
      </c>
      <c r="P398" s="5">
        <f t="shared" si="6"/>
        <v>0.37512528473804102</v>
      </c>
    </row>
    <row r="399" spans="1:16" x14ac:dyDescent="0.3">
      <c r="A399" t="s">
        <v>853</v>
      </c>
      <c r="B399" t="s">
        <v>854</v>
      </c>
      <c r="C399" t="s">
        <v>266</v>
      </c>
      <c r="D399" t="s">
        <v>37</v>
      </c>
      <c r="E399" t="s">
        <v>86</v>
      </c>
      <c r="F399" t="s">
        <v>47</v>
      </c>
      <c r="G399">
        <v>4</v>
      </c>
      <c r="H399">
        <v>20.53</v>
      </c>
      <c r="I399">
        <v>82.12</v>
      </c>
      <c r="J399">
        <v>4.05</v>
      </c>
      <c r="K399">
        <v>27.07</v>
      </c>
      <c r="L399" t="s">
        <v>24</v>
      </c>
      <c r="M399" t="s">
        <v>41</v>
      </c>
      <c r="N399" t="s">
        <v>35</v>
      </c>
      <c r="O399">
        <v>51.000000000000007</v>
      </c>
      <c r="P399" s="5">
        <f t="shared" si="6"/>
        <v>0.32963955187530442</v>
      </c>
    </row>
    <row r="400" spans="1:16" x14ac:dyDescent="0.3">
      <c r="A400" t="s">
        <v>855</v>
      </c>
      <c r="B400" t="s">
        <v>433</v>
      </c>
      <c r="C400" t="s">
        <v>238</v>
      </c>
      <c r="D400" t="s">
        <v>206</v>
      </c>
      <c r="E400" t="s">
        <v>63</v>
      </c>
      <c r="F400" t="s">
        <v>47</v>
      </c>
      <c r="G400">
        <v>6</v>
      </c>
      <c r="H400">
        <v>24.7</v>
      </c>
      <c r="I400">
        <v>148.19999999999999</v>
      </c>
      <c r="J400">
        <v>3.76</v>
      </c>
      <c r="K400">
        <v>24.44</v>
      </c>
      <c r="L400" t="s">
        <v>48</v>
      </c>
      <c r="M400" t="s">
        <v>25</v>
      </c>
      <c r="N400" t="s">
        <v>207</v>
      </c>
      <c r="O400">
        <v>119.99999999999997</v>
      </c>
      <c r="P400" s="5">
        <f t="shared" si="6"/>
        <v>0.1649122807017544</v>
      </c>
    </row>
    <row r="401" spans="1:16" x14ac:dyDescent="0.3">
      <c r="A401" t="s">
        <v>856</v>
      </c>
      <c r="B401" t="s">
        <v>857</v>
      </c>
      <c r="C401" t="s">
        <v>521</v>
      </c>
      <c r="D401" t="s">
        <v>45</v>
      </c>
      <c r="E401" t="s">
        <v>86</v>
      </c>
      <c r="F401" t="s">
        <v>47</v>
      </c>
      <c r="G401">
        <v>19</v>
      </c>
      <c r="H401">
        <v>19.170000000000002</v>
      </c>
      <c r="I401">
        <v>364.23</v>
      </c>
      <c r="J401">
        <v>15.16</v>
      </c>
      <c r="K401">
        <v>106.82</v>
      </c>
      <c r="L401" t="s">
        <v>33</v>
      </c>
      <c r="M401" t="s">
        <v>34</v>
      </c>
      <c r="N401" t="s">
        <v>49</v>
      </c>
      <c r="O401">
        <v>242.25000000000003</v>
      </c>
      <c r="P401" s="5">
        <f t="shared" si="6"/>
        <v>0.29327622656014052</v>
      </c>
    </row>
    <row r="402" spans="1:16" x14ac:dyDescent="0.3">
      <c r="A402" t="s">
        <v>858</v>
      </c>
      <c r="B402" t="s">
        <v>243</v>
      </c>
      <c r="C402" t="s">
        <v>630</v>
      </c>
      <c r="D402" t="s">
        <v>51</v>
      </c>
      <c r="E402" t="s">
        <v>56</v>
      </c>
      <c r="F402" t="s">
        <v>57</v>
      </c>
      <c r="G402">
        <v>2</v>
      </c>
      <c r="H402">
        <v>55.28</v>
      </c>
      <c r="I402">
        <v>110.56</v>
      </c>
      <c r="J402">
        <v>5.37</v>
      </c>
      <c r="K402">
        <v>25.19</v>
      </c>
      <c r="L402" t="s">
        <v>48</v>
      </c>
      <c r="M402" t="s">
        <v>34</v>
      </c>
      <c r="N402" t="s">
        <v>76</v>
      </c>
      <c r="O402">
        <v>80</v>
      </c>
      <c r="P402" s="5">
        <f t="shared" si="6"/>
        <v>0.22784008683068019</v>
      </c>
    </row>
    <row r="403" spans="1:16" x14ac:dyDescent="0.3">
      <c r="A403" t="s">
        <v>859</v>
      </c>
      <c r="B403" t="s">
        <v>860</v>
      </c>
      <c r="C403" t="s">
        <v>334</v>
      </c>
      <c r="D403" t="s">
        <v>45</v>
      </c>
      <c r="E403" t="s">
        <v>74</v>
      </c>
      <c r="F403" t="s">
        <v>75</v>
      </c>
      <c r="G403">
        <v>49</v>
      </c>
      <c r="H403">
        <v>43.91</v>
      </c>
      <c r="I403">
        <v>2151.59</v>
      </c>
      <c r="J403">
        <v>63.55</v>
      </c>
      <c r="K403">
        <v>863.04</v>
      </c>
      <c r="L403" t="s">
        <v>24</v>
      </c>
      <c r="M403" t="s">
        <v>34</v>
      </c>
      <c r="N403" t="s">
        <v>49</v>
      </c>
      <c r="O403">
        <v>1225.0000000000002</v>
      </c>
      <c r="P403" s="5">
        <f t="shared" si="6"/>
        <v>0.40111731324276462</v>
      </c>
    </row>
    <row r="404" spans="1:16" x14ac:dyDescent="0.3">
      <c r="A404" t="s">
        <v>861</v>
      </c>
      <c r="B404" t="s">
        <v>862</v>
      </c>
      <c r="C404" t="s">
        <v>307</v>
      </c>
      <c r="D404" t="s">
        <v>45</v>
      </c>
      <c r="E404" t="s">
        <v>74</v>
      </c>
      <c r="F404" t="s">
        <v>75</v>
      </c>
      <c r="G404">
        <v>29</v>
      </c>
      <c r="H404">
        <v>41.84</v>
      </c>
      <c r="I404">
        <v>1213.3599999999999</v>
      </c>
      <c r="J404">
        <v>56.83</v>
      </c>
      <c r="K404">
        <v>431.53</v>
      </c>
      <c r="L404" t="s">
        <v>48</v>
      </c>
      <c r="M404" t="s">
        <v>41</v>
      </c>
      <c r="N404" t="s">
        <v>49</v>
      </c>
      <c r="O404">
        <v>724.99999999999989</v>
      </c>
      <c r="P404" s="5">
        <f t="shared" si="6"/>
        <v>0.35564877694995717</v>
      </c>
    </row>
    <row r="405" spans="1:16" x14ac:dyDescent="0.3">
      <c r="A405" t="s">
        <v>863</v>
      </c>
      <c r="B405" t="s">
        <v>798</v>
      </c>
      <c r="C405" t="s">
        <v>282</v>
      </c>
      <c r="D405" t="s">
        <v>141</v>
      </c>
      <c r="E405" t="s">
        <v>81</v>
      </c>
      <c r="F405" t="s">
        <v>68</v>
      </c>
      <c r="G405">
        <v>43</v>
      </c>
      <c r="H405">
        <v>27.41</v>
      </c>
      <c r="I405">
        <v>1178.6300000000001</v>
      </c>
      <c r="J405">
        <v>55.82</v>
      </c>
      <c r="K405">
        <v>456.31</v>
      </c>
      <c r="L405" t="s">
        <v>48</v>
      </c>
      <c r="M405" t="s">
        <v>34</v>
      </c>
      <c r="N405" t="s">
        <v>142</v>
      </c>
      <c r="O405">
        <v>666.50000000000011</v>
      </c>
      <c r="P405" s="5">
        <f t="shared" si="6"/>
        <v>0.38715288088713162</v>
      </c>
    </row>
    <row r="406" spans="1:16" x14ac:dyDescent="0.3">
      <c r="A406" t="s">
        <v>864</v>
      </c>
      <c r="B406" t="s">
        <v>271</v>
      </c>
      <c r="C406" t="s">
        <v>743</v>
      </c>
      <c r="D406" t="s">
        <v>62</v>
      </c>
      <c r="E406" t="s">
        <v>63</v>
      </c>
      <c r="F406" t="s">
        <v>47</v>
      </c>
      <c r="G406">
        <v>28</v>
      </c>
      <c r="H406">
        <v>31.84</v>
      </c>
      <c r="I406">
        <v>891.52</v>
      </c>
      <c r="J406">
        <v>54.24</v>
      </c>
      <c r="K406">
        <v>277.27999999999997</v>
      </c>
      <c r="L406" t="s">
        <v>24</v>
      </c>
      <c r="M406" t="s">
        <v>34</v>
      </c>
      <c r="N406" t="s">
        <v>98</v>
      </c>
      <c r="O406">
        <v>560</v>
      </c>
      <c r="P406" s="5">
        <f t="shared" si="6"/>
        <v>0.31101938262742279</v>
      </c>
    </row>
    <row r="407" spans="1:16" x14ac:dyDescent="0.3">
      <c r="A407" t="s">
        <v>865</v>
      </c>
      <c r="B407" t="s">
        <v>419</v>
      </c>
      <c r="C407" t="s">
        <v>462</v>
      </c>
      <c r="D407" t="s">
        <v>51</v>
      </c>
      <c r="E407" t="s">
        <v>74</v>
      </c>
      <c r="F407" t="s">
        <v>75</v>
      </c>
      <c r="G407">
        <v>42</v>
      </c>
      <c r="H407">
        <v>35.840000000000003</v>
      </c>
      <c r="I407">
        <v>1505.28</v>
      </c>
      <c r="J407">
        <v>60.65</v>
      </c>
      <c r="K407">
        <v>394.63</v>
      </c>
      <c r="L407" t="s">
        <v>48</v>
      </c>
      <c r="M407" t="s">
        <v>34</v>
      </c>
      <c r="N407" t="s">
        <v>76</v>
      </c>
      <c r="O407">
        <v>1050</v>
      </c>
      <c r="P407" s="5">
        <f t="shared" si="6"/>
        <v>0.262163849914966</v>
      </c>
    </row>
    <row r="408" spans="1:16" x14ac:dyDescent="0.3">
      <c r="A408" t="s">
        <v>866</v>
      </c>
      <c r="B408" t="s">
        <v>581</v>
      </c>
      <c r="C408" t="s">
        <v>85</v>
      </c>
      <c r="D408" t="s">
        <v>116</v>
      </c>
      <c r="E408" t="s">
        <v>67</v>
      </c>
      <c r="F408" t="s">
        <v>68</v>
      </c>
      <c r="G408">
        <v>22</v>
      </c>
      <c r="H408">
        <v>30.55</v>
      </c>
      <c r="I408">
        <v>672.1</v>
      </c>
      <c r="J408">
        <v>46.8</v>
      </c>
      <c r="K408">
        <v>130.30000000000001</v>
      </c>
      <c r="L408" t="s">
        <v>33</v>
      </c>
      <c r="M408" t="s">
        <v>41</v>
      </c>
      <c r="N408" t="s">
        <v>76</v>
      </c>
      <c r="O408">
        <v>494.99999999999994</v>
      </c>
      <c r="P408" s="5">
        <f t="shared" si="6"/>
        <v>0.19386995982740665</v>
      </c>
    </row>
    <row r="409" spans="1:16" x14ac:dyDescent="0.3">
      <c r="A409" t="s">
        <v>867</v>
      </c>
      <c r="B409" t="s">
        <v>248</v>
      </c>
      <c r="C409" t="s">
        <v>352</v>
      </c>
      <c r="D409" t="s">
        <v>127</v>
      </c>
      <c r="E409" t="s">
        <v>137</v>
      </c>
      <c r="F409" t="s">
        <v>68</v>
      </c>
      <c r="G409">
        <v>13</v>
      </c>
      <c r="H409">
        <v>45.16</v>
      </c>
      <c r="I409">
        <v>587.08000000000004</v>
      </c>
      <c r="J409">
        <v>29.68</v>
      </c>
      <c r="K409">
        <v>193.4</v>
      </c>
      <c r="L409" t="s">
        <v>33</v>
      </c>
      <c r="M409" t="s">
        <v>34</v>
      </c>
      <c r="N409" t="s">
        <v>76</v>
      </c>
      <c r="O409">
        <v>364.00000000000006</v>
      </c>
      <c r="P409" s="5">
        <f t="shared" si="6"/>
        <v>0.32942699461742864</v>
      </c>
    </row>
    <row r="410" spans="1:16" x14ac:dyDescent="0.3">
      <c r="A410" t="s">
        <v>868</v>
      </c>
      <c r="B410" t="s">
        <v>617</v>
      </c>
      <c r="C410" t="s">
        <v>227</v>
      </c>
      <c r="D410" t="s">
        <v>206</v>
      </c>
      <c r="E410" t="s">
        <v>22</v>
      </c>
      <c r="F410" t="s">
        <v>23</v>
      </c>
      <c r="G410">
        <v>40</v>
      </c>
      <c r="H410">
        <v>45.23</v>
      </c>
      <c r="I410">
        <v>1809.2</v>
      </c>
      <c r="J410">
        <v>136.25</v>
      </c>
      <c r="K410">
        <v>272.95</v>
      </c>
      <c r="L410" t="s">
        <v>48</v>
      </c>
      <c r="M410" t="s">
        <v>41</v>
      </c>
      <c r="N410" t="s">
        <v>207</v>
      </c>
      <c r="O410">
        <v>1400</v>
      </c>
      <c r="P410" s="5">
        <f t="shared" si="6"/>
        <v>0.15086778686712357</v>
      </c>
    </row>
    <row r="411" spans="1:16" x14ac:dyDescent="0.3">
      <c r="A411" t="s">
        <v>869</v>
      </c>
      <c r="B411" t="s">
        <v>629</v>
      </c>
      <c r="C411" t="s">
        <v>410</v>
      </c>
      <c r="D411" t="s">
        <v>127</v>
      </c>
      <c r="E411" t="s">
        <v>32</v>
      </c>
      <c r="F411" t="s">
        <v>23</v>
      </c>
      <c r="G411">
        <v>41</v>
      </c>
      <c r="H411">
        <v>22.78</v>
      </c>
      <c r="I411">
        <v>933.98</v>
      </c>
      <c r="J411">
        <v>38.369999999999997</v>
      </c>
      <c r="K411">
        <v>157.61000000000001</v>
      </c>
      <c r="L411" t="s">
        <v>33</v>
      </c>
      <c r="M411" t="s">
        <v>25</v>
      </c>
      <c r="N411" t="s">
        <v>76</v>
      </c>
      <c r="O411">
        <v>738</v>
      </c>
      <c r="P411" s="5">
        <f t="shared" si="6"/>
        <v>0.16875093685089618</v>
      </c>
    </row>
    <row r="412" spans="1:16" x14ac:dyDescent="0.3">
      <c r="A412" t="s">
        <v>870</v>
      </c>
      <c r="B412" t="s">
        <v>871</v>
      </c>
      <c r="C412" t="s">
        <v>165</v>
      </c>
      <c r="D412" t="s">
        <v>171</v>
      </c>
      <c r="E412" t="s">
        <v>81</v>
      </c>
      <c r="F412" t="s">
        <v>68</v>
      </c>
      <c r="G412">
        <v>34</v>
      </c>
      <c r="H412">
        <v>24.21</v>
      </c>
      <c r="I412">
        <v>823.14</v>
      </c>
      <c r="J412">
        <v>58.25</v>
      </c>
      <c r="K412">
        <v>237.89</v>
      </c>
      <c r="L412" t="s">
        <v>24</v>
      </c>
      <c r="M412" t="s">
        <v>25</v>
      </c>
      <c r="N412" t="s">
        <v>35</v>
      </c>
      <c r="O412">
        <v>527</v>
      </c>
      <c r="P412" s="5">
        <f t="shared" si="6"/>
        <v>0.28900308574483075</v>
      </c>
    </row>
    <row r="413" spans="1:16" x14ac:dyDescent="0.3">
      <c r="A413" t="s">
        <v>872</v>
      </c>
      <c r="B413" t="s">
        <v>199</v>
      </c>
      <c r="C413" t="s">
        <v>185</v>
      </c>
      <c r="D413" t="s">
        <v>31</v>
      </c>
      <c r="E413" t="s">
        <v>63</v>
      </c>
      <c r="F413" t="s">
        <v>47</v>
      </c>
      <c r="G413">
        <v>46</v>
      </c>
      <c r="H413">
        <v>34.64</v>
      </c>
      <c r="I413">
        <v>1593.44</v>
      </c>
      <c r="J413">
        <v>45.93</v>
      </c>
      <c r="K413">
        <v>627.51</v>
      </c>
      <c r="L413" t="s">
        <v>48</v>
      </c>
      <c r="M413" t="s">
        <v>25</v>
      </c>
      <c r="N413" t="s">
        <v>35</v>
      </c>
      <c r="O413">
        <v>920.00000000000011</v>
      </c>
      <c r="P413" s="5">
        <f t="shared" si="6"/>
        <v>0.39380836429360377</v>
      </c>
    </row>
    <row r="414" spans="1:16" x14ac:dyDescent="0.3">
      <c r="A414" t="s">
        <v>873</v>
      </c>
      <c r="B414" t="s">
        <v>874</v>
      </c>
      <c r="C414" t="s">
        <v>227</v>
      </c>
      <c r="D414" t="s">
        <v>55</v>
      </c>
      <c r="E414" t="s">
        <v>63</v>
      </c>
      <c r="F414" t="s">
        <v>47</v>
      </c>
      <c r="G414">
        <v>10</v>
      </c>
      <c r="H414">
        <v>27.06</v>
      </c>
      <c r="I414">
        <v>270.60000000000002</v>
      </c>
      <c r="J414">
        <v>15.35</v>
      </c>
      <c r="K414">
        <v>55.25</v>
      </c>
      <c r="L414" t="s">
        <v>24</v>
      </c>
      <c r="M414" t="s">
        <v>41</v>
      </c>
      <c r="N414" t="s">
        <v>98</v>
      </c>
      <c r="O414">
        <v>200.00000000000003</v>
      </c>
      <c r="P414" s="5">
        <f t="shared" si="6"/>
        <v>0.20417590539541758</v>
      </c>
    </row>
    <row r="415" spans="1:16" x14ac:dyDescent="0.3">
      <c r="A415" t="s">
        <v>875</v>
      </c>
      <c r="B415" t="s">
        <v>642</v>
      </c>
      <c r="C415" t="s">
        <v>222</v>
      </c>
      <c r="D415" t="s">
        <v>31</v>
      </c>
      <c r="E415" t="s">
        <v>32</v>
      </c>
      <c r="F415" t="s">
        <v>23</v>
      </c>
      <c r="G415">
        <v>11</v>
      </c>
      <c r="H415">
        <v>27.74</v>
      </c>
      <c r="I415">
        <v>305.14</v>
      </c>
      <c r="J415">
        <v>10.81</v>
      </c>
      <c r="K415">
        <v>96.33</v>
      </c>
      <c r="L415" t="s">
        <v>33</v>
      </c>
      <c r="M415" t="s">
        <v>41</v>
      </c>
      <c r="N415" t="s">
        <v>35</v>
      </c>
      <c r="O415">
        <v>198</v>
      </c>
      <c r="P415" s="5">
        <f t="shared" si="6"/>
        <v>0.31569115815691157</v>
      </c>
    </row>
    <row r="416" spans="1:16" x14ac:dyDescent="0.3">
      <c r="A416" t="s">
        <v>876</v>
      </c>
      <c r="B416" t="s">
        <v>877</v>
      </c>
      <c r="C416" t="s">
        <v>157</v>
      </c>
      <c r="D416" t="s">
        <v>55</v>
      </c>
      <c r="E416" t="s">
        <v>137</v>
      </c>
      <c r="F416" t="s">
        <v>68</v>
      </c>
      <c r="G416">
        <v>29</v>
      </c>
      <c r="H416">
        <v>38.08</v>
      </c>
      <c r="I416">
        <v>1104.32</v>
      </c>
      <c r="J416">
        <v>25.63</v>
      </c>
      <c r="K416">
        <v>266.69</v>
      </c>
      <c r="L416" t="s">
        <v>33</v>
      </c>
      <c r="M416" t="s">
        <v>41</v>
      </c>
      <c r="N416" t="s">
        <v>98</v>
      </c>
      <c r="O416">
        <v>811.99999999999989</v>
      </c>
      <c r="P416" s="5">
        <f t="shared" si="6"/>
        <v>0.24149702984642135</v>
      </c>
    </row>
    <row r="417" spans="1:16" x14ac:dyDescent="0.3">
      <c r="A417" t="s">
        <v>878</v>
      </c>
      <c r="B417" t="s">
        <v>340</v>
      </c>
      <c r="C417" t="s">
        <v>191</v>
      </c>
      <c r="D417" t="s">
        <v>55</v>
      </c>
      <c r="E417" t="s">
        <v>137</v>
      </c>
      <c r="F417" t="s">
        <v>68</v>
      </c>
      <c r="G417">
        <v>18</v>
      </c>
      <c r="H417">
        <v>43.65</v>
      </c>
      <c r="I417">
        <v>785.7</v>
      </c>
      <c r="J417">
        <v>54.52</v>
      </c>
      <c r="K417">
        <v>227.18</v>
      </c>
      <c r="L417" t="s">
        <v>33</v>
      </c>
      <c r="M417" t="s">
        <v>25</v>
      </c>
      <c r="N417" t="s">
        <v>98</v>
      </c>
      <c r="O417">
        <v>504</v>
      </c>
      <c r="P417" s="5">
        <f t="shared" si="6"/>
        <v>0.28914343897161765</v>
      </c>
    </row>
    <row r="418" spans="1:16" x14ac:dyDescent="0.3">
      <c r="A418" t="s">
        <v>879</v>
      </c>
      <c r="B418" t="s">
        <v>488</v>
      </c>
      <c r="C418" t="s">
        <v>559</v>
      </c>
      <c r="D418" t="s">
        <v>171</v>
      </c>
      <c r="E418" t="s">
        <v>22</v>
      </c>
      <c r="F418" t="s">
        <v>23</v>
      </c>
      <c r="G418">
        <v>49</v>
      </c>
      <c r="H418">
        <v>51.97</v>
      </c>
      <c r="I418">
        <v>2546.5300000000002</v>
      </c>
      <c r="J418">
        <v>112.26</v>
      </c>
      <c r="K418">
        <v>719.27</v>
      </c>
      <c r="L418" t="s">
        <v>33</v>
      </c>
      <c r="M418" t="s">
        <v>34</v>
      </c>
      <c r="N418" t="s">
        <v>35</v>
      </c>
      <c r="O418">
        <v>1715.0000000000005</v>
      </c>
      <c r="P418" s="5">
        <f t="shared" si="6"/>
        <v>0.28245102158623692</v>
      </c>
    </row>
    <row r="419" spans="1:16" x14ac:dyDescent="0.3">
      <c r="A419" t="s">
        <v>880</v>
      </c>
      <c r="B419" t="s">
        <v>754</v>
      </c>
      <c r="C419" t="s">
        <v>197</v>
      </c>
      <c r="D419" t="s">
        <v>116</v>
      </c>
      <c r="E419" t="s">
        <v>74</v>
      </c>
      <c r="F419" t="s">
        <v>75</v>
      </c>
      <c r="G419">
        <v>13</v>
      </c>
      <c r="H419">
        <v>36.85</v>
      </c>
      <c r="I419">
        <v>479.05</v>
      </c>
      <c r="J419">
        <v>10.15</v>
      </c>
      <c r="K419">
        <v>143.9</v>
      </c>
      <c r="L419" t="s">
        <v>24</v>
      </c>
      <c r="M419" t="s">
        <v>41</v>
      </c>
      <c r="N419" t="s">
        <v>76</v>
      </c>
      <c r="O419">
        <v>325</v>
      </c>
      <c r="P419" s="5">
        <f t="shared" si="6"/>
        <v>0.30038618098319592</v>
      </c>
    </row>
    <row r="420" spans="1:16" x14ac:dyDescent="0.3">
      <c r="A420" t="s">
        <v>881</v>
      </c>
      <c r="B420" t="s">
        <v>882</v>
      </c>
      <c r="C420" t="s">
        <v>122</v>
      </c>
      <c r="D420" t="s">
        <v>55</v>
      </c>
      <c r="E420" t="s">
        <v>46</v>
      </c>
      <c r="F420" t="s">
        <v>47</v>
      </c>
      <c r="G420">
        <v>33</v>
      </c>
      <c r="H420">
        <v>38.520000000000003</v>
      </c>
      <c r="I420">
        <v>1271.1600000000001</v>
      </c>
      <c r="J420">
        <v>81.459999999999994</v>
      </c>
      <c r="K420">
        <v>133.69999999999999</v>
      </c>
      <c r="L420" t="s">
        <v>24</v>
      </c>
      <c r="M420" t="s">
        <v>25</v>
      </c>
      <c r="N420" t="s">
        <v>98</v>
      </c>
      <c r="O420">
        <v>1056</v>
      </c>
      <c r="P420" s="5">
        <f t="shared" si="6"/>
        <v>0.10517952106737152</v>
      </c>
    </row>
    <row r="421" spans="1:16" x14ac:dyDescent="0.3">
      <c r="A421" t="s">
        <v>883</v>
      </c>
      <c r="B421" t="s">
        <v>169</v>
      </c>
      <c r="C421" t="s">
        <v>381</v>
      </c>
      <c r="D421" t="s">
        <v>51</v>
      </c>
      <c r="E421" t="s">
        <v>81</v>
      </c>
      <c r="F421" t="s">
        <v>68</v>
      </c>
      <c r="G421">
        <v>41</v>
      </c>
      <c r="H421">
        <v>26.98</v>
      </c>
      <c r="I421">
        <v>1106.18</v>
      </c>
      <c r="J421">
        <v>51.77</v>
      </c>
      <c r="K421">
        <v>418.91</v>
      </c>
      <c r="L421" t="s">
        <v>48</v>
      </c>
      <c r="M421" t="s">
        <v>34</v>
      </c>
      <c r="N421" t="s">
        <v>76</v>
      </c>
      <c r="O421">
        <v>635.5</v>
      </c>
      <c r="P421" s="5">
        <f t="shared" si="6"/>
        <v>0.37869966913160608</v>
      </c>
    </row>
    <row r="422" spans="1:16" x14ac:dyDescent="0.3">
      <c r="A422" t="s">
        <v>884</v>
      </c>
      <c r="B422" t="s">
        <v>633</v>
      </c>
      <c r="C422" t="s">
        <v>157</v>
      </c>
      <c r="D422" t="s">
        <v>171</v>
      </c>
      <c r="E422" t="s">
        <v>81</v>
      </c>
      <c r="F422" t="s">
        <v>68</v>
      </c>
      <c r="G422">
        <v>4</v>
      </c>
      <c r="H422">
        <v>23.56</v>
      </c>
      <c r="I422">
        <v>94.24</v>
      </c>
      <c r="J422">
        <v>7.03</v>
      </c>
      <c r="K422">
        <v>25.21</v>
      </c>
      <c r="L422" t="s">
        <v>48</v>
      </c>
      <c r="M422" t="s">
        <v>41</v>
      </c>
      <c r="N422" t="s">
        <v>35</v>
      </c>
      <c r="O422">
        <v>62</v>
      </c>
      <c r="P422" s="5">
        <f t="shared" si="6"/>
        <v>0.26750848896434637</v>
      </c>
    </row>
    <row r="423" spans="1:16" x14ac:dyDescent="0.3">
      <c r="A423" t="s">
        <v>885</v>
      </c>
      <c r="B423" t="s">
        <v>699</v>
      </c>
      <c r="C423" t="s">
        <v>471</v>
      </c>
      <c r="D423" t="s">
        <v>70</v>
      </c>
      <c r="E423" t="s">
        <v>46</v>
      </c>
      <c r="F423" t="s">
        <v>47</v>
      </c>
      <c r="G423">
        <v>17</v>
      </c>
      <c r="H423">
        <v>57.14</v>
      </c>
      <c r="I423">
        <v>971.38</v>
      </c>
      <c r="J423">
        <v>70.010000000000005</v>
      </c>
      <c r="K423">
        <v>357.37</v>
      </c>
      <c r="L423" t="s">
        <v>48</v>
      </c>
      <c r="M423" t="s">
        <v>34</v>
      </c>
      <c r="N423" t="s">
        <v>76</v>
      </c>
      <c r="O423">
        <v>544</v>
      </c>
      <c r="P423" s="5">
        <f t="shared" si="6"/>
        <v>0.36789927731680705</v>
      </c>
    </row>
    <row r="424" spans="1:16" x14ac:dyDescent="0.3">
      <c r="A424" t="s">
        <v>886</v>
      </c>
      <c r="B424" t="s">
        <v>887</v>
      </c>
      <c r="C424" t="s">
        <v>182</v>
      </c>
      <c r="D424" t="s">
        <v>206</v>
      </c>
      <c r="E424" t="s">
        <v>74</v>
      </c>
      <c r="F424" t="s">
        <v>75</v>
      </c>
      <c r="G424">
        <v>44</v>
      </c>
      <c r="H424">
        <v>38.14</v>
      </c>
      <c r="I424">
        <v>1678.16</v>
      </c>
      <c r="J424">
        <v>124.49</v>
      </c>
      <c r="K424">
        <v>453.67</v>
      </c>
      <c r="L424" t="s">
        <v>48</v>
      </c>
      <c r="M424" t="s">
        <v>25</v>
      </c>
      <c r="N424" t="s">
        <v>207</v>
      </c>
      <c r="O424">
        <v>1100</v>
      </c>
      <c r="P424" s="5">
        <f t="shared" si="6"/>
        <v>0.27033775087000045</v>
      </c>
    </row>
    <row r="425" spans="1:16" x14ac:dyDescent="0.3">
      <c r="A425" t="s">
        <v>888</v>
      </c>
      <c r="B425" t="s">
        <v>726</v>
      </c>
      <c r="C425" t="s">
        <v>165</v>
      </c>
      <c r="D425" t="s">
        <v>141</v>
      </c>
      <c r="E425" t="s">
        <v>32</v>
      </c>
      <c r="F425" t="s">
        <v>23</v>
      </c>
      <c r="G425">
        <v>14</v>
      </c>
      <c r="H425">
        <v>24</v>
      </c>
      <c r="I425">
        <v>336</v>
      </c>
      <c r="J425">
        <v>22.88</v>
      </c>
      <c r="K425">
        <v>61.12</v>
      </c>
      <c r="L425" t="s">
        <v>33</v>
      </c>
      <c r="M425" t="s">
        <v>34</v>
      </c>
      <c r="N425" t="s">
        <v>142</v>
      </c>
      <c r="O425">
        <v>252</v>
      </c>
      <c r="P425" s="5">
        <f t="shared" si="6"/>
        <v>0.1819047619047619</v>
      </c>
    </row>
    <row r="426" spans="1:16" x14ac:dyDescent="0.3">
      <c r="A426" t="s">
        <v>889</v>
      </c>
      <c r="B426" t="s">
        <v>890</v>
      </c>
      <c r="C426" t="s">
        <v>126</v>
      </c>
      <c r="D426" t="s">
        <v>51</v>
      </c>
      <c r="E426" t="s">
        <v>81</v>
      </c>
      <c r="F426" t="s">
        <v>68</v>
      </c>
      <c r="G426">
        <v>50</v>
      </c>
      <c r="H426">
        <v>26.91</v>
      </c>
      <c r="I426">
        <v>1345.5</v>
      </c>
      <c r="J426">
        <v>91.7</v>
      </c>
      <c r="K426">
        <v>478.8</v>
      </c>
      <c r="L426" t="s">
        <v>48</v>
      </c>
      <c r="M426" t="s">
        <v>25</v>
      </c>
      <c r="N426" t="s">
        <v>76</v>
      </c>
      <c r="O426">
        <v>775</v>
      </c>
      <c r="P426" s="5">
        <f t="shared" si="6"/>
        <v>0.35585284280936458</v>
      </c>
    </row>
    <row r="427" spans="1:16" x14ac:dyDescent="0.3">
      <c r="A427" t="s">
        <v>891</v>
      </c>
      <c r="B427" t="s">
        <v>892</v>
      </c>
      <c r="C427" t="s">
        <v>455</v>
      </c>
      <c r="D427" t="s">
        <v>37</v>
      </c>
      <c r="E427" t="s">
        <v>56</v>
      </c>
      <c r="F427" t="s">
        <v>57</v>
      </c>
      <c r="G427">
        <v>7</v>
      </c>
      <c r="H427">
        <v>59.41</v>
      </c>
      <c r="I427">
        <v>415.87</v>
      </c>
      <c r="J427">
        <v>25.51</v>
      </c>
      <c r="K427">
        <v>110.36</v>
      </c>
      <c r="L427" t="s">
        <v>24</v>
      </c>
      <c r="M427" t="s">
        <v>41</v>
      </c>
      <c r="N427" t="s">
        <v>35</v>
      </c>
      <c r="O427">
        <v>280</v>
      </c>
      <c r="P427" s="5">
        <f t="shared" si="6"/>
        <v>0.26537139009786714</v>
      </c>
    </row>
    <row r="428" spans="1:16" x14ac:dyDescent="0.3">
      <c r="A428" t="s">
        <v>893</v>
      </c>
      <c r="B428" t="s">
        <v>416</v>
      </c>
      <c r="C428" t="s">
        <v>396</v>
      </c>
      <c r="D428" t="s">
        <v>127</v>
      </c>
      <c r="E428" t="s">
        <v>74</v>
      </c>
      <c r="F428" t="s">
        <v>75</v>
      </c>
      <c r="G428">
        <v>48</v>
      </c>
      <c r="H428">
        <v>37.31</v>
      </c>
      <c r="I428">
        <v>1790.88</v>
      </c>
      <c r="J428">
        <v>67.45</v>
      </c>
      <c r="K428">
        <v>523.42999999999995</v>
      </c>
      <c r="L428" t="s">
        <v>24</v>
      </c>
      <c r="M428" t="s">
        <v>34</v>
      </c>
      <c r="N428" t="s">
        <v>76</v>
      </c>
      <c r="O428">
        <v>1200.0000000000002</v>
      </c>
      <c r="P428" s="5">
        <f t="shared" si="6"/>
        <v>0.29227530599481816</v>
      </c>
    </row>
    <row r="429" spans="1:16" x14ac:dyDescent="0.3">
      <c r="A429" t="s">
        <v>894</v>
      </c>
      <c r="B429" t="s">
        <v>133</v>
      </c>
      <c r="C429" t="s">
        <v>285</v>
      </c>
      <c r="D429" t="s">
        <v>123</v>
      </c>
      <c r="E429" t="s">
        <v>56</v>
      </c>
      <c r="F429" t="s">
        <v>57</v>
      </c>
      <c r="G429">
        <v>38</v>
      </c>
      <c r="H429">
        <v>52.91</v>
      </c>
      <c r="I429">
        <v>2010.58</v>
      </c>
      <c r="J429">
        <v>94.22</v>
      </c>
      <c r="K429">
        <v>396.36</v>
      </c>
      <c r="L429" t="s">
        <v>24</v>
      </c>
      <c r="M429" t="s">
        <v>25</v>
      </c>
      <c r="N429" t="s">
        <v>76</v>
      </c>
      <c r="O429">
        <v>1519.9999999999998</v>
      </c>
      <c r="P429" s="5">
        <f t="shared" si="6"/>
        <v>0.19713714450556558</v>
      </c>
    </row>
    <row r="430" spans="1:16" x14ac:dyDescent="0.3">
      <c r="A430" t="s">
        <v>895</v>
      </c>
      <c r="B430" t="s">
        <v>896</v>
      </c>
      <c r="C430" t="s">
        <v>113</v>
      </c>
      <c r="D430" t="s">
        <v>31</v>
      </c>
      <c r="E430" t="s">
        <v>32</v>
      </c>
      <c r="F430" t="s">
        <v>23</v>
      </c>
      <c r="G430">
        <v>14</v>
      </c>
      <c r="H430">
        <v>27.09</v>
      </c>
      <c r="I430">
        <v>379.26</v>
      </c>
      <c r="J430">
        <v>14.42</v>
      </c>
      <c r="K430">
        <v>112.84</v>
      </c>
      <c r="L430" t="s">
        <v>48</v>
      </c>
      <c r="M430" t="s">
        <v>41</v>
      </c>
      <c r="N430" t="s">
        <v>35</v>
      </c>
      <c r="O430">
        <v>251.99999999999994</v>
      </c>
      <c r="P430" s="5">
        <f t="shared" si="6"/>
        <v>0.29752676264304173</v>
      </c>
    </row>
    <row r="431" spans="1:16" x14ac:dyDescent="0.3">
      <c r="A431" t="s">
        <v>897</v>
      </c>
      <c r="B431" t="s">
        <v>118</v>
      </c>
      <c r="C431" t="s">
        <v>182</v>
      </c>
      <c r="D431" t="s">
        <v>127</v>
      </c>
      <c r="E431" t="s">
        <v>67</v>
      </c>
      <c r="F431" t="s">
        <v>68</v>
      </c>
      <c r="G431">
        <v>41</v>
      </c>
      <c r="H431">
        <v>30.52</v>
      </c>
      <c r="I431">
        <v>1251.32</v>
      </c>
      <c r="J431">
        <v>56.88</v>
      </c>
      <c r="K431">
        <v>271.94</v>
      </c>
      <c r="L431" t="s">
        <v>24</v>
      </c>
      <c r="M431" t="s">
        <v>41</v>
      </c>
      <c r="N431" t="s">
        <v>76</v>
      </c>
      <c r="O431">
        <v>922.49999999999989</v>
      </c>
      <c r="P431" s="5">
        <f t="shared" si="6"/>
        <v>0.21732250743215165</v>
      </c>
    </row>
    <row r="432" spans="1:16" x14ac:dyDescent="0.3">
      <c r="A432" t="s">
        <v>898</v>
      </c>
      <c r="B432" t="s">
        <v>899</v>
      </c>
      <c r="C432" t="s">
        <v>369</v>
      </c>
      <c r="D432" t="s">
        <v>55</v>
      </c>
      <c r="E432" t="s">
        <v>137</v>
      </c>
      <c r="F432" t="s">
        <v>68</v>
      </c>
      <c r="G432">
        <v>23</v>
      </c>
      <c r="H432">
        <v>40.94</v>
      </c>
      <c r="I432">
        <v>941.62</v>
      </c>
      <c r="J432">
        <v>71.66</v>
      </c>
      <c r="K432">
        <v>225.96</v>
      </c>
      <c r="L432" t="s">
        <v>33</v>
      </c>
      <c r="M432" t="s">
        <v>41</v>
      </c>
      <c r="N432" t="s">
        <v>98</v>
      </c>
      <c r="O432">
        <v>644</v>
      </c>
      <c r="P432" s="5">
        <f t="shared" si="6"/>
        <v>0.23996941441345768</v>
      </c>
    </row>
    <row r="433" spans="1:16" x14ac:dyDescent="0.3">
      <c r="A433" t="s">
        <v>900</v>
      </c>
      <c r="B433" t="s">
        <v>612</v>
      </c>
      <c r="C433" t="s">
        <v>471</v>
      </c>
      <c r="D433" t="s">
        <v>241</v>
      </c>
      <c r="E433" t="s">
        <v>137</v>
      </c>
      <c r="F433" t="s">
        <v>68</v>
      </c>
      <c r="G433">
        <v>34</v>
      </c>
      <c r="H433">
        <v>41.77</v>
      </c>
      <c r="I433">
        <v>1420.18</v>
      </c>
      <c r="J433">
        <v>112.45</v>
      </c>
      <c r="K433">
        <v>355.73</v>
      </c>
      <c r="L433" t="s">
        <v>33</v>
      </c>
      <c r="M433" t="s">
        <v>41</v>
      </c>
      <c r="N433" t="s">
        <v>35</v>
      </c>
      <c r="O433">
        <v>952</v>
      </c>
      <c r="P433" s="5">
        <f t="shared" si="6"/>
        <v>0.25048233322536578</v>
      </c>
    </row>
    <row r="434" spans="1:16" x14ac:dyDescent="0.3">
      <c r="A434" t="s">
        <v>901</v>
      </c>
      <c r="B434" t="s">
        <v>902</v>
      </c>
      <c r="C434" t="s">
        <v>165</v>
      </c>
      <c r="D434" t="s">
        <v>70</v>
      </c>
      <c r="E434" t="s">
        <v>56</v>
      </c>
      <c r="F434" t="s">
        <v>57</v>
      </c>
      <c r="G434">
        <v>32</v>
      </c>
      <c r="H434">
        <v>69.98</v>
      </c>
      <c r="I434">
        <v>2239.36</v>
      </c>
      <c r="J434">
        <v>133.51</v>
      </c>
      <c r="K434">
        <v>825.85</v>
      </c>
      <c r="L434" t="s">
        <v>48</v>
      </c>
      <c r="M434" t="s">
        <v>25</v>
      </c>
      <c r="N434" t="s">
        <v>76</v>
      </c>
      <c r="O434">
        <v>1280.0000000000002</v>
      </c>
      <c r="P434" s="5">
        <f t="shared" si="6"/>
        <v>0.3687884038296656</v>
      </c>
    </row>
    <row r="435" spans="1:16" x14ac:dyDescent="0.3">
      <c r="A435" t="s">
        <v>903</v>
      </c>
      <c r="B435" t="s">
        <v>810</v>
      </c>
      <c r="C435" t="s">
        <v>266</v>
      </c>
      <c r="D435" t="s">
        <v>31</v>
      </c>
      <c r="E435" t="s">
        <v>22</v>
      </c>
      <c r="F435" t="s">
        <v>23</v>
      </c>
      <c r="G435">
        <v>25</v>
      </c>
      <c r="H435">
        <v>42.91</v>
      </c>
      <c r="I435">
        <v>1072.75</v>
      </c>
      <c r="J435">
        <v>80.02</v>
      </c>
      <c r="K435">
        <v>117.73</v>
      </c>
      <c r="L435" t="s">
        <v>33</v>
      </c>
      <c r="M435" t="s">
        <v>34</v>
      </c>
      <c r="N435" t="s">
        <v>35</v>
      </c>
      <c r="O435">
        <v>875</v>
      </c>
      <c r="P435" s="5">
        <f t="shared" si="6"/>
        <v>0.10974597995805174</v>
      </c>
    </row>
    <row r="436" spans="1:16" x14ac:dyDescent="0.3">
      <c r="A436" t="s">
        <v>904</v>
      </c>
      <c r="B436" t="s">
        <v>527</v>
      </c>
      <c r="C436" t="s">
        <v>643</v>
      </c>
      <c r="D436" t="s">
        <v>55</v>
      </c>
      <c r="E436" t="s">
        <v>86</v>
      </c>
      <c r="F436" t="s">
        <v>47</v>
      </c>
      <c r="G436">
        <v>7</v>
      </c>
      <c r="H436">
        <v>22.6</v>
      </c>
      <c r="I436">
        <v>158.19999999999999</v>
      </c>
      <c r="J436">
        <v>7.04</v>
      </c>
      <c r="K436">
        <v>61.91</v>
      </c>
      <c r="L436" t="s">
        <v>48</v>
      </c>
      <c r="M436" t="s">
        <v>25</v>
      </c>
      <c r="N436" t="s">
        <v>98</v>
      </c>
      <c r="O436">
        <v>89.249999999999986</v>
      </c>
      <c r="P436" s="5">
        <f t="shared" si="6"/>
        <v>0.39134007585335018</v>
      </c>
    </row>
    <row r="437" spans="1:16" x14ac:dyDescent="0.3">
      <c r="A437" t="s">
        <v>905</v>
      </c>
      <c r="B437" t="s">
        <v>906</v>
      </c>
      <c r="C437" t="s">
        <v>145</v>
      </c>
      <c r="D437" t="s">
        <v>21</v>
      </c>
      <c r="E437" t="s">
        <v>86</v>
      </c>
      <c r="F437" t="s">
        <v>47</v>
      </c>
      <c r="G437">
        <v>48</v>
      </c>
      <c r="H437">
        <v>19.5</v>
      </c>
      <c r="I437">
        <v>936</v>
      </c>
      <c r="J437">
        <v>70.069999999999993</v>
      </c>
      <c r="K437">
        <v>253.93</v>
      </c>
      <c r="L437" t="s">
        <v>24</v>
      </c>
      <c r="M437" t="s">
        <v>34</v>
      </c>
      <c r="N437" t="s">
        <v>98</v>
      </c>
      <c r="O437">
        <v>612</v>
      </c>
      <c r="P437" s="5">
        <f t="shared" si="6"/>
        <v>0.27129273504273504</v>
      </c>
    </row>
    <row r="438" spans="1:16" x14ac:dyDescent="0.3">
      <c r="A438" t="s">
        <v>907</v>
      </c>
      <c r="B438" t="s">
        <v>351</v>
      </c>
      <c r="C438" t="s">
        <v>40</v>
      </c>
      <c r="D438" t="s">
        <v>206</v>
      </c>
      <c r="E438" t="s">
        <v>56</v>
      </c>
      <c r="F438" t="s">
        <v>57</v>
      </c>
      <c r="G438">
        <v>32</v>
      </c>
      <c r="H438">
        <v>49.97</v>
      </c>
      <c r="I438">
        <v>1599.04</v>
      </c>
      <c r="J438">
        <v>43.1</v>
      </c>
      <c r="K438">
        <v>275.94</v>
      </c>
      <c r="L438" t="s">
        <v>33</v>
      </c>
      <c r="M438" t="s">
        <v>41</v>
      </c>
      <c r="N438" t="s">
        <v>207</v>
      </c>
      <c r="O438">
        <v>1280</v>
      </c>
      <c r="P438" s="5">
        <f t="shared" si="6"/>
        <v>0.17256603962377426</v>
      </c>
    </row>
    <row r="439" spans="1:16" x14ac:dyDescent="0.3">
      <c r="A439" t="s">
        <v>908</v>
      </c>
      <c r="B439" t="s">
        <v>386</v>
      </c>
      <c r="C439" t="s">
        <v>20</v>
      </c>
      <c r="D439" t="s">
        <v>171</v>
      </c>
      <c r="E439" t="s">
        <v>81</v>
      </c>
      <c r="F439" t="s">
        <v>68</v>
      </c>
      <c r="G439">
        <v>41</v>
      </c>
      <c r="H439">
        <v>25.62</v>
      </c>
      <c r="I439">
        <v>1050.42</v>
      </c>
      <c r="J439">
        <v>79.2</v>
      </c>
      <c r="K439">
        <v>335.72</v>
      </c>
      <c r="L439" t="s">
        <v>24</v>
      </c>
      <c r="M439" t="s">
        <v>34</v>
      </c>
      <c r="N439" t="s">
        <v>35</v>
      </c>
      <c r="O439">
        <v>635.5</v>
      </c>
      <c r="P439" s="5">
        <f t="shared" si="6"/>
        <v>0.31960549113687858</v>
      </c>
    </row>
    <row r="440" spans="1:16" x14ac:dyDescent="0.3">
      <c r="A440" t="s">
        <v>909</v>
      </c>
      <c r="B440" t="s">
        <v>843</v>
      </c>
      <c r="C440" t="s">
        <v>465</v>
      </c>
      <c r="D440" t="s">
        <v>21</v>
      </c>
      <c r="E440" t="s">
        <v>86</v>
      </c>
      <c r="F440" t="s">
        <v>47</v>
      </c>
      <c r="G440">
        <v>46</v>
      </c>
      <c r="H440">
        <v>16.78</v>
      </c>
      <c r="I440">
        <v>771.88</v>
      </c>
      <c r="J440">
        <v>18.04</v>
      </c>
      <c r="K440">
        <v>167.34</v>
      </c>
      <c r="L440" t="s">
        <v>48</v>
      </c>
      <c r="M440" t="s">
        <v>41</v>
      </c>
      <c r="N440" t="s">
        <v>98</v>
      </c>
      <c r="O440">
        <v>586.5</v>
      </c>
      <c r="P440" s="5">
        <f t="shared" si="6"/>
        <v>0.21679535679121106</v>
      </c>
    </row>
    <row r="441" spans="1:16" x14ac:dyDescent="0.3">
      <c r="A441" t="s">
        <v>910</v>
      </c>
      <c r="B441" t="s">
        <v>911</v>
      </c>
      <c r="C441" t="s">
        <v>505</v>
      </c>
      <c r="D441" t="s">
        <v>37</v>
      </c>
      <c r="E441" t="s">
        <v>46</v>
      </c>
      <c r="F441" t="s">
        <v>47</v>
      </c>
      <c r="G441">
        <v>16</v>
      </c>
      <c r="H441">
        <v>42.18</v>
      </c>
      <c r="I441">
        <v>674.88</v>
      </c>
      <c r="J441">
        <v>19.100000000000001</v>
      </c>
      <c r="K441">
        <v>143.78</v>
      </c>
      <c r="L441" t="s">
        <v>24</v>
      </c>
      <c r="M441" t="s">
        <v>41</v>
      </c>
      <c r="N441" t="s">
        <v>35</v>
      </c>
      <c r="O441">
        <v>512</v>
      </c>
      <c r="P441" s="5">
        <f t="shared" si="6"/>
        <v>0.21304528212422949</v>
      </c>
    </row>
    <row r="442" spans="1:16" x14ac:dyDescent="0.3">
      <c r="A442" t="s">
        <v>912</v>
      </c>
      <c r="B442" t="s">
        <v>276</v>
      </c>
      <c r="C442" t="s">
        <v>113</v>
      </c>
      <c r="D442" t="s">
        <v>171</v>
      </c>
      <c r="E442" t="s">
        <v>74</v>
      </c>
      <c r="F442" t="s">
        <v>75</v>
      </c>
      <c r="G442">
        <v>12</v>
      </c>
      <c r="H442">
        <v>34.97</v>
      </c>
      <c r="I442">
        <v>419.64</v>
      </c>
      <c r="J442">
        <v>28.48</v>
      </c>
      <c r="K442">
        <v>91.16</v>
      </c>
      <c r="L442" t="s">
        <v>24</v>
      </c>
      <c r="M442" t="s">
        <v>25</v>
      </c>
      <c r="N442" t="s">
        <v>35</v>
      </c>
      <c r="O442">
        <v>300</v>
      </c>
      <c r="P442" s="5">
        <f t="shared" si="6"/>
        <v>0.21723381946430273</v>
      </c>
    </row>
    <row r="443" spans="1:16" x14ac:dyDescent="0.3">
      <c r="A443" t="s">
        <v>913</v>
      </c>
      <c r="B443" t="s">
        <v>218</v>
      </c>
      <c r="C443" t="s">
        <v>219</v>
      </c>
      <c r="D443" t="s">
        <v>45</v>
      </c>
      <c r="E443" t="s">
        <v>63</v>
      </c>
      <c r="F443" t="s">
        <v>47</v>
      </c>
      <c r="G443">
        <v>31</v>
      </c>
      <c r="H443">
        <v>33.619999999999997</v>
      </c>
      <c r="I443">
        <v>1042.22</v>
      </c>
      <c r="J443">
        <v>26.33</v>
      </c>
      <c r="K443">
        <v>395.89</v>
      </c>
      <c r="L443" t="s">
        <v>48</v>
      </c>
      <c r="M443" t="s">
        <v>41</v>
      </c>
      <c r="N443" t="s">
        <v>49</v>
      </c>
      <c r="O443">
        <v>620</v>
      </c>
      <c r="P443" s="5">
        <f t="shared" si="6"/>
        <v>0.37985262228704109</v>
      </c>
    </row>
    <row r="444" spans="1:16" x14ac:dyDescent="0.3">
      <c r="A444" t="s">
        <v>914</v>
      </c>
      <c r="B444" t="s">
        <v>306</v>
      </c>
      <c r="C444" t="s">
        <v>666</v>
      </c>
      <c r="D444" t="s">
        <v>123</v>
      </c>
      <c r="E444" t="s">
        <v>67</v>
      </c>
      <c r="F444" t="s">
        <v>68</v>
      </c>
      <c r="G444">
        <v>40</v>
      </c>
      <c r="H444">
        <v>30.56</v>
      </c>
      <c r="I444">
        <v>1222.4000000000001</v>
      </c>
      <c r="J444">
        <v>26.42</v>
      </c>
      <c r="K444">
        <v>295.98</v>
      </c>
      <c r="L444" t="s">
        <v>24</v>
      </c>
      <c r="M444" t="s">
        <v>25</v>
      </c>
      <c r="N444" t="s">
        <v>76</v>
      </c>
      <c r="O444">
        <v>900.00000000000011</v>
      </c>
      <c r="P444" s="5">
        <f t="shared" si="6"/>
        <v>0.24213023560209423</v>
      </c>
    </row>
    <row r="445" spans="1:16" x14ac:dyDescent="0.3">
      <c r="A445" t="s">
        <v>915</v>
      </c>
      <c r="B445" t="s">
        <v>916</v>
      </c>
      <c r="C445" t="s">
        <v>227</v>
      </c>
      <c r="D445" t="s">
        <v>241</v>
      </c>
      <c r="E445" t="s">
        <v>22</v>
      </c>
      <c r="F445" t="s">
        <v>23</v>
      </c>
      <c r="G445">
        <v>15</v>
      </c>
      <c r="H445">
        <v>61.93</v>
      </c>
      <c r="I445">
        <v>928.95</v>
      </c>
      <c r="J445">
        <v>25.68</v>
      </c>
      <c r="K445">
        <v>378.27</v>
      </c>
      <c r="L445" t="s">
        <v>33</v>
      </c>
      <c r="M445" t="s">
        <v>41</v>
      </c>
      <c r="N445" t="s">
        <v>35</v>
      </c>
      <c r="O445">
        <v>525.00000000000011</v>
      </c>
      <c r="P445" s="5">
        <f t="shared" si="6"/>
        <v>0.407201679315356</v>
      </c>
    </row>
    <row r="446" spans="1:16" x14ac:dyDescent="0.3">
      <c r="A446" t="s">
        <v>917</v>
      </c>
      <c r="B446" t="s">
        <v>918</v>
      </c>
      <c r="C446" t="s">
        <v>194</v>
      </c>
      <c r="D446" t="s">
        <v>51</v>
      </c>
      <c r="E446" t="s">
        <v>63</v>
      </c>
      <c r="F446" t="s">
        <v>47</v>
      </c>
      <c r="G446">
        <v>20</v>
      </c>
      <c r="H446">
        <v>35.770000000000003</v>
      </c>
      <c r="I446">
        <v>715.4</v>
      </c>
      <c r="J446">
        <v>39.229999999999997</v>
      </c>
      <c r="K446">
        <v>276.17</v>
      </c>
      <c r="L446" t="s">
        <v>24</v>
      </c>
      <c r="M446" t="s">
        <v>25</v>
      </c>
      <c r="N446" t="s">
        <v>76</v>
      </c>
      <c r="O446">
        <v>399.99999999999994</v>
      </c>
      <c r="P446" s="5">
        <f t="shared" si="6"/>
        <v>0.38603578417668438</v>
      </c>
    </row>
    <row r="447" spans="1:16" x14ac:dyDescent="0.3">
      <c r="A447" t="s">
        <v>919</v>
      </c>
      <c r="B447" t="s">
        <v>860</v>
      </c>
      <c r="C447" t="s">
        <v>391</v>
      </c>
      <c r="D447" t="s">
        <v>31</v>
      </c>
      <c r="E447" t="s">
        <v>86</v>
      </c>
      <c r="F447" t="s">
        <v>47</v>
      </c>
      <c r="G447">
        <v>21</v>
      </c>
      <c r="H447">
        <v>22.48</v>
      </c>
      <c r="I447">
        <v>472.08</v>
      </c>
      <c r="J447">
        <v>12.96</v>
      </c>
      <c r="K447">
        <v>191.37</v>
      </c>
      <c r="L447" t="s">
        <v>33</v>
      </c>
      <c r="M447" t="s">
        <v>25</v>
      </c>
      <c r="N447" t="s">
        <v>35</v>
      </c>
      <c r="O447">
        <v>267.75</v>
      </c>
      <c r="P447" s="5">
        <f t="shared" si="6"/>
        <v>0.40537620742247077</v>
      </c>
    </row>
    <row r="448" spans="1:16" x14ac:dyDescent="0.3">
      <c r="A448" t="s">
        <v>920</v>
      </c>
      <c r="B448" t="s">
        <v>921</v>
      </c>
      <c r="C448" t="s">
        <v>437</v>
      </c>
      <c r="D448" t="s">
        <v>51</v>
      </c>
      <c r="E448" t="s">
        <v>32</v>
      </c>
      <c r="F448" t="s">
        <v>23</v>
      </c>
      <c r="G448">
        <v>8</v>
      </c>
      <c r="H448">
        <v>27.53</v>
      </c>
      <c r="I448">
        <v>220.24</v>
      </c>
      <c r="J448">
        <v>12.66</v>
      </c>
      <c r="K448">
        <v>63.58</v>
      </c>
      <c r="L448" t="s">
        <v>33</v>
      </c>
      <c r="M448" t="s">
        <v>34</v>
      </c>
      <c r="N448" t="s">
        <v>76</v>
      </c>
      <c r="O448">
        <v>144.00000000000003</v>
      </c>
      <c r="P448" s="5">
        <f t="shared" si="6"/>
        <v>0.28868507083181982</v>
      </c>
    </row>
    <row r="449" spans="1:16" x14ac:dyDescent="0.3">
      <c r="A449" t="s">
        <v>922</v>
      </c>
      <c r="B449" t="s">
        <v>300</v>
      </c>
      <c r="C449" t="s">
        <v>360</v>
      </c>
      <c r="D449" t="s">
        <v>70</v>
      </c>
      <c r="E449" t="s">
        <v>67</v>
      </c>
      <c r="F449" t="s">
        <v>68</v>
      </c>
      <c r="G449">
        <v>35</v>
      </c>
      <c r="H449">
        <v>39.65</v>
      </c>
      <c r="I449">
        <v>1387.75</v>
      </c>
      <c r="J449">
        <v>60.95</v>
      </c>
      <c r="K449">
        <v>539.29999999999995</v>
      </c>
      <c r="L449" t="s">
        <v>48</v>
      </c>
      <c r="M449" t="s">
        <v>34</v>
      </c>
      <c r="N449" t="s">
        <v>76</v>
      </c>
      <c r="O449">
        <v>787.5</v>
      </c>
      <c r="P449" s="5">
        <f t="shared" si="6"/>
        <v>0.38861466402450007</v>
      </c>
    </row>
    <row r="450" spans="1:16" x14ac:dyDescent="0.3">
      <c r="A450" t="s">
        <v>923</v>
      </c>
      <c r="B450" t="s">
        <v>924</v>
      </c>
      <c r="C450" t="s">
        <v>288</v>
      </c>
      <c r="D450" t="s">
        <v>141</v>
      </c>
      <c r="E450" t="s">
        <v>81</v>
      </c>
      <c r="F450" t="s">
        <v>68</v>
      </c>
      <c r="G450">
        <v>50</v>
      </c>
      <c r="H450">
        <v>23.68</v>
      </c>
      <c r="I450">
        <v>1184</v>
      </c>
      <c r="J450">
        <v>46.62</v>
      </c>
      <c r="K450">
        <v>362.38</v>
      </c>
      <c r="L450" t="s">
        <v>33</v>
      </c>
      <c r="M450" t="s">
        <v>34</v>
      </c>
      <c r="N450" t="s">
        <v>142</v>
      </c>
      <c r="O450">
        <v>775</v>
      </c>
      <c r="P450" s="5">
        <f t="shared" si="6"/>
        <v>0.30606418918918921</v>
      </c>
    </row>
    <row r="451" spans="1:16" x14ac:dyDescent="0.3">
      <c r="A451" t="s">
        <v>925</v>
      </c>
      <c r="B451" t="s">
        <v>703</v>
      </c>
      <c r="C451" t="s">
        <v>290</v>
      </c>
      <c r="D451" t="s">
        <v>123</v>
      </c>
      <c r="E451" t="s">
        <v>86</v>
      </c>
      <c r="F451" t="s">
        <v>47</v>
      </c>
      <c r="G451">
        <v>5</v>
      </c>
      <c r="H451">
        <v>19.809999999999999</v>
      </c>
      <c r="I451">
        <v>99.05</v>
      </c>
      <c r="J451">
        <v>5.91</v>
      </c>
      <c r="K451">
        <v>29.39</v>
      </c>
      <c r="L451" t="s">
        <v>33</v>
      </c>
      <c r="M451" t="s">
        <v>41</v>
      </c>
      <c r="N451" t="s">
        <v>76</v>
      </c>
      <c r="O451">
        <v>63.75</v>
      </c>
      <c r="P451" s="5">
        <f t="shared" si="6"/>
        <v>0.2967188288743059</v>
      </c>
    </row>
    <row r="452" spans="1:16" x14ac:dyDescent="0.3">
      <c r="A452" t="s">
        <v>926</v>
      </c>
      <c r="B452" t="s">
        <v>243</v>
      </c>
      <c r="C452" t="s">
        <v>126</v>
      </c>
      <c r="D452" t="s">
        <v>45</v>
      </c>
      <c r="E452" t="s">
        <v>86</v>
      </c>
      <c r="F452" t="s">
        <v>47</v>
      </c>
      <c r="G452">
        <v>27</v>
      </c>
      <c r="H452">
        <v>18.03</v>
      </c>
      <c r="I452">
        <v>486.81</v>
      </c>
      <c r="J452">
        <v>36.630000000000003</v>
      </c>
      <c r="K452">
        <v>105.93</v>
      </c>
      <c r="L452" t="s">
        <v>24</v>
      </c>
      <c r="M452" t="s">
        <v>41</v>
      </c>
      <c r="N452" t="s">
        <v>49</v>
      </c>
      <c r="O452">
        <v>344.25</v>
      </c>
      <c r="P452" s="5">
        <f t="shared" si="6"/>
        <v>0.21760029580329082</v>
      </c>
    </row>
    <row r="453" spans="1:16" x14ac:dyDescent="0.3">
      <c r="A453" t="s">
        <v>927</v>
      </c>
      <c r="B453" t="s">
        <v>928</v>
      </c>
      <c r="C453" t="s">
        <v>417</v>
      </c>
      <c r="D453" t="s">
        <v>141</v>
      </c>
      <c r="E453" t="s">
        <v>32</v>
      </c>
      <c r="F453" t="s">
        <v>23</v>
      </c>
      <c r="G453">
        <v>45</v>
      </c>
      <c r="H453">
        <v>26.93</v>
      </c>
      <c r="I453">
        <v>1211.8499999999999</v>
      </c>
      <c r="J453">
        <v>62.85</v>
      </c>
      <c r="K453">
        <v>339</v>
      </c>
      <c r="L453" t="s">
        <v>33</v>
      </c>
      <c r="M453" t="s">
        <v>34</v>
      </c>
      <c r="N453" t="s">
        <v>142</v>
      </c>
      <c r="O453">
        <v>809.99999999999989</v>
      </c>
      <c r="P453" s="5">
        <f t="shared" si="6"/>
        <v>0.2797375912860503</v>
      </c>
    </row>
    <row r="454" spans="1:16" x14ac:dyDescent="0.3">
      <c r="A454" t="s">
        <v>929</v>
      </c>
      <c r="B454" t="s">
        <v>930</v>
      </c>
      <c r="C454" t="s">
        <v>505</v>
      </c>
      <c r="D454" t="s">
        <v>37</v>
      </c>
      <c r="E454" t="s">
        <v>63</v>
      </c>
      <c r="F454" t="s">
        <v>47</v>
      </c>
      <c r="G454">
        <v>40</v>
      </c>
      <c r="H454">
        <v>32.54</v>
      </c>
      <c r="I454">
        <v>1301.5999999999999</v>
      </c>
      <c r="J454">
        <v>47.06</v>
      </c>
      <c r="K454">
        <v>454.54</v>
      </c>
      <c r="L454" t="s">
        <v>24</v>
      </c>
      <c r="M454" t="s">
        <v>34</v>
      </c>
      <c r="N454" t="s">
        <v>35</v>
      </c>
      <c r="O454">
        <v>800</v>
      </c>
      <c r="P454" s="5">
        <f t="shared" si="6"/>
        <v>0.34921634910878924</v>
      </c>
    </row>
    <row r="455" spans="1:16" x14ac:dyDescent="0.3">
      <c r="A455" t="s">
        <v>931</v>
      </c>
      <c r="B455" t="s">
        <v>892</v>
      </c>
      <c r="C455" t="s">
        <v>140</v>
      </c>
      <c r="D455" t="s">
        <v>70</v>
      </c>
      <c r="E455" t="s">
        <v>67</v>
      </c>
      <c r="F455" t="s">
        <v>68</v>
      </c>
      <c r="G455">
        <v>26</v>
      </c>
      <c r="H455">
        <v>35.32</v>
      </c>
      <c r="I455">
        <v>918.32</v>
      </c>
      <c r="J455">
        <v>60.02</v>
      </c>
      <c r="K455">
        <v>273.3</v>
      </c>
      <c r="L455" t="s">
        <v>48</v>
      </c>
      <c r="M455" t="s">
        <v>25</v>
      </c>
      <c r="N455" t="s">
        <v>76</v>
      </c>
      <c r="O455">
        <v>585</v>
      </c>
      <c r="P455" s="5">
        <f t="shared" ref="P455:P505" si="7">K455/I455</f>
        <v>0.29760867671399949</v>
      </c>
    </row>
    <row r="456" spans="1:16" x14ac:dyDescent="0.3">
      <c r="A456" t="s">
        <v>932</v>
      </c>
      <c r="B456" t="s">
        <v>921</v>
      </c>
      <c r="C456" t="s">
        <v>151</v>
      </c>
      <c r="D456" t="s">
        <v>45</v>
      </c>
      <c r="E456" t="s">
        <v>86</v>
      </c>
      <c r="F456" t="s">
        <v>47</v>
      </c>
      <c r="G456">
        <v>16</v>
      </c>
      <c r="H456">
        <v>16.440000000000001</v>
      </c>
      <c r="I456">
        <v>263.04000000000002</v>
      </c>
      <c r="J456">
        <v>17.64</v>
      </c>
      <c r="K456">
        <v>41.4</v>
      </c>
      <c r="L456" t="s">
        <v>24</v>
      </c>
      <c r="M456" t="s">
        <v>25</v>
      </c>
      <c r="N456" t="s">
        <v>49</v>
      </c>
      <c r="O456">
        <v>204</v>
      </c>
      <c r="P456" s="5">
        <f t="shared" si="7"/>
        <v>0.1573905109489051</v>
      </c>
    </row>
    <row r="457" spans="1:16" x14ac:dyDescent="0.3">
      <c r="A457" t="s">
        <v>933</v>
      </c>
      <c r="B457" t="s">
        <v>319</v>
      </c>
      <c r="C457" t="s">
        <v>360</v>
      </c>
      <c r="D457" t="s">
        <v>171</v>
      </c>
      <c r="E457" t="s">
        <v>137</v>
      </c>
      <c r="F457" t="s">
        <v>68</v>
      </c>
      <c r="G457">
        <v>39</v>
      </c>
      <c r="H457">
        <v>46.27</v>
      </c>
      <c r="I457">
        <v>1804.53</v>
      </c>
      <c r="J457">
        <v>38.57</v>
      </c>
      <c r="K457">
        <v>673.96</v>
      </c>
      <c r="L457" t="s">
        <v>48</v>
      </c>
      <c r="M457" t="s">
        <v>41</v>
      </c>
      <c r="N457" t="s">
        <v>35</v>
      </c>
      <c r="O457">
        <v>1092</v>
      </c>
      <c r="P457" s="5">
        <f t="shared" si="7"/>
        <v>0.37348229178788939</v>
      </c>
    </row>
    <row r="458" spans="1:16" x14ac:dyDescent="0.3">
      <c r="A458" t="s">
        <v>934</v>
      </c>
      <c r="B458" t="s">
        <v>745</v>
      </c>
      <c r="C458" t="s">
        <v>246</v>
      </c>
      <c r="D458" t="s">
        <v>31</v>
      </c>
      <c r="E458" t="s">
        <v>74</v>
      </c>
      <c r="F458" t="s">
        <v>75</v>
      </c>
      <c r="G458">
        <v>15</v>
      </c>
      <c r="H458">
        <v>33.22</v>
      </c>
      <c r="I458">
        <v>498.3</v>
      </c>
      <c r="J458">
        <v>36.85</v>
      </c>
      <c r="K458">
        <v>86.45</v>
      </c>
      <c r="L458" t="s">
        <v>48</v>
      </c>
      <c r="M458" t="s">
        <v>41</v>
      </c>
      <c r="N458" t="s">
        <v>35</v>
      </c>
      <c r="O458">
        <v>375</v>
      </c>
      <c r="P458" s="5">
        <f t="shared" si="7"/>
        <v>0.17348986554284568</v>
      </c>
    </row>
    <row r="459" spans="1:16" x14ac:dyDescent="0.3">
      <c r="A459" t="s">
        <v>935</v>
      </c>
      <c r="B459" t="s">
        <v>696</v>
      </c>
      <c r="C459" t="s">
        <v>328</v>
      </c>
      <c r="D459" t="s">
        <v>141</v>
      </c>
      <c r="E459" t="s">
        <v>56</v>
      </c>
      <c r="F459" t="s">
        <v>57</v>
      </c>
      <c r="G459">
        <v>35</v>
      </c>
      <c r="H459">
        <v>71.02</v>
      </c>
      <c r="I459">
        <v>2485.6999999999998</v>
      </c>
      <c r="J459">
        <v>137.22</v>
      </c>
      <c r="K459">
        <v>948.48</v>
      </c>
      <c r="L459" t="s">
        <v>33</v>
      </c>
      <c r="M459" t="s">
        <v>34</v>
      </c>
      <c r="N459" t="s">
        <v>142</v>
      </c>
      <c r="O459">
        <v>1399.9999999999998</v>
      </c>
      <c r="P459" s="5">
        <f t="shared" si="7"/>
        <v>0.38157460675061355</v>
      </c>
    </row>
    <row r="460" spans="1:16" x14ac:dyDescent="0.3">
      <c r="A460" t="s">
        <v>936</v>
      </c>
      <c r="B460" t="s">
        <v>561</v>
      </c>
      <c r="C460" t="s">
        <v>165</v>
      </c>
      <c r="D460" t="s">
        <v>123</v>
      </c>
      <c r="E460" t="s">
        <v>137</v>
      </c>
      <c r="F460" t="s">
        <v>68</v>
      </c>
      <c r="G460">
        <v>2</v>
      </c>
      <c r="H460">
        <v>42.31</v>
      </c>
      <c r="I460">
        <v>84.62</v>
      </c>
      <c r="J460">
        <v>4.28</v>
      </c>
      <c r="K460">
        <v>24.34</v>
      </c>
      <c r="L460" t="s">
        <v>33</v>
      </c>
      <c r="M460" t="s">
        <v>34</v>
      </c>
      <c r="N460" t="s">
        <v>76</v>
      </c>
      <c r="O460">
        <v>56</v>
      </c>
      <c r="P460" s="5">
        <f t="shared" si="7"/>
        <v>0.28763885606239659</v>
      </c>
    </row>
    <row r="461" spans="1:16" x14ac:dyDescent="0.3">
      <c r="A461" t="s">
        <v>937</v>
      </c>
      <c r="B461" t="s">
        <v>153</v>
      </c>
      <c r="C461" t="s">
        <v>148</v>
      </c>
      <c r="D461" t="s">
        <v>116</v>
      </c>
      <c r="E461" t="s">
        <v>74</v>
      </c>
      <c r="F461" t="s">
        <v>75</v>
      </c>
      <c r="G461">
        <v>8</v>
      </c>
      <c r="H461">
        <v>41.36</v>
      </c>
      <c r="I461">
        <v>330.88</v>
      </c>
      <c r="J461">
        <v>11.78</v>
      </c>
      <c r="K461">
        <v>119.1</v>
      </c>
      <c r="L461" t="s">
        <v>24</v>
      </c>
      <c r="M461" t="s">
        <v>25</v>
      </c>
      <c r="N461" t="s">
        <v>76</v>
      </c>
      <c r="O461">
        <v>200</v>
      </c>
      <c r="P461" s="5">
        <f t="shared" si="7"/>
        <v>0.35994922630560927</v>
      </c>
    </row>
    <row r="462" spans="1:16" x14ac:dyDescent="0.3">
      <c r="A462" t="s">
        <v>938</v>
      </c>
      <c r="B462" t="s">
        <v>939</v>
      </c>
      <c r="C462" t="s">
        <v>194</v>
      </c>
      <c r="D462" t="s">
        <v>55</v>
      </c>
      <c r="E462" t="s">
        <v>32</v>
      </c>
      <c r="F462" t="s">
        <v>23</v>
      </c>
      <c r="G462">
        <v>3</v>
      </c>
      <c r="H462">
        <v>31.39</v>
      </c>
      <c r="I462">
        <v>94.17</v>
      </c>
      <c r="J462">
        <v>2.52</v>
      </c>
      <c r="K462">
        <v>37.65</v>
      </c>
      <c r="L462" t="s">
        <v>48</v>
      </c>
      <c r="M462" t="s">
        <v>41</v>
      </c>
      <c r="N462" t="s">
        <v>98</v>
      </c>
      <c r="O462">
        <v>54</v>
      </c>
      <c r="P462" s="5">
        <f t="shared" si="7"/>
        <v>0.39980885632366991</v>
      </c>
    </row>
    <row r="463" spans="1:16" x14ac:dyDescent="0.3">
      <c r="A463" t="s">
        <v>940</v>
      </c>
      <c r="B463" t="s">
        <v>941</v>
      </c>
      <c r="C463" t="s">
        <v>232</v>
      </c>
      <c r="D463" t="s">
        <v>171</v>
      </c>
      <c r="E463" t="s">
        <v>67</v>
      </c>
      <c r="F463" t="s">
        <v>68</v>
      </c>
      <c r="G463">
        <v>48</v>
      </c>
      <c r="H463">
        <v>33.61</v>
      </c>
      <c r="I463">
        <v>1613.28</v>
      </c>
      <c r="J463">
        <v>109.92</v>
      </c>
      <c r="K463">
        <v>423.36</v>
      </c>
      <c r="L463" t="s">
        <v>24</v>
      </c>
      <c r="M463" t="s">
        <v>41</v>
      </c>
      <c r="N463" t="s">
        <v>35</v>
      </c>
      <c r="O463">
        <v>1080</v>
      </c>
      <c r="P463" s="5">
        <f t="shared" si="7"/>
        <v>0.26242189824457007</v>
      </c>
    </row>
    <row r="464" spans="1:16" x14ac:dyDescent="0.3">
      <c r="A464" t="s">
        <v>942</v>
      </c>
      <c r="B464" t="s">
        <v>943</v>
      </c>
      <c r="C464" t="s">
        <v>277</v>
      </c>
      <c r="D464" t="s">
        <v>241</v>
      </c>
      <c r="E464" t="s">
        <v>46</v>
      </c>
      <c r="F464" t="s">
        <v>47</v>
      </c>
      <c r="G464">
        <v>9</v>
      </c>
      <c r="H464">
        <v>50.29</v>
      </c>
      <c r="I464">
        <v>452.61</v>
      </c>
      <c r="J464">
        <v>32.93</v>
      </c>
      <c r="K464">
        <v>131.68</v>
      </c>
      <c r="L464" t="s">
        <v>33</v>
      </c>
      <c r="M464" t="s">
        <v>41</v>
      </c>
      <c r="N464" t="s">
        <v>35</v>
      </c>
      <c r="O464">
        <v>288</v>
      </c>
      <c r="P464" s="5">
        <f t="shared" si="7"/>
        <v>0.29093480038001812</v>
      </c>
    </row>
    <row r="465" spans="1:16" x14ac:dyDescent="0.3">
      <c r="A465" t="s">
        <v>944</v>
      </c>
      <c r="B465" t="s">
        <v>945</v>
      </c>
      <c r="C465" t="s">
        <v>232</v>
      </c>
      <c r="D465" t="s">
        <v>21</v>
      </c>
      <c r="E465" t="s">
        <v>67</v>
      </c>
      <c r="F465" t="s">
        <v>68</v>
      </c>
      <c r="G465">
        <v>12</v>
      </c>
      <c r="H465">
        <v>34.96</v>
      </c>
      <c r="I465">
        <v>419.52</v>
      </c>
      <c r="J465">
        <v>15.43</v>
      </c>
      <c r="K465">
        <v>134.09</v>
      </c>
      <c r="L465" t="s">
        <v>33</v>
      </c>
      <c r="M465" t="s">
        <v>41</v>
      </c>
      <c r="N465" t="s">
        <v>98</v>
      </c>
      <c r="O465">
        <v>269.99999999999994</v>
      </c>
      <c r="P465" s="5">
        <f t="shared" si="7"/>
        <v>0.31962719298245618</v>
      </c>
    </row>
    <row r="466" spans="1:16" x14ac:dyDescent="0.3">
      <c r="A466" t="s">
        <v>946</v>
      </c>
      <c r="B466" t="s">
        <v>947</v>
      </c>
      <c r="C466" t="s">
        <v>586</v>
      </c>
      <c r="D466" t="s">
        <v>206</v>
      </c>
      <c r="E466" t="s">
        <v>22</v>
      </c>
      <c r="F466" t="s">
        <v>23</v>
      </c>
      <c r="G466">
        <v>29</v>
      </c>
      <c r="H466">
        <v>52.72</v>
      </c>
      <c r="I466">
        <v>1528.88</v>
      </c>
      <c r="J466">
        <v>96.91</v>
      </c>
      <c r="K466">
        <v>416.97</v>
      </c>
      <c r="L466" t="s">
        <v>33</v>
      </c>
      <c r="M466" t="s">
        <v>41</v>
      </c>
      <c r="N466" t="s">
        <v>207</v>
      </c>
      <c r="O466">
        <v>1015.0000000000002</v>
      </c>
      <c r="P466" s="5">
        <f t="shared" si="7"/>
        <v>0.27272905656428237</v>
      </c>
    </row>
    <row r="467" spans="1:16" x14ac:dyDescent="0.3">
      <c r="A467" t="s">
        <v>948</v>
      </c>
      <c r="B467" t="s">
        <v>354</v>
      </c>
      <c r="C467" t="s">
        <v>521</v>
      </c>
      <c r="D467" t="s">
        <v>55</v>
      </c>
      <c r="E467" t="s">
        <v>81</v>
      </c>
      <c r="F467" t="s">
        <v>68</v>
      </c>
      <c r="G467">
        <v>39</v>
      </c>
      <c r="H467">
        <v>22.18</v>
      </c>
      <c r="I467">
        <v>865.02</v>
      </c>
      <c r="J467">
        <v>26.23</v>
      </c>
      <c r="K467">
        <v>234.29</v>
      </c>
      <c r="L467" t="s">
        <v>24</v>
      </c>
      <c r="M467" t="s">
        <v>41</v>
      </c>
      <c r="N467" t="s">
        <v>98</v>
      </c>
      <c r="O467">
        <v>604.5</v>
      </c>
      <c r="P467" s="5">
        <f t="shared" si="7"/>
        <v>0.27084922891956253</v>
      </c>
    </row>
    <row r="468" spans="1:16" x14ac:dyDescent="0.3">
      <c r="A468" t="s">
        <v>949</v>
      </c>
      <c r="B468" t="s">
        <v>303</v>
      </c>
      <c r="C468" t="s">
        <v>511</v>
      </c>
      <c r="D468" t="s">
        <v>116</v>
      </c>
      <c r="E468" t="s">
        <v>81</v>
      </c>
      <c r="F468" t="s">
        <v>68</v>
      </c>
      <c r="G468">
        <v>11</v>
      </c>
      <c r="H468">
        <v>21.4</v>
      </c>
      <c r="I468">
        <v>235.4</v>
      </c>
      <c r="J468">
        <v>11.64</v>
      </c>
      <c r="K468">
        <v>53.26</v>
      </c>
      <c r="L468" t="s">
        <v>24</v>
      </c>
      <c r="M468" t="s">
        <v>41</v>
      </c>
      <c r="N468" t="s">
        <v>76</v>
      </c>
      <c r="O468">
        <v>170.5</v>
      </c>
      <c r="P468" s="5">
        <f t="shared" si="7"/>
        <v>0.22625318606627015</v>
      </c>
    </row>
    <row r="469" spans="1:16" x14ac:dyDescent="0.3">
      <c r="A469" t="s">
        <v>950</v>
      </c>
      <c r="B469" t="s">
        <v>951</v>
      </c>
      <c r="C469" t="s">
        <v>462</v>
      </c>
      <c r="D469" t="s">
        <v>116</v>
      </c>
      <c r="E469" t="s">
        <v>74</v>
      </c>
      <c r="F469" t="s">
        <v>75</v>
      </c>
      <c r="G469">
        <v>21</v>
      </c>
      <c r="H469">
        <v>36.26</v>
      </c>
      <c r="I469">
        <v>761.46</v>
      </c>
      <c r="J469">
        <v>56.99</v>
      </c>
      <c r="K469">
        <v>179.47</v>
      </c>
      <c r="L469" t="s">
        <v>33</v>
      </c>
      <c r="M469" t="s">
        <v>25</v>
      </c>
      <c r="N469" t="s">
        <v>76</v>
      </c>
      <c r="O469">
        <v>525</v>
      </c>
      <c r="P469" s="5">
        <f t="shared" si="7"/>
        <v>0.23569196018175609</v>
      </c>
    </row>
    <row r="470" spans="1:16" x14ac:dyDescent="0.3">
      <c r="A470" t="s">
        <v>952</v>
      </c>
      <c r="B470" t="s">
        <v>457</v>
      </c>
      <c r="C470" t="s">
        <v>328</v>
      </c>
      <c r="D470" t="s">
        <v>51</v>
      </c>
      <c r="E470" t="s">
        <v>67</v>
      </c>
      <c r="F470" t="s">
        <v>68</v>
      </c>
      <c r="G470">
        <v>39</v>
      </c>
      <c r="H470">
        <v>35.409999999999997</v>
      </c>
      <c r="I470">
        <v>1380.99</v>
      </c>
      <c r="J470">
        <v>84.56</v>
      </c>
      <c r="K470">
        <v>418.93</v>
      </c>
      <c r="L470" t="s">
        <v>33</v>
      </c>
      <c r="M470" t="s">
        <v>25</v>
      </c>
      <c r="N470" t="s">
        <v>76</v>
      </c>
      <c r="O470">
        <v>877.5</v>
      </c>
      <c r="P470" s="5">
        <f t="shared" si="7"/>
        <v>0.30335483964402349</v>
      </c>
    </row>
    <row r="471" spans="1:16" x14ac:dyDescent="0.3">
      <c r="A471" t="s">
        <v>953</v>
      </c>
      <c r="B471" t="s">
        <v>515</v>
      </c>
      <c r="C471" t="s">
        <v>177</v>
      </c>
      <c r="D471" t="s">
        <v>51</v>
      </c>
      <c r="E471" t="s">
        <v>32</v>
      </c>
      <c r="F471" t="s">
        <v>23</v>
      </c>
      <c r="G471">
        <v>13</v>
      </c>
      <c r="H471">
        <v>27.35</v>
      </c>
      <c r="I471">
        <v>355.55</v>
      </c>
      <c r="J471">
        <v>26.23</v>
      </c>
      <c r="K471">
        <v>95.32</v>
      </c>
      <c r="L471" t="s">
        <v>33</v>
      </c>
      <c r="M471" t="s">
        <v>41</v>
      </c>
      <c r="N471" t="s">
        <v>76</v>
      </c>
      <c r="O471">
        <v>234.00000000000006</v>
      </c>
      <c r="P471" s="5">
        <f t="shared" si="7"/>
        <v>0.26809168893263957</v>
      </c>
    </row>
    <row r="472" spans="1:16" x14ac:dyDescent="0.3">
      <c r="A472" t="s">
        <v>954</v>
      </c>
      <c r="B472" t="s">
        <v>686</v>
      </c>
      <c r="C472" t="s">
        <v>148</v>
      </c>
      <c r="D472" t="s">
        <v>45</v>
      </c>
      <c r="E472" t="s">
        <v>86</v>
      </c>
      <c r="F472" t="s">
        <v>47</v>
      </c>
      <c r="G472">
        <v>40</v>
      </c>
      <c r="H472">
        <v>21.08</v>
      </c>
      <c r="I472">
        <v>843.2</v>
      </c>
      <c r="J472">
        <v>66.81</v>
      </c>
      <c r="K472">
        <v>266.39</v>
      </c>
      <c r="L472" t="s">
        <v>48</v>
      </c>
      <c r="M472" t="s">
        <v>34</v>
      </c>
      <c r="N472" t="s">
        <v>49</v>
      </c>
      <c r="O472">
        <v>510.00000000000006</v>
      </c>
      <c r="P472" s="5">
        <f t="shared" si="7"/>
        <v>0.3159274193548387</v>
      </c>
    </row>
    <row r="473" spans="1:16" x14ac:dyDescent="0.3">
      <c r="A473" t="s">
        <v>955</v>
      </c>
      <c r="B473" t="s">
        <v>740</v>
      </c>
      <c r="C473" t="s">
        <v>586</v>
      </c>
      <c r="D473" t="s">
        <v>62</v>
      </c>
      <c r="E473" t="s">
        <v>81</v>
      </c>
      <c r="F473" t="s">
        <v>68</v>
      </c>
      <c r="G473">
        <v>47</v>
      </c>
      <c r="H473">
        <v>27.54</v>
      </c>
      <c r="I473">
        <v>1294.3800000000001</v>
      </c>
      <c r="J473">
        <v>62.78</v>
      </c>
      <c r="K473">
        <v>503.1</v>
      </c>
      <c r="L473" t="s">
        <v>24</v>
      </c>
      <c r="M473" t="s">
        <v>25</v>
      </c>
      <c r="N473" t="s">
        <v>98</v>
      </c>
      <c r="O473">
        <v>728.50000000000011</v>
      </c>
      <c r="P473" s="5">
        <f t="shared" si="7"/>
        <v>0.38868029481296062</v>
      </c>
    </row>
    <row r="474" spans="1:16" x14ac:dyDescent="0.3">
      <c r="A474" t="s">
        <v>956</v>
      </c>
      <c r="B474" t="s">
        <v>957</v>
      </c>
      <c r="C474" t="s">
        <v>44</v>
      </c>
      <c r="D474" t="s">
        <v>70</v>
      </c>
      <c r="E474" t="s">
        <v>46</v>
      </c>
      <c r="F474" t="s">
        <v>47</v>
      </c>
      <c r="G474">
        <v>16</v>
      </c>
      <c r="H474">
        <v>45.08</v>
      </c>
      <c r="I474">
        <v>721.28</v>
      </c>
      <c r="J474">
        <v>21.61</v>
      </c>
      <c r="K474">
        <v>187.67</v>
      </c>
      <c r="L474" t="s">
        <v>33</v>
      </c>
      <c r="M474" t="s">
        <v>41</v>
      </c>
      <c r="N474" t="s">
        <v>76</v>
      </c>
      <c r="O474">
        <v>512</v>
      </c>
      <c r="P474" s="5">
        <f t="shared" si="7"/>
        <v>0.26019021739130432</v>
      </c>
    </row>
    <row r="475" spans="1:16" x14ac:dyDescent="0.3">
      <c r="A475" t="s">
        <v>958</v>
      </c>
      <c r="B475" t="s">
        <v>723</v>
      </c>
      <c r="C475" t="s">
        <v>197</v>
      </c>
      <c r="D475" t="s">
        <v>123</v>
      </c>
      <c r="E475" t="s">
        <v>67</v>
      </c>
      <c r="F475" t="s">
        <v>68</v>
      </c>
      <c r="G475">
        <v>37</v>
      </c>
      <c r="H475">
        <v>33.200000000000003</v>
      </c>
      <c r="I475">
        <v>1228.4000000000001</v>
      </c>
      <c r="J475">
        <v>41.34</v>
      </c>
      <c r="K475">
        <v>354.56</v>
      </c>
      <c r="L475" t="s">
        <v>48</v>
      </c>
      <c r="M475" t="s">
        <v>34</v>
      </c>
      <c r="N475" t="s">
        <v>76</v>
      </c>
      <c r="O475">
        <v>832.50000000000011</v>
      </c>
      <c r="P475" s="5">
        <f t="shared" si="7"/>
        <v>0.28863562357538258</v>
      </c>
    </row>
    <row r="476" spans="1:16" x14ac:dyDescent="0.3">
      <c r="A476" t="s">
        <v>959</v>
      </c>
      <c r="B476" t="s">
        <v>187</v>
      </c>
      <c r="C476" t="s">
        <v>20</v>
      </c>
      <c r="D476" t="s">
        <v>123</v>
      </c>
      <c r="E476" t="s">
        <v>32</v>
      </c>
      <c r="F476" t="s">
        <v>23</v>
      </c>
      <c r="G476">
        <v>8</v>
      </c>
      <c r="H476">
        <v>27.31</v>
      </c>
      <c r="I476">
        <v>218.48</v>
      </c>
      <c r="J476">
        <v>9.51</v>
      </c>
      <c r="K476">
        <v>64.97</v>
      </c>
      <c r="L476" t="s">
        <v>48</v>
      </c>
      <c r="M476" t="s">
        <v>25</v>
      </c>
      <c r="N476" t="s">
        <v>76</v>
      </c>
      <c r="O476">
        <v>144</v>
      </c>
      <c r="P476" s="5">
        <f t="shared" si="7"/>
        <v>0.29737275723178325</v>
      </c>
    </row>
    <row r="477" spans="1:16" x14ac:dyDescent="0.3">
      <c r="A477" t="s">
        <v>960</v>
      </c>
      <c r="B477" t="s">
        <v>484</v>
      </c>
      <c r="C477" t="s">
        <v>157</v>
      </c>
      <c r="D477" t="s">
        <v>141</v>
      </c>
      <c r="E477" t="s">
        <v>32</v>
      </c>
      <c r="F477" t="s">
        <v>23</v>
      </c>
      <c r="G477">
        <v>19</v>
      </c>
      <c r="H477">
        <v>29.14</v>
      </c>
      <c r="I477">
        <v>553.66</v>
      </c>
      <c r="J477">
        <v>19.7</v>
      </c>
      <c r="K477">
        <v>191.96</v>
      </c>
      <c r="L477" t="s">
        <v>24</v>
      </c>
      <c r="M477" t="s">
        <v>34</v>
      </c>
      <c r="N477" t="s">
        <v>142</v>
      </c>
      <c r="O477">
        <v>341.99999999999994</v>
      </c>
      <c r="P477" s="5">
        <f t="shared" si="7"/>
        <v>0.34671097785644622</v>
      </c>
    </row>
    <row r="478" spans="1:16" x14ac:dyDescent="0.3">
      <c r="A478" t="s">
        <v>961</v>
      </c>
      <c r="B478" t="s">
        <v>300</v>
      </c>
      <c r="C478" t="s">
        <v>331</v>
      </c>
      <c r="D478" t="s">
        <v>116</v>
      </c>
      <c r="E478" t="s">
        <v>22</v>
      </c>
      <c r="F478" t="s">
        <v>23</v>
      </c>
      <c r="G478">
        <v>6</v>
      </c>
      <c r="H478">
        <v>55.41</v>
      </c>
      <c r="I478">
        <v>332.46</v>
      </c>
      <c r="J478">
        <v>15.57</v>
      </c>
      <c r="K478">
        <v>106.89</v>
      </c>
      <c r="L478" t="s">
        <v>24</v>
      </c>
      <c r="M478" t="s">
        <v>25</v>
      </c>
      <c r="N478" t="s">
        <v>76</v>
      </c>
      <c r="O478">
        <v>210</v>
      </c>
      <c r="P478" s="5">
        <f t="shared" si="7"/>
        <v>0.3215123623894604</v>
      </c>
    </row>
    <row r="479" spans="1:16" x14ac:dyDescent="0.3">
      <c r="A479" t="s">
        <v>962</v>
      </c>
      <c r="B479" t="s">
        <v>406</v>
      </c>
      <c r="C479" t="s">
        <v>307</v>
      </c>
      <c r="D479" t="s">
        <v>123</v>
      </c>
      <c r="E479" t="s">
        <v>32</v>
      </c>
      <c r="F479" t="s">
        <v>23</v>
      </c>
      <c r="G479">
        <v>48</v>
      </c>
      <c r="H479">
        <v>29.07</v>
      </c>
      <c r="I479">
        <v>1395.36</v>
      </c>
      <c r="J479">
        <v>70.38</v>
      </c>
      <c r="K479">
        <v>460.98</v>
      </c>
      <c r="L479" t="s">
        <v>33</v>
      </c>
      <c r="M479" t="s">
        <v>41</v>
      </c>
      <c r="N479" t="s">
        <v>76</v>
      </c>
      <c r="O479">
        <v>863.99999999999977</v>
      </c>
      <c r="P479" s="5">
        <f t="shared" si="7"/>
        <v>0.33036635706914347</v>
      </c>
    </row>
    <row r="480" spans="1:16" x14ac:dyDescent="0.3">
      <c r="A480" t="s">
        <v>963</v>
      </c>
      <c r="B480" t="s">
        <v>964</v>
      </c>
      <c r="C480" t="s">
        <v>455</v>
      </c>
      <c r="D480" t="s">
        <v>45</v>
      </c>
      <c r="E480" t="s">
        <v>67</v>
      </c>
      <c r="F480" t="s">
        <v>68</v>
      </c>
      <c r="G480">
        <v>26</v>
      </c>
      <c r="H480">
        <v>27.17</v>
      </c>
      <c r="I480">
        <v>706.42</v>
      </c>
      <c r="J480">
        <v>33.94</v>
      </c>
      <c r="K480">
        <v>87.48</v>
      </c>
      <c r="L480" t="s">
        <v>48</v>
      </c>
      <c r="M480" t="s">
        <v>34</v>
      </c>
      <c r="N480" t="s">
        <v>49</v>
      </c>
      <c r="O480">
        <v>585</v>
      </c>
      <c r="P480" s="5">
        <f t="shared" si="7"/>
        <v>0.12383567849154895</v>
      </c>
    </row>
    <row r="481" spans="1:16" x14ac:dyDescent="0.3">
      <c r="A481" t="s">
        <v>965</v>
      </c>
      <c r="B481" t="s">
        <v>243</v>
      </c>
      <c r="C481" t="s">
        <v>170</v>
      </c>
      <c r="D481" t="s">
        <v>127</v>
      </c>
      <c r="E481" t="s">
        <v>22</v>
      </c>
      <c r="F481" t="s">
        <v>23</v>
      </c>
      <c r="G481">
        <v>9</v>
      </c>
      <c r="H481">
        <v>48.76</v>
      </c>
      <c r="I481">
        <v>438.84</v>
      </c>
      <c r="J481">
        <v>16.91</v>
      </c>
      <c r="K481">
        <v>106.93</v>
      </c>
      <c r="L481" t="s">
        <v>48</v>
      </c>
      <c r="M481" t="s">
        <v>25</v>
      </c>
      <c r="N481" t="s">
        <v>76</v>
      </c>
      <c r="O481">
        <v>314.99999999999994</v>
      </c>
      <c r="P481" s="5">
        <f t="shared" si="7"/>
        <v>0.24366511712697114</v>
      </c>
    </row>
    <row r="482" spans="1:16" x14ac:dyDescent="0.3">
      <c r="A482" t="s">
        <v>966</v>
      </c>
      <c r="B482" t="s">
        <v>686</v>
      </c>
      <c r="C482" t="s">
        <v>360</v>
      </c>
      <c r="D482" t="s">
        <v>31</v>
      </c>
      <c r="E482" t="s">
        <v>67</v>
      </c>
      <c r="F482" t="s">
        <v>68</v>
      </c>
      <c r="G482">
        <v>37</v>
      </c>
      <c r="H482">
        <v>33.21</v>
      </c>
      <c r="I482">
        <v>1228.77</v>
      </c>
      <c r="J482">
        <v>96.12</v>
      </c>
      <c r="K482">
        <v>300.14999999999998</v>
      </c>
      <c r="L482" t="s">
        <v>48</v>
      </c>
      <c r="M482" t="s">
        <v>34</v>
      </c>
      <c r="N482" t="s">
        <v>35</v>
      </c>
      <c r="O482">
        <v>832.5</v>
      </c>
      <c r="P482" s="5">
        <f t="shared" si="7"/>
        <v>0.24426865890280522</v>
      </c>
    </row>
    <row r="483" spans="1:16" x14ac:dyDescent="0.3">
      <c r="A483" t="s">
        <v>967</v>
      </c>
      <c r="B483" t="s">
        <v>672</v>
      </c>
      <c r="C483" t="s">
        <v>170</v>
      </c>
      <c r="D483" t="s">
        <v>45</v>
      </c>
      <c r="E483" t="s">
        <v>86</v>
      </c>
      <c r="F483" t="s">
        <v>47</v>
      </c>
      <c r="G483">
        <v>29</v>
      </c>
      <c r="H483">
        <v>16.54</v>
      </c>
      <c r="I483">
        <v>479.66</v>
      </c>
      <c r="J483">
        <v>30.23</v>
      </c>
      <c r="K483">
        <v>79.680000000000007</v>
      </c>
      <c r="L483" t="s">
        <v>33</v>
      </c>
      <c r="M483" t="s">
        <v>41</v>
      </c>
      <c r="N483" t="s">
        <v>49</v>
      </c>
      <c r="O483">
        <v>369.75</v>
      </c>
      <c r="P483" s="5">
        <f t="shared" si="7"/>
        <v>0.16611766668056541</v>
      </c>
    </row>
    <row r="484" spans="1:16" x14ac:dyDescent="0.3">
      <c r="A484" t="s">
        <v>968</v>
      </c>
      <c r="B484" t="s">
        <v>224</v>
      </c>
      <c r="C484" t="s">
        <v>126</v>
      </c>
      <c r="D484" t="s">
        <v>206</v>
      </c>
      <c r="E484" t="s">
        <v>74</v>
      </c>
      <c r="F484" t="s">
        <v>75</v>
      </c>
      <c r="G484">
        <v>11</v>
      </c>
      <c r="H484">
        <v>44.56</v>
      </c>
      <c r="I484">
        <v>490.16</v>
      </c>
      <c r="J484">
        <v>23.97</v>
      </c>
      <c r="K484">
        <v>191.19</v>
      </c>
      <c r="L484" t="s">
        <v>33</v>
      </c>
      <c r="M484" t="s">
        <v>41</v>
      </c>
      <c r="N484" t="s">
        <v>207</v>
      </c>
      <c r="O484">
        <v>275</v>
      </c>
      <c r="P484" s="5">
        <f t="shared" si="7"/>
        <v>0.39005630814427938</v>
      </c>
    </row>
    <row r="485" spans="1:16" x14ac:dyDescent="0.3">
      <c r="A485" t="s">
        <v>969</v>
      </c>
      <c r="B485" t="s">
        <v>675</v>
      </c>
      <c r="C485" t="s">
        <v>66</v>
      </c>
      <c r="D485" t="s">
        <v>62</v>
      </c>
      <c r="E485" t="s">
        <v>46</v>
      </c>
      <c r="F485" t="s">
        <v>47</v>
      </c>
      <c r="G485">
        <v>50</v>
      </c>
      <c r="H485">
        <v>44.78</v>
      </c>
      <c r="I485">
        <v>2239</v>
      </c>
      <c r="J485">
        <v>169.97</v>
      </c>
      <c r="K485">
        <v>469.03</v>
      </c>
      <c r="L485" t="s">
        <v>24</v>
      </c>
      <c r="M485" t="s">
        <v>41</v>
      </c>
      <c r="N485" t="s">
        <v>98</v>
      </c>
      <c r="O485">
        <v>1600</v>
      </c>
      <c r="P485" s="5">
        <f t="shared" si="7"/>
        <v>0.20948191156766413</v>
      </c>
    </row>
    <row r="486" spans="1:16" x14ac:dyDescent="0.3">
      <c r="A486" t="s">
        <v>970</v>
      </c>
      <c r="B486" t="s">
        <v>971</v>
      </c>
      <c r="C486" t="s">
        <v>122</v>
      </c>
      <c r="D486" t="s">
        <v>21</v>
      </c>
      <c r="E486" t="s">
        <v>32</v>
      </c>
      <c r="F486" t="s">
        <v>23</v>
      </c>
      <c r="G486">
        <v>30</v>
      </c>
      <c r="H486">
        <v>22.51</v>
      </c>
      <c r="I486">
        <v>675.3</v>
      </c>
      <c r="J486">
        <v>26.26</v>
      </c>
      <c r="K486">
        <v>109.04</v>
      </c>
      <c r="L486" t="s">
        <v>24</v>
      </c>
      <c r="M486" t="s">
        <v>25</v>
      </c>
      <c r="N486" t="s">
        <v>98</v>
      </c>
      <c r="O486">
        <v>540</v>
      </c>
      <c r="P486" s="5">
        <f t="shared" si="7"/>
        <v>0.16146897675107361</v>
      </c>
    </row>
    <row r="487" spans="1:16" x14ac:dyDescent="0.3">
      <c r="A487" t="s">
        <v>972</v>
      </c>
      <c r="B487" t="s">
        <v>973</v>
      </c>
      <c r="C487" t="s">
        <v>391</v>
      </c>
      <c r="D487" t="s">
        <v>206</v>
      </c>
      <c r="E487" t="s">
        <v>81</v>
      </c>
      <c r="F487" t="s">
        <v>68</v>
      </c>
      <c r="G487">
        <v>50</v>
      </c>
      <c r="H487">
        <v>27.18</v>
      </c>
      <c r="I487">
        <v>1359</v>
      </c>
      <c r="J487">
        <v>45.67</v>
      </c>
      <c r="K487">
        <v>538.33000000000004</v>
      </c>
      <c r="L487" t="s">
        <v>24</v>
      </c>
      <c r="M487" t="s">
        <v>41</v>
      </c>
      <c r="N487" t="s">
        <v>207</v>
      </c>
      <c r="O487">
        <v>775</v>
      </c>
      <c r="P487" s="5">
        <f t="shared" si="7"/>
        <v>0.39612214863870499</v>
      </c>
    </row>
    <row r="488" spans="1:16" x14ac:dyDescent="0.3">
      <c r="A488" t="s">
        <v>974</v>
      </c>
      <c r="B488" t="s">
        <v>706</v>
      </c>
      <c r="C488" t="s">
        <v>216</v>
      </c>
      <c r="D488" t="s">
        <v>37</v>
      </c>
      <c r="E488" t="s">
        <v>137</v>
      </c>
      <c r="F488" t="s">
        <v>68</v>
      </c>
      <c r="G488">
        <v>28</v>
      </c>
      <c r="H488">
        <v>37.51</v>
      </c>
      <c r="I488">
        <v>1050.28</v>
      </c>
      <c r="J488">
        <v>45.83</v>
      </c>
      <c r="K488">
        <v>220.45</v>
      </c>
      <c r="L488" t="s">
        <v>48</v>
      </c>
      <c r="M488" t="s">
        <v>34</v>
      </c>
      <c r="N488" t="s">
        <v>35</v>
      </c>
      <c r="O488">
        <v>783.99999999999989</v>
      </c>
      <c r="P488" s="5">
        <f t="shared" si="7"/>
        <v>0.20989640857676048</v>
      </c>
    </row>
    <row r="489" spans="1:16" x14ac:dyDescent="0.3">
      <c r="A489" t="s">
        <v>975</v>
      </c>
      <c r="B489" t="s">
        <v>268</v>
      </c>
      <c r="C489" t="s">
        <v>113</v>
      </c>
      <c r="D489" t="s">
        <v>206</v>
      </c>
      <c r="E489" t="s">
        <v>56</v>
      </c>
      <c r="F489" t="s">
        <v>57</v>
      </c>
      <c r="G489">
        <v>50</v>
      </c>
      <c r="H489">
        <v>53.71</v>
      </c>
      <c r="I489">
        <v>2685.5</v>
      </c>
      <c r="J489">
        <v>197.89</v>
      </c>
      <c r="K489">
        <v>487.61</v>
      </c>
      <c r="L489" t="s">
        <v>33</v>
      </c>
      <c r="M489" t="s">
        <v>41</v>
      </c>
      <c r="N489" t="s">
        <v>207</v>
      </c>
      <c r="O489">
        <v>2000</v>
      </c>
      <c r="P489" s="5">
        <f t="shared" si="7"/>
        <v>0.18157140197356172</v>
      </c>
    </row>
    <row r="490" spans="1:16" x14ac:dyDescent="0.3">
      <c r="A490" t="s">
        <v>976</v>
      </c>
      <c r="B490" t="s">
        <v>977</v>
      </c>
      <c r="C490" t="s">
        <v>630</v>
      </c>
      <c r="D490" t="s">
        <v>141</v>
      </c>
      <c r="E490" t="s">
        <v>81</v>
      </c>
      <c r="F490" t="s">
        <v>68</v>
      </c>
      <c r="G490">
        <v>24</v>
      </c>
      <c r="H490">
        <v>18.62</v>
      </c>
      <c r="I490">
        <v>446.88</v>
      </c>
      <c r="J490">
        <v>26.91</v>
      </c>
      <c r="K490">
        <v>47.97</v>
      </c>
      <c r="L490" t="s">
        <v>33</v>
      </c>
      <c r="M490" t="s">
        <v>34</v>
      </c>
      <c r="N490" t="s">
        <v>142</v>
      </c>
      <c r="O490">
        <v>371.99999999999994</v>
      </c>
      <c r="P490" s="5">
        <f t="shared" si="7"/>
        <v>0.10734425349087003</v>
      </c>
    </row>
    <row r="491" spans="1:16" x14ac:dyDescent="0.3">
      <c r="A491" t="s">
        <v>978</v>
      </c>
      <c r="B491" t="s">
        <v>577</v>
      </c>
      <c r="C491" t="s">
        <v>290</v>
      </c>
      <c r="D491" t="s">
        <v>116</v>
      </c>
      <c r="E491" t="s">
        <v>56</v>
      </c>
      <c r="F491" t="s">
        <v>57</v>
      </c>
      <c r="G491">
        <v>10</v>
      </c>
      <c r="H491">
        <v>49.15</v>
      </c>
      <c r="I491">
        <v>491.5</v>
      </c>
      <c r="J491">
        <v>13.3</v>
      </c>
      <c r="K491">
        <v>78.2</v>
      </c>
      <c r="L491" t="s">
        <v>48</v>
      </c>
      <c r="M491" t="s">
        <v>41</v>
      </c>
      <c r="N491" t="s">
        <v>76</v>
      </c>
      <c r="O491">
        <v>400</v>
      </c>
      <c r="P491" s="5">
        <f t="shared" si="7"/>
        <v>0.15910478128179045</v>
      </c>
    </row>
    <row r="492" spans="1:16" x14ac:dyDescent="0.3">
      <c r="A492" t="s">
        <v>979</v>
      </c>
      <c r="B492" t="s">
        <v>980</v>
      </c>
      <c r="C492" t="s">
        <v>328</v>
      </c>
      <c r="D492" t="s">
        <v>51</v>
      </c>
      <c r="E492" t="s">
        <v>56</v>
      </c>
      <c r="F492" t="s">
        <v>57</v>
      </c>
      <c r="G492">
        <v>42</v>
      </c>
      <c r="H492">
        <v>50.96</v>
      </c>
      <c r="I492">
        <v>2140.3200000000002</v>
      </c>
      <c r="J492">
        <v>127.85</v>
      </c>
      <c r="K492">
        <v>332.47</v>
      </c>
      <c r="L492" t="s">
        <v>24</v>
      </c>
      <c r="M492" t="s">
        <v>34</v>
      </c>
      <c r="N492" t="s">
        <v>76</v>
      </c>
      <c r="O492">
        <v>1680.0000000000002</v>
      </c>
      <c r="P492" s="5">
        <f t="shared" si="7"/>
        <v>0.15533658518352397</v>
      </c>
    </row>
    <row r="493" spans="1:16" x14ac:dyDescent="0.3">
      <c r="A493" t="s">
        <v>981</v>
      </c>
      <c r="B493" t="s">
        <v>982</v>
      </c>
      <c r="C493" t="s">
        <v>323</v>
      </c>
      <c r="D493" t="s">
        <v>51</v>
      </c>
      <c r="E493" t="s">
        <v>74</v>
      </c>
      <c r="F493" t="s">
        <v>75</v>
      </c>
      <c r="G493">
        <v>39</v>
      </c>
      <c r="H493">
        <v>37.46</v>
      </c>
      <c r="I493">
        <v>1460.94</v>
      </c>
      <c r="J493">
        <v>82.25</v>
      </c>
      <c r="K493">
        <v>403.69</v>
      </c>
      <c r="L493" t="s">
        <v>48</v>
      </c>
      <c r="M493" t="s">
        <v>25</v>
      </c>
      <c r="N493" t="s">
        <v>76</v>
      </c>
      <c r="O493">
        <v>975</v>
      </c>
      <c r="P493" s="5">
        <f t="shared" si="7"/>
        <v>0.27632209399427765</v>
      </c>
    </row>
    <row r="494" spans="1:16" x14ac:dyDescent="0.3">
      <c r="A494" t="s">
        <v>983</v>
      </c>
      <c r="B494" t="s">
        <v>984</v>
      </c>
      <c r="C494" t="s">
        <v>174</v>
      </c>
      <c r="D494" t="s">
        <v>171</v>
      </c>
      <c r="E494" t="s">
        <v>86</v>
      </c>
      <c r="F494" t="s">
        <v>47</v>
      </c>
      <c r="G494">
        <v>7</v>
      </c>
      <c r="H494">
        <v>20.2</v>
      </c>
      <c r="I494">
        <v>141.4</v>
      </c>
      <c r="J494">
        <v>4.3499999999999996</v>
      </c>
      <c r="K494">
        <v>47.8</v>
      </c>
      <c r="L494" t="s">
        <v>33</v>
      </c>
      <c r="M494" t="s">
        <v>41</v>
      </c>
      <c r="N494" t="s">
        <v>35</v>
      </c>
      <c r="O494">
        <v>89.250000000000014</v>
      </c>
      <c r="P494" s="5">
        <f t="shared" si="7"/>
        <v>0.33804809052333801</v>
      </c>
    </row>
    <row r="495" spans="1:16" x14ac:dyDescent="0.3">
      <c r="A495" t="s">
        <v>985</v>
      </c>
      <c r="B495" t="s">
        <v>986</v>
      </c>
      <c r="C495" t="s">
        <v>197</v>
      </c>
      <c r="D495" t="s">
        <v>55</v>
      </c>
      <c r="E495" t="s">
        <v>86</v>
      </c>
      <c r="F495" t="s">
        <v>47</v>
      </c>
      <c r="G495">
        <v>18</v>
      </c>
      <c r="H495">
        <v>18.63</v>
      </c>
      <c r="I495">
        <v>335.34</v>
      </c>
      <c r="J495">
        <v>26.18</v>
      </c>
      <c r="K495">
        <v>79.66</v>
      </c>
      <c r="L495" t="s">
        <v>33</v>
      </c>
      <c r="M495" t="s">
        <v>25</v>
      </c>
      <c r="N495" t="s">
        <v>98</v>
      </c>
      <c r="O495">
        <v>229.49999999999997</v>
      </c>
      <c r="P495" s="5">
        <f t="shared" si="7"/>
        <v>0.23754994930518281</v>
      </c>
    </row>
    <row r="496" spans="1:16" x14ac:dyDescent="0.3">
      <c r="A496" t="s">
        <v>987</v>
      </c>
      <c r="B496" t="s">
        <v>988</v>
      </c>
      <c r="C496" t="s">
        <v>462</v>
      </c>
      <c r="D496" t="s">
        <v>206</v>
      </c>
      <c r="E496" t="s">
        <v>67</v>
      </c>
      <c r="F496" t="s">
        <v>68</v>
      </c>
      <c r="G496">
        <v>12</v>
      </c>
      <c r="H496">
        <v>27.08</v>
      </c>
      <c r="I496">
        <v>324.95999999999998</v>
      </c>
      <c r="J496">
        <v>15.59</v>
      </c>
      <c r="K496">
        <v>39.369999999999997</v>
      </c>
      <c r="L496" t="s">
        <v>33</v>
      </c>
      <c r="M496" t="s">
        <v>41</v>
      </c>
      <c r="N496" t="s">
        <v>207</v>
      </c>
      <c r="O496">
        <v>270</v>
      </c>
      <c r="P496" s="5">
        <f t="shared" si="7"/>
        <v>0.12115337272279665</v>
      </c>
    </row>
    <row r="497" spans="1:16" x14ac:dyDescent="0.3">
      <c r="A497" t="s">
        <v>989</v>
      </c>
      <c r="B497" t="s">
        <v>153</v>
      </c>
      <c r="C497" t="s">
        <v>499</v>
      </c>
      <c r="D497" t="s">
        <v>171</v>
      </c>
      <c r="E497" t="s">
        <v>74</v>
      </c>
      <c r="F497" t="s">
        <v>75</v>
      </c>
      <c r="G497">
        <v>50</v>
      </c>
      <c r="H497">
        <v>32.21</v>
      </c>
      <c r="I497">
        <v>1610.5</v>
      </c>
      <c r="J497">
        <v>32.68</v>
      </c>
      <c r="K497">
        <v>327.82</v>
      </c>
      <c r="L497" t="s">
        <v>33</v>
      </c>
      <c r="M497" t="s">
        <v>41</v>
      </c>
      <c r="N497" t="s">
        <v>35</v>
      </c>
      <c r="O497">
        <v>1250</v>
      </c>
      <c r="P497" s="5">
        <f t="shared" si="7"/>
        <v>0.20355169202111145</v>
      </c>
    </row>
    <row r="498" spans="1:16" x14ac:dyDescent="0.3">
      <c r="A498" t="s">
        <v>990</v>
      </c>
      <c r="B498" t="s">
        <v>768</v>
      </c>
      <c r="C498" t="s">
        <v>646</v>
      </c>
      <c r="D498" t="s">
        <v>141</v>
      </c>
      <c r="E498" t="s">
        <v>86</v>
      </c>
      <c r="F498" t="s">
        <v>47</v>
      </c>
      <c r="G498">
        <v>49</v>
      </c>
      <c r="H498">
        <v>20.59</v>
      </c>
      <c r="I498">
        <v>1008.91</v>
      </c>
      <c r="J498">
        <v>78.03</v>
      </c>
      <c r="K498">
        <v>306.13</v>
      </c>
      <c r="L498" t="s">
        <v>33</v>
      </c>
      <c r="M498" t="s">
        <v>41</v>
      </c>
      <c r="N498" t="s">
        <v>142</v>
      </c>
      <c r="O498">
        <v>624.75</v>
      </c>
      <c r="P498" s="5">
        <f t="shared" si="7"/>
        <v>0.30342647015095497</v>
      </c>
    </row>
    <row r="499" spans="1:16" x14ac:dyDescent="0.3">
      <c r="A499" t="s">
        <v>991</v>
      </c>
      <c r="B499" t="s">
        <v>992</v>
      </c>
      <c r="C499" t="s">
        <v>140</v>
      </c>
      <c r="D499" t="s">
        <v>37</v>
      </c>
      <c r="E499" t="s">
        <v>63</v>
      </c>
      <c r="F499" t="s">
        <v>47</v>
      </c>
      <c r="G499">
        <v>22</v>
      </c>
      <c r="H499">
        <v>28.63</v>
      </c>
      <c r="I499">
        <v>629.86</v>
      </c>
      <c r="J499">
        <v>29.08</v>
      </c>
      <c r="K499">
        <v>160.78</v>
      </c>
      <c r="L499" t="s">
        <v>33</v>
      </c>
      <c r="M499" t="s">
        <v>34</v>
      </c>
      <c r="N499" t="s">
        <v>35</v>
      </c>
      <c r="O499">
        <v>440.00000000000006</v>
      </c>
      <c r="P499" s="5">
        <f t="shared" si="7"/>
        <v>0.25526307433397899</v>
      </c>
    </row>
    <row r="500" spans="1:16" x14ac:dyDescent="0.3">
      <c r="A500" t="s">
        <v>993</v>
      </c>
      <c r="B500" t="s">
        <v>994</v>
      </c>
      <c r="C500" t="s">
        <v>290</v>
      </c>
      <c r="D500" t="s">
        <v>51</v>
      </c>
      <c r="E500" t="s">
        <v>56</v>
      </c>
      <c r="F500" t="s">
        <v>57</v>
      </c>
      <c r="G500">
        <v>11</v>
      </c>
      <c r="H500">
        <v>56.12</v>
      </c>
      <c r="I500">
        <v>617.32000000000005</v>
      </c>
      <c r="J500">
        <v>38.26</v>
      </c>
      <c r="K500">
        <v>139.06</v>
      </c>
      <c r="L500" t="s">
        <v>33</v>
      </c>
      <c r="M500" t="s">
        <v>34</v>
      </c>
      <c r="N500" t="s">
        <v>76</v>
      </c>
      <c r="O500">
        <v>440.00000000000006</v>
      </c>
      <c r="P500" s="5">
        <f t="shared" si="7"/>
        <v>0.22526404457979651</v>
      </c>
    </row>
    <row r="501" spans="1:16" x14ac:dyDescent="0.3">
      <c r="A501" t="s">
        <v>995</v>
      </c>
      <c r="B501" t="s">
        <v>996</v>
      </c>
      <c r="C501" t="s">
        <v>54</v>
      </c>
      <c r="D501" t="s">
        <v>21</v>
      </c>
      <c r="E501" t="s">
        <v>74</v>
      </c>
      <c r="F501" t="s">
        <v>75</v>
      </c>
      <c r="G501">
        <v>2</v>
      </c>
      <c r="H501">
        <v>30.88</v>
      </c>
      <c r="I501">
        <v>61.76</v>
      </c>
      <c r="J501">
        <v>4.42</v>
      </c>
      <c r="K501">
        <v>7.34</v>
      </c>
      <c r="L501" t="s">
        <v>48</v>
      </c>
      <c r="M501" t="s">
        <v>34</v>
      </c>
      <c r="N501" t="s">
        <v>98</v>
      </c>
      <c r="O501">
        <v>50</v>
      </c>
      <c r="P501" s="5">
        <f t="shared" si="7"/>
        <v>0.11884715025906736</v>
      </c>
    </row>
    <row r="502" spans="1:16" x14ac:dyDescent="0.3">
      <c r="A502" t="s">
        <v>997</v>
      </c>
      <c r="B502" t="s">
        <v>998</v>
      </c>
      <c r="C502" t="s">
        <v>471</v>
      </c>
      <c r="D502" t="s">
        <v>206</v>
      </c>
      <c r="E502" t="s">
        <v>56</v>
      </c>
      <c r="F502" t="s">
        <v>57</v>
      </c>
      <c r="G502">
        <v>34</v>
      </c>
      <c r="H502">
        <v>63.8</v>
      </c>
      <c r="I502">
        <v>2169.1999999999998</v>
      </c>
      <c r="J502">
        <v>69.650000000000006</v>
      </c>
      <c r="K502">
        <v>739.55</v>
      </c>
      <c r="L502" t="s">
        <v>33</v>
      </c>
      <c r="M502" t="s">
        <v>41</v>
      </c>
      <c r="N502" t="s">
        <v>207</v>
      </c>
      <c r="O502">
        <v>1359.9999999999998</v>
      </c>
      <c r="P502" s="5">
        <f t="shared" si="7"/>
        <v>0.34093214088143092</v>
      </c>
    </row>
    <row r="503" spans="1:16" x14ac:dyDescent="0.3">
      <c r="A503" t="s">
        <v>999</v>
      </c>
      <c r="B503" t="s">
        <v>412</v>
      </c>
      <c r="C503" t="s">
        <v>282</v>
      </c>
      <c r="D503" t="s">
        <v>62</v>
      </c>
      <c r="E503" t="s">
        <v>137</v>
      </c>
      <c r="F503" t="s">
        <v>68</v>
      </c>
      <c r="G503">
        <v>50</v>
      </c>
      <c r="H503">
        <v>44.61</v>
      </c>
      <c r="I503">
        <v>2230.5</v>
      </c>
      <c r="J503">
        <v>91.32</v>
      </c>
      <c r="K503">
        <v>739.18</v>
      </c>
      <c r="L503" t="s">
        <v>48</v>
      </c>
      <c r="M503" t="s">
        <v>25</v>
      </c>
      <c r="N503" t="s">
        <v>98</v>
      </c>
      <c r="O503">
        <v>1400.0000000000002</v>
      </c>
      <c r="P503" s="5">
        <f t="shared" si="7"/>
        <v>0.33139654785922434</v>
      </c>
    </row>
    <row r="504" spans="1:16" x14ac:dyDescent="0.3">
      <c r="A504" t="s">
        <v>1000</v>
      </c>
      <c r="B504" t="s">
        <v>1001</v>
      </c>
      <c r="C504" t="s">
        <v>119</v>
      </c>
      <c r="D504" t="s">
        <v>123</v>
      </c>
      <c r="E504" t="s">
        <v>86</v>
      </c>
      <c r="F504" t="s">
        <v>47</v>
      </c>
      <c r="G504">
        <v>14</v>
      </c>
      <c r="H504">
        <v>18.61</v>
      </c>
      <c r="I504">
        <v>260.54000000000002</v>
      </c>
      <c r="J504">
        <v>5.39</v>
      </c>
      <c r="K504">
        <v>76.650000000000006</v>
      </c>
      <c r="L504" t="s">
        <v>33</v>
      </c>
      <c r="M504" t="s">
        <v>41</v>
      </c>
      <c r="N504" t="s">
        <v>76</v>
      </c>
      <c r="O504">
        <v>178.50000000000003</v>
      </c>
      <c r="P504" s="5">
        <f t="shared" si="7"/>
        <v>0.29419666845781839</v>
      </c>
    </row>
    <row r="505" spans="1:16" x14ac:dyDescent="0.3">
      <c r="A505" t="s">
        <v>1002</v>
      </c>
      <c r="B505" t="s">
        <v>816</v>
      </c>
      <c r="C505" t="s">
        <v>455</v>
      </c>
      <c r="D505" t="s">
        <v>31</v>
      </c>
      <c r="E505" t="s">
        <v>81</v>
      </c>
      <c r="F505" t="s">
        <v>68</v>
      </c>
      <c r="G505">
        <v>7</v>
      </c>
      <c r="H505">
        <v>24.61</v>
      </c>
      <c r="I505">
        <v>172.27</v>
      </c>
      <c r="J505">
        <v>9.64</v>
      </c>
      <c r="K505">
        <v>54.13</v>
      </c>
      <c r="L505" t="s">
        <v>48</v>
      </c>
      <c r="M505" t="s">
        <v>41</v>
      </c>
      <c r="N505" t="s">
        <v>35</v>
      </c>
      <c r="O505">
        <v>108.50000000000001</v>
      </c>
      <c r="P505" s="5">
        <f t="shared" si="7"/>
        <v>0.31421605619086318</v>
      </c>
    </row>
  </sheetData>
  <mergeCells count="1">
    <mergeCell ref="A1:P3"/>
  </mergeCells>
  <phoneticPr fontId="7" type="noConversion"/>
  <pageMargins left="0.75" right="0.75" top="1" bottom="1" header="0.5" footer="0.5"/>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R505"/>
  <sheetViews>
    <sheetView zoomScale="69" workbookViewId="0">
      <selection sqref="A1:R3"/>
    </sheetView>
  </sheetViews>
  <sheetFormatPr defaultRowHeight="14.4" x14ac:dyDescent="0.3"/>
  <cols>
    <col min="1" max="1" width="16.77734375" customWidth="1"/>
    <col min="2" max="2" width="13.6640625" customWidth="1"/>
    <col min="3" max="3" width="17.5546875" customWidth="1"/>
    <col min="4" max="4" width="9.6640625" customWidth="1"/>
    <col min="5" max="5" width="17.33203125" customWidth="1"/>
    <col min="6" max="6" width="14.109375" customWidth="1"/>
    <col min="7" max="7" width="10.21875" customWidth="1"/>
    <col min="8" max="8" width="11.5546875" customWidth="1"/>
    <col min="9" max="9" width="13.5546875" customWidth="1"/>
    <col min="10" max="10" width="14.88671875" customWidth="1"/>
    <col min="12" max="12" width="13.21875" customWidth="1"/>
    <col min="13" max="13" width="16.33203125" customWidth="1"/>
    <col min="14" max="14" width="14" customWidth="1"/>
    <col min="16" max="16" width="15.6640625" customWidth="1"/>
    <col min="17" max="17" width="16.44140625" customWidth="1"/>
    <col min="18" max="18" width="18.21875" customWidth="1"/>
  </cols>
  <sheetData>
    <row r="1" spans="1:18" x14ac:dyDescent="0.3">
      <c r="A1" s="35" t="s">
        <v>90</v>
      </c>
      <c r="B1" s="38"/>
      <c r="C1" s="38"/>
      <c r="D1" s="38"/>
      <c r="E1" s="38"/>
      <c r="F1" s="38"/>
      <c r="G1" s="38"/>
      <c r="H1" s="38"/>
      <c r="I1" s="38"/>
      <c r="J1" s="38"/>
      <c r="K1" s="38"/>
      <c r="L1" s="38"/>
      <c r="M1" s="38"/>
      <c r="N1" s="38"/>
      <c r="O1" s="38"/>
      <c r="P1" s="38"/>
      <c r="Q1" s="38"/>
      <c r="R1" s="38"/>
    </row>
    <row r="2" spans="1:18" x14ac:dyDescent="0.3">
      <c r="A2" s="38"/>
      <c r="B2" s="38"/>
      <c r="C2" s="38"/>
      <c r="D2" s="38"/>
      <c r="E2" s="38"/>
      <c r="F2" s="38"/>
      <c r="G2" s="38"/>
      <c r="H2" s="38"/>
      <c r="I2" s="38"/>
      <c r="J2" s="38"/>
      <c r="K2" s="38"/>
      <c r="L2" s="38"/>
      <c r="M2" s="38"/>
      <c r="N2" s="38"/>
      <c r="O2" s="38"/>
      <c r="P2" s="38"/>
      <c r="Q2" s="38"/>
      <c r="R2" s="38"/>
    </row>
    <row r="3" spans="1:18" ht="117.75" customHeight="1" x14ac:dyDescent="0.3">
      <c r="A3" s="38"/>
      <c r="B3" s="38"/>
      <c r="C3" s="38"/>
      <c r="D3" s="38"/>
      <c r="E3" s="38"/>
      <c r="F3" s="38"/>
      <c r="G3" s="38"/>
      <c r="H3" s="38"/>
      <c r="I3" s="38"/>
      <c r="J3" s="38"/>
      <c r="K3" s="38"/>
      <c r="L3" s="38"/>
      <c r="M3" s="38"/>
      <c r="N3" s="38"/>
      <c r="O3" s="38"/>
      <c r="P3" s="38"/>
      <c r="Q3" s="38"/>
      <c r="R3" s="38"/>
    </row>
    <row r="5" spans="1:18" x14ac:dyDescent="0.3">
      <c r="A5" s="8" t="s">
        <v>1</v>
      </c>
      <c r="B5" s="8" t="s">
        <v>2</v>
      </c>
      <c r="C5" s="8" t="s">
        <v>3</v>
      </c>
      <c r="D5" s="8" t="s">
        <v>4</v>
      </c>
      <c r="E5" s="8" t="s">
        <v>5</v>
      </c>
      <c r="F5" s="8" t="s">
        <v>6</v>
      </c>
      <c r="G5" s="8" t="s">
        <v>7</v>
      </c>
      <c r="H5" s="8" t="s">
        <v>8</v>
      </c>
      <c r="I5" s="8" t="s">
        <v>9</v>
      </c>
      <c r="J5" s="8" t="s">
        <v>10</v>
      </c>
      <c r="K5" s="8" t="s">
        <v>11</v>
      </c>
      <c r="L5" s="8" t="s">
        <v>12</v>
      </c>
      <c r="M5" s="8" t="s">
        <v>13</v>
      </c>
      <c r="N5" s="8" t="s">
        <v>14</v>
      </c>
      <c r="P5" s="10" t="s">
        <v>1031</v>
      </c>
      <c r="Q5" s="10" t="s">
        <v>1032</v>
      </c>
      <c r="R5" s="10" t="s">
        <v>1033</v>
      </c>
    </row>
    <row r="6" spans="1:18" x14ac:dyDescent="0.3">
      <c r="A6" s="6" t="s">
        <v>19</v>
      </c>
      <c r="B6" s="6" t="s">
        <v>97</v>
      </c>
      <c r="C6" s="6" t="s">
        <v>20</v>
      </c>
      <c r="D6" s="6" t="s">
        <v>21</v>
      </c>
      <c r="E6" s="6" t="s">
        <v>22</v>
      </c>
      <c r="F6" s="6" t="s">
        <v>23</v>
      </c>
      <c r="G6" s="6">
        <v>20</v>
      </c>
      <c r="H6" s="6">
        <v>55.22</v>
      </c>
      <c r="I6" s="6">
        <v>1104.4000000000001</v>
      </c>
      <c r="J6" s="6">
        <v>49.36</v>
      </c>
      <c r="K6" s="6">
        <v>355.04</v>
      </c>
      <c r="L6" s="6" t="s">
        <v>24</v>
      </c>
      <c r="M6" s="6" t="s">
        <v>25</v>
      </c>
      <c r="N6" s="6" t="s">
        <v>98</v>
      </c>
      <c r="P6" t="str">
        <f>TRIM(MID(C6,FIND(",",C6)+1,LEN(C6)))</f>
        <v>Emily</v>
      </c>
      <c r="Q6" t="str">
        <f>LEFT(C6,FIND(",",C6)-1)</f>
        <v>Smith</v>
      </c>
      <c r="R6" t="str">
        <f>LEFT(P6,2)&amp;LEFT(Q6,2)&amp;ROW()</f>
        <v>EmSm6</v>
      </c>
    </row>
    <row r="7" spans="1:18" x14ac:dyDescent="0.3">
      <c r="A7" s="6" t="s">
        <v>29</v>
      </c>
      <c r="B7" s="6" t="s">
        <v>99</v>
      </c>
      <c r="C7" s="6" t="s">
        <v>30</v>
      </c>
      <c r="D7" s="6" t="s">
        <v>31</v>
      </c>
      <c r="E7" s="6" t="s">
        <v>32</v>
      </c>
      <c r="F7" s="6" t="s">
        <v>23</v>
      </c>
      <c r="G7" s="6">
        <v>33</v>
      </c>
      <c r="H7" s="6">
        <v>32.03</v>
      </c>
      <c r="I7" s="6">
        <v>1056.99</v>
      </c>
      <c r="J7" s="6">
        <v>59.59</v>
      </c>
      <c r="K7" s="6">
        <v>403.4</v>
      </c>
      <c r="L7" s="6" t="s">
        <v>33</v>
      </c>
      <c r="M7" s="6" t="s">
        <v>34</v>
      </c>
      <c r="N7" s="6" t="s">
        <v>35</v>
      </c>
      <c r="P7" t="str">
        <f t="shared" ref="P7:P70" si="0">TRIM(MID(C7,FIND(",",C7)+1,LEN(C7)))</f>
        <v>Laura</v>
      </c>
      <c r="Q7" t="str">
        <f t="shared" ref="Q7:Q70" si="1">LEFT(C7,FIND(",",C7)-1)</f>
        <v>Brown</v>
      </c>
      <c r="R7" t="str">
        <f t="shared" ref="R7:R70" si="2">LEFT(P7,2)&amp;LEFT(Q7,2)&amp;ROW()</f>
        <v>LaBr7</v>
      </c>
    </row>
    <row r="8" spans="1:18" x14ac:dyDescent="0.3">
      <c r="A8" s="6" t="s">
        <v>39</v>
      </c>
      <c r="B8" s="6" t="s">
        <v>100</v>
      </c>
      <c r="C8" s="6" t="s">
        <v>40</v>
      </c>
      <c r="D8" s="6" t="s">
        <v>37</v>
      </c>
      <c r="E8" s="6" t="s">
        <v>32</v>
      </c>
      <c r="F8" s="6" t="s">
        <v>23</v>
      </c>
      <c r="G8" s="6">
        <v>34</v>
      </c>
      <c r="H8" s="6">
        <v>28.48</v>
      </c>
      <c r="I8" s="6">
        <v>968.32</v>
      </c>
      <c r="J8" s="6">
        <v>73.95</v>
      </c>
      <c r="K8" s="6">
        <v>282.37</v>
      </c>
      <c r="L8" s="6" t="s">
        <v>24</v>
      </c>
      <c r="M8" s="6" t="s">
        <v>41</v>
      </c>
      <c r="N8" s="6" t="s">
        <v>35</v>
      </c>
      <c r="P8" t="str">
        <f t="shared" si="0"/>
        <v>John</v>
      </c>
      <c r="Q8" t="str">
        <f t="shared" si="1"/>
        <v>Davis</v>
      </c>
      <c r="R8" t="str">
        <f t="shared" si="2"/>
        <v>JoDa8</v>
      </c>
    </row>
    <row r="9" spans="1:18" x14ac:dyDescent="0.3">
      <c r="A9" s="6" t="s">
        <v>43</v>
      </c>
      <c r="B9" s="6" t="s">
        <v>101</v>
      </c>
      <c r="C9" s="6" t="s">
        <v>44</v>
      </c>
      <c r="D9" s="6" t="s">
        <v>45</v>
      </c>
      <c r="E9" s="6" t="s">
        <v>46</v>
      </c>
      <c r="F9" s="6" t="s">
        <v>47</v>
      </c>
      <c r="G9" s="6">
        <v>6</v>
      </c>
      <c r="H9" s="6">
        <v>56.36</v>
      </c>
      <c r="I9" s="6">
        <v>338.16</v>
      </c>
      <c r="J9" s="6">
        <v>11.39</v>
      </c>
      <c r="K9" s="6">
        <v>134.77000000000001</v>
      </c>
      <c r="L9" s="6" t="s">
        <v>48</v>
      </c>
      <c r="M9" s="6" t="s">
        <v>34</v>
      </c>
      <c r="N9" s="6" t="s">
        <v>49</v>
      </c>
      <c r="P9" t="str">
        <f t="shared" si="0"/>
        <v>Daniel</v>
      </c>
      <c r="Q9" t="str">
        <f t="shared" si="1"/>
        <v>Miller</v>
      </c>
      <c r="R9" t="str">
        <f t="shared" si="2"/>
        <v>DaMi9</v>
      </c>
    </row>
    <row r="10" spans="1:18" x14ac:dyDescent="0.3">
      <c r="A10" s="6" t="s">
        <v>53</v>
      </c>
      <c r="B10" s="6" t="s">
        <v>102</v>
      </c>
      <c r="C10" s="6" t="s">
        <v>54</v>
      </c>
      <c r="D10" s="6" t="s">
        <v>55</v>
      </c>
      <c r="E10" s="6" t="s">
        <v>56</v>
      </c>
      <c r="F10" s="6" t="s">
        <v>57</v>
      </c>
      <c r="G10" s="6">
        <v>17</v>
      </c>
      <c r="H10" s="6">
        <v>69.22</v>
      </c>
      <c r="I10" s="6">
        <v>1176.74</v>
      </c>
      <c r="J10" s="6">
        <v>65.94</v>
      </c>
      <c r="K10" s="6">
        <v>430.8</v>
      </c>
      <c r="L10" s="6" t="s">
        <v>33</v>
      </c>
      <c r="M10" s="6" t="s">
        <v>25</v>
      </c>
      <c r="N10" s="6" t="s">
        <v>98</v>
      </c>
      <c r="P10" t="str">
        <f t="shared" si="0"/>
        <v>Emma</v>
      </c>
      <c r="Q10" t="str">
        <f t="shared" si="1"/>
        <v>Johnson</v>
      </c>
      <c r="R10" t="str">
        <f t="shared" si="2"/>
        <v>EmJo10</v>
      </c>
    </row>
    <row r="11" spans="1:18" x14ac:dyDescent="0.3">
      <c r="A11" s="6" t="s">
        <v>60</v>
      </c>
      <c r="B11" s="6" t="s">
        <v>103</v>
      </c>
      <c r="C11" s="6" t="s">
        <v>61</v>
      </c>
      <c r="D11" s="6" t="s">
        <v>62</v>
      </c>
      <c r="E11" s="6" t="s">
        <v>63</v>
      </c>
      <c r="F11" s="6" t="s">
        <v>47</v>
      </c>
      <c r="G11" s="6">
        <v>13</v>
      </c>
      <c r="H11" s="6">
        <v>27.94</v>
      </c>
      <c r="I11" s="6">
        <v>363.22</v>
      </c>
      <c r="J11" s="6">
        <v>15.36</v>
      </c>
      <c r="K11" s="6">
        <v>87.86</v>
      </c>
      <c r="L11" s="6" t="s">
        <v>33</v>
      </c>
      <c r="M11" s="6" t="s">
        <v>25</v>
      </c>
      <c r="N11" s="6" t="s">
        <v>98</v>
      </c>
      <c r="P11" t="str">
        <f t="shared" si="0"/>
        <v>Michael</v>
      </c>
      <c r="Q11" t="str">
        <f t="shared" si="1"/>
        <v>Johnson</v>
      </c>
      <c r="R11" t="str">
        <f t="shared" si="2"/>
        <v>MiJo11</v>
      </c>
    </row>
    <row r="12" spans="1:18" x14ac:dyDescent="0.3">
      <c r="A12" s="6" t="s">
        <v>65</v>
      </c>
      <c r="B12" s="6" t="s">
        <v>104</v>
      </c>
      <c r="C12" s="6" t="s">
        <v>66</v>
      </c>
      <c r="D12" s="6" t="s">
        <v>31</v>
      </c>
      <c r="E12" s="6" t="s">
        <v>67</v>
      </c>
      <c r="F12" s="6" t="s">
        <v>68</v>
      </c>
      <c r="G12" s="6">
        <v>3</v>
      </c>
      <c r="H12" s="6">
        <v>31.52</v>
      </c>
      <c r="I12" s="6">
        <v>94.56</v>
      </c>
      <c r="J12" s="6">
        <v>6.98</v>
      </c>
      <c r="K12" s="6">
        <v>20.079999999999998</v>
      </c>
      <c r="L12" s="6" t="s">
        <v>24</v>
      </c>
      <c r="M12" s="6" t="s">
        <v>41</v>
      </c>
      <c r="N12" s="6" t="s">
        <v>35</v>
      </c>
      <c r="P12" t="str">
        <f t="shared" si="0"/>
        <v>Emma</v>
      </c>
      <c r="Q12" t="str">
        <f t="shared" si="1"/>
        <v>Hernandez</v>
      </c>
      <c r="R12" t="str">
        <f t="shared" si="2"/>
        <v>EmHe12</v>
      </c>
    </row>
    <row r="13" spans="1:18" x14ac:dyDescent="0.3">
      <c r="A13" s="6" t="s">
        <v>72</v>
      </c>
      <c r="B13" s="6" t="s">
        <v>105</v>
      </c>
      <c r="C13" s="6" t="s">
        <v>73</v>
      </c>
      <c r="D13" s="6" t="s">
        <v>51</v>
      </c>
      <c r="E13" s="6" t="s">
        <v>74</v>
      </c>
      <c r="F13" s="6" t="s">
        <v>75</v>
      </c>
      <c r="G13" s="6">
        <v>14</v>
      </c>
      <c r="H13" s="6">
        <v>30.71</v>
      </c>
      <c r="I13" s="6">
        <v>429.94</v>
      </c>
      <c r="J13" s="6">
        <v>13.03</v>
      </c>
      <c r="K13" s="6">
        <v>66.91</v>
      </c>
      <c r="L13" s="6" t="s">
        <v>33</v>
      </c>
      <c r="M13" s="6" t="s">
        <v>25</v>
      </c>
      <c r="N13" s="6" t="s">
        <v>76</v>
      </c>
      <c r="P13" t="str">
        <f t="shared" si="0"/>
        <v>John</v>
      </c>
      <c r="Q13" t="str">
        <f t="shared" si="1"/>
        <v>Miller</v>
      </c>
      <c r="R13" t="str">
        <f t="shared" si="2"/>
        <v>JoMi13</v>
      </c>
    </row>
    <row r="14" spans="1:18" x14ac:dyDescent="0.3">
      <c r="A14" s="6" t="s">
        <v>80</v>
      </c>
      <c r="B14" s="6" t="s">
        <v>106</v>
      </c>
      <c r="C14" s="6" t="s">
        <v>40</v>
      </c>
      <c r="D14" s="6" t="s">
        <v>21</v>
      </c>
      <c r="E14" s="6" t="s">
        <v>81</v>
      </c>
      <c r="F14" s="6" t="s">
        <v>68</v>
      </c>
      <c r="G14" s="6">
        <v>47</v>
      </c>
      <c r="H14" s="6">
        <v>24.47</v>
      </c>
      <c r="I14" s="6">
        <v>1150.0899999999999</v>
      </c>
      <c r="J14" s="6">
        <v>61.3</v>
      </c>
      <c r="K14" s="6">
        <v>360.29</v>
      </c>
      <c r="L14" s="6" t="s">
        <v>33</v>
      </c>
      <c r="M14" s="6" t="s">
        <v>25</v>
      </c>
      <c r="N14" s="6" t="s">
        <v>98</v>
      </c>
      <c r="P14" t="str">
        <f t="shared" si="0"/>
        <v>John</v>
      </c>
      <c r="Q14" t="str">
        <f t="shared" si="1"/>
        <v>Davis</v>
      </c>
      <c r="R14" t="str">
        <f t="shared" si="2"/>
        <v>JoDa14</v>
      </c>
    </row>
    <row r="15" spans="1:18" x14ac:dyDescent="0.3">
      <c r="A15" s="6" t="s">
        <v>84</v>
      </c>
      <c r="B15" s="6" t="s">
        <v>107</v>
      </c>
      <c r="C15" s="6" t="s">
        <v>85</v>
      </c>
      <c r="D15" s="6" t="s">
        <v>37</v>
      </c>
      <c r="E15" s="6" t="s">
        <v>86</v>
      </c>
      <c r="F15" s="6" t="s">
        <v>47</v>
      </c>
      <c r="G15" s="6">
        <v>27</v>
      </c>
      <c r="H15" s="6">
        <v>18.98</v>
      </c>
      <c r="I15" s="6">
        <v>512.46</v>
      </c>
      <c r="J15" s="6">
        <v>28.89</v>
      </c>
      <c r="K15" s="6">
        <v>139.32</v>
      </c>
      <c r="L15" s="6" t="s">
        <v>33</v>
      </c>
      <c r="M15" s="6" t="s">
        <v>41</v>
      </c>
      <c r="N15" s="6" t="s">
        <v>35</v>
      </c>
      <c r="P15" t="str">
        <f t="shared" si="0"/>
        <v>Laura</v>
      </c>
      <c r="Q15" t="str">
        <f t="shared" si="1"/>
        <v>Martinez</v>
      </c>
      <c r="R15" t="str">
        <f t="shared" si="2"/>
        <v>LaMa15</v>
      </c>
    </row>
    <row r="16" spans="1:18" x14ac:dyDescent="0.3">
      <c r="A16" s="6" t="s">
        <v>108</v>
      </c>
      <c r="B16" s="6" t="s">
        <v>109</v>
      </c>
      <c r="C16" s="6" t="s">
        <v>110</v>
      </c>
      <c r="D16" s="6" t="s">
        <v>51</v>
      </c>
      <c r="E16" s="6" t="s">
        <v>22</v>
      </c>
      <c r="F16" s="6" t="s">
        <v>23</v>
      </c>
      <c r="G16" s="6">
        <v>32</v>
      </c>
      <c r="H16" s="6">
        <v>57.84</v>
      </c>
      <c r="I16" s="6">
        <v>1850.88</v>
      </c>
      <c r="J16" s="6">
        <v>55.15</v>
      </c>
      <c r="K16" s="6">
        <v>675.73</v>
      </c>
      <c r="L16" s="6" t="s">
        <v>24</v>
      </c>
      <c r="M16" s="6" t="s">
        <v>25</v>
      </c>
      <c r="N16" s="6" t="s">
        <v>76</v>
      </c>
      <c r="P16" t="str">
        <f t="shared" si="0"/>
        <v>James</v>
      </c>
      <c r="Q16" t="str">
        <f t="shared" si="1"/>
        <v>Martinez</v>
      </c>
      <c r="R16" t="str">
        <f t="shared" si="2"/>
        <v>JaMa16</v>
      </c>
    </row>
    <row r="17" spans="1:18" x14ac:dyDescent="0.3">
      <c r="A17" s="6" t="s">
        <v>111</v>
      </c>
      <c r="B17" s="6" t="s">
        <v>112</v>
      </c>
      <c r="C17" s="6" t="s">
        <v>113</v>
      </c>
      <c r="D17" s="6" t="s">
        <v>55</v>
      </c>
      <c r="E17" s="6" t="s">
        <v>56</v>
      </c>
      <c r="F17" s="6" t="s">
        <v>57</v>
      </c>
      <c r="G17" s="6">
        <v>49</v>
      </c>
      <c r="H17" s="6">
        <v>58.77</v>
      </c>
      <c r="I17" s="6">
        <v>2879.73</v>
      </c>
      <c r="J17" s="6">
        <v>140.29</v>
      </c>
      <c r="K17" s="6">
        <v>779.44</v>
      </c>
      <c r="L17" s="6" t="s">
        <v>48</v>
      </c>
      <c r="M17" s="6" t="s">
        <v>41</v>
      </c>
      <c r="N17" s="6" t="s">
        <v>98</v>
      </c>
      <c r="P17" t="str">
        <f t="shared" si="0"/>
        <v>James</v>
      </c>
      <c r="Q17" t="str">
        <f t="shared" si="1"/>
        <v>Davis</v>
      </c>
      <c r="R17" t="str">
        <f t="shared" si="2"/>
        <v>JaDa17</v>
      </c>
    </row>
    <row r="18" spans="1:18" x14ac:dyDescent="0.3">
      <c r="A18" s="6" t="s">
        <v>114</v>
      </c>
      <c r="B18" s="6" t="s">
        <v>115</v>
      </c>
      <c r="C18" s="6" t="s">
        <v>110</v>
      </c>
      <c r="D18" s="6" t="s">
        <v>116</v>
      </c>
      <c r="E18" s="6" t="s">
        <v>22</v>
      </c>
      <c r="F18" s="6" t="s">
        <v>23</v>
      </c>
      <c r="G18" s="6">
        <v>43</v>
      </c>
      <c r="H18" s="6">
        <v>56.92</v>
      </c>
      <c r="I18" s="6">
        <v>2447.56</v>
      </c>
      <c r="J18" s="6">
        <v>140.4</v>
      </c>
      <c r="K18" s="6">
        <v>802.16</v>
      </c>
      <c r="L18" s="6" t="s">
        <v>24</v>
      </c>
      <c r="M18" s="6" t="s">
        <v>34</v>
      </c>
      <c r="N18" s="6" t="s">
        <v>76</v>
      </c>
      <c r="P18" t="str">
        <f t="shared" si="0"/>
        <v>James</v>
      </c>
      <c r="Q18" t="str">
        <f t="shared" si="1"/>
        <v>Martinez</v>
      </c>
      <c r="R18" t="str">
        <f t="shared" si="2"/>
        <v>JaMa18</v>
      </c>
    </row>
    <row r="19" spans="1:18" x14ac:dyDescent="0.3">
      <c r="A19" s="6" t="s">
        <v>117</v>
      </c>
      <c r="B19" s="6" t="s">
        <v>118</v>
      </c>
      <c r="C19" s="6" t="s">
        <v>119</v>
      </c>
      <c r="D19" s="6" t="s">
        <v>37</v>
      </c>
      <c r="E19" s="6" t="s">
        <v>74</v>
      </c>
      <c r="F19" s="6" t="s">
        <v>75</v>
      </c>
      <c r="G19" s="6">
        <v>32</v>
      </c>
      <c r="H19" s="6">
        <v>43.45</v>
      </c>
      <c r="I19" s="6">
        <v>1390.4</v>
      </c>
      <c r="J19" s="6">
        <v>30.04</v>
      </c>
      <c r="K19" s="6">
        <v>560.36</v>
      </c>
      <c r="L19" s="6" t="s">
        <v>24</v>
      </c>
      <c r="M19" s="6" t="s">
        <v>41</v>
      </c>
      <c r="N19" s="6" t="s">
        <v>35</v>
      </c>
      <c r="P19" t="str">
        <f t="shared" si="0"/>
        <v>Emma</v>
      </c>
      <c r="Q19" t="str">
        <f t="shared" si="1"/>
        <v>Smith</v>
      </c>
      <c r="R19" t="str">
        <f t="shared" si="2"/>
        <v>EmSm19</v>
      </c>
    </row>
    <row r="20" spans="1:18" x14ac:dyDescent="0.3">
      <c r="A20" s="6" t="s">
        <v>120</v>
      </c>
      <c r="B20" s="6" t="s">
        <v>121</v>
      </c>
      <c r="C20" s="6" t="s">
        <v>122</v>
      </c>
      <c r="D20" s="6" t="s">
        <v>123</v>
      </c>
      <c r="E20" s="6" t="s">
        <v>74</v>
      </c>
      <c r="F20" s="6" t="s">
        <v>75</v>
      </c>
      <c r="G20" s="6">
        <v>22</v>
      </c>
      <c r="H20" s="6">
        <v>42.59</v>
      </c>
      <c r="I20" s="6">
        <v>936.98</v>
      </c>
      <c r="J20" s="6">
        <v>29.87</v>
      </c>
      <c r="K20" s="6">
        <v>357.11</v>
      </c>
      <c r="L20" s="6" t="s">
        <v>33</v>
      </c>
      <c r="M20" s="6" t="s">
        <v>41</v>
      </c>
      <c r="N20" s="6" t="s">
        <v>76</v>
      </c>
      <c r="P20" t="str">
        <f t="shared" si="0"/>
        <v>Sarah</v>
      </c>
      <c r="Q20" t="str">
        <f t="shared" si="1"/>
        <v>Davis</v>
      </c>
      <c r="R20" t="str">
        <f t="shared" si="2"/>
        <v>SaDa20</v>
      </c>
    </row>
    <row r="21" spans="1:18" x14ac:dyDescent="0.3">
      <c r="A21" s="6" t="s">
        <v>124</v>
      </c>
      <c r="B21" s="6" t="s">
        <v>125</v>
      </c>
      <c r="C21" s="6" t="s">
        <v>126</v>
      </c>
      <c r="D21" s="6" t="s">
        <v>127</v>
      </c>
      <c r="E21" s="6" t="s">
        <v>63</v>
      </c>
      <c r="F21" s="6" t="s">
        <v>47</v>
      </c>
      <c r="G21" s="6">
        <v>48</v>
      </c>
      <c r="H21" s="6">
        <v>25.36</v>
      </c>
      <c r="I21" s="6">
        <v>1217.28</v>
      </c>
      <c r="J21" s="6">
        <v>49.68</v>
      </c>
      <c r="K21" s="6">
        <v>207.6</v>
      </c>
      <c r="L21" s="6" t="s">
        <v>33</v>
      </c>
      <c r="M21" s="6" t="s">
        <v>25</v>
      </c>
      <c r="N21" s="6" t="s">
        <v>76</v>
      </c>
      <c r="P21" t="str">
        <f t="shared" si="0"/>
        <v>David</v>
      </c>
      <c r="Q21" t="str">
        <f t="shared" si="1"/>
        <v>Williams</v>
      </c>
      <c r="R21" t="str">
        <f t="shared" si="2"/>
        <v>DaWi21</v>
      </c>
    </row>
    <row r="22" spans="1:18" x14ac:dyDescent="0.3">
      <c r="A22" s="6" t="s">
        <v>128</v>
      </c>
      <c r="B22" s="6" t="s">
        <v>129</v>
      </c>
      <c r="C22" s="6" t="s">
        <v>110</v>
      </c>
      <c r="D22" s="6" t="s">
        <v>123</v>
      </c>
      <c r="E22" s="6" t="s">
        <v>32</v>
      </c>
      <c r="F22" s="6" t="s">
        <v>23</v>
      </c>
      <c r="G22" s="6">
        <v>48</v>
      </c>
      <c r="H22" s="6">
        <v>30.07</v>
      </c>
      <c r="I22" s="6">
        <v>1443.36</v>
      </c>
      <c r="J22" s="6">
        <v>102.31</v>
      </c>
      <c r="K22" s="6">
        <v>477.05</v>
      </c>
      <c r="L22" s="6" t="s">
        <v>48</v>
      </c>
      <c r="M22" s="6" t="s">
        <v>25</v>
      </c>
      <c r="N22" s="6" t="s">
        <v>76</v>
      </c>
      <c r="P22" t="str">
        <f t="shared" si="0"/>
        <v>James</v>
      </c>
      <c r="Q22" t="str">
        <f t="shared" si="1"/>
        <v>Martinez</v>
      </c>
      <c r="R22" t="str">
        <f t="shared" si="2"/>
        <v>JaMa22</v>
      </c>
    </row>
    <row r="23" spans="1:18" x14ac:dyDescent="0.3">
      <c r="A23" s="6" t="s">
        <v>130</v>
      </c>
      <c r="B23" s="6" t="s">
        <v>131</v>
      </c>
      <c r="C23" s="6" t="s">
        <v>61</v>
      </c>
      <c r="D23" s="6" t="s">
        <v>123</v>
      </c>
      <c r="E23" s="6" t="s">
        <v>63</v>
      </c>
      <c r="F23" s="6" t="s">
        <v>47</v>
      </c>
      <c r="G23" s="6">
        <v>6</v>
      </c>
      <c r="H23" s="6">
        <v>32.17</v>
      </c>
      <c r="I23" s="6">
        <v>193.02</v>
      </c>
      <c r="J23" s="6">
        <v>14.45</v>
      </c>
      <c r="K23" s="6">
        <v>58.57</v>
      </c>
      <c r="L23" s="6" t="s">
        <v>48</v>
      </c>
      <c r="M23" s="6" t="s">
        <v>25</v>
      </c>
      <c r="N23" s="6" t="s">
        <v>76</v>
      </c>
      <c r="P23" t="str">
        <f t="shared" si="0"/>
        <v>Michael</v>
      </c>
      <c r="Q23" t="str">
        <f t="shared" si="1"/>
        <v>Johnson</v>
      </c>
      <c r="R23" t="str">
        <f t="shared" si="2"/>
        <v>MiJo23</v>
      </c>
    </row>
    <row r="24" spans="1:18" x14ac:dyDescent="0.3">
      <c r="A24" s="6" t="s">
        <v>132</v>
      </c>
      <c r="B24" s="6" t="s">
        <v>133</v>
      </c>
      <c r="C24" s="6" t="s">
        <v>134</v>
      </c>
      <c r="D24" s="6" t="s">
        <v>116</v>
      </c>
      <c r="E24" s="6" t="s">
        <v>32</v>
      </c>
      <c r="F24" s="6" t="s">
        <v>23</v>
      </c>
      <c r="G24" s="6">
        <v>37</v>
      </c>
      <c r="H24" s="6">
        <v>24.14</v>
      </c>
      <c r="I24" s="6">
        <v>893.18</v>
      </c>
      <c r="J24" s="6">
        <v>31.39</v>
      </c>
      <c r="K24" s="6">
        <v>195.79</v>
      </c>
      <c r="L24" s="6" t="s">
        <v>33</v>
      </c>
      <c r="M24" s="6" t="s">
        <v>34</v>
      </c>
      <c r="N24" s="6" t="s">
        <v>76</v>
      </c>
      <c r="P24" t="str">
        <f t="shared" si="0"/>
        <v>Sarah</v>
      </c>
      <c r="Q24" t="str">
        <f t="shared" si="1"/>
        <v>Smith</v>
      </c>
      <c r="R24" t="str">
        <f t="shared" si="2"/>
        <v>SaSm24</v>
      </c>
    </row>
    <row r="25" spans="1:18" x14ac:dyDescent="0.3">
      <c r="A25" s="6" t="s">
        <v>135</v>
      </c>
      <c r="B25" s="6" t="s">
        <v>136</v>
      </c>
      <c r="C25" s="6" t="s">
        <v>54</v>
      </c>
      <c r="D25" s="6" t="s">
        <v>31</v>
      </c>
      <c r="E25" s="6" t="s">
        <v>137</v>
      </c>
      <c r="F25" s="6" t="s">
        <v>68</v>
      </c>
      <c r="G25" s="6">
        <v>39</v>
      </c>
      <c r="H25" s="6">
        <v>37.840000000000003</v>
      </c>
      <c r="I25" s="6">
        <v>1475.76</v>
      </c>
      <c r="J25" s="6">
        <v>73.400000000000006</v>
      </c>
      <c r="K25" s="6">
        <v>310.36</v>
      </c>
      <c r="L25" s="6" t="s">
        <v>33</v>
      </c>
      <c r="M25" s="6" t="s">
        <v>41</v>
      </c>
      <c r="N25" s="6" t="s">
        <v>35</v>
      </c>
      <c r="P25" t="str">
        <f t="shared" si="0"/>
        <v>Emma</v>
      </c>
      <c r="Q25" t="str">
        <f t="shared" si="1"/>
        <v>Johnson</v>
      </c>
      <c r="R25" t="str">
        <f t="shared" si="2"/>
        <v>EmJo25</v>
      </c>
    </row>
    <row r="26" spans="1:18" x14ac:dyDescent="0.3">
      <c r="A26" s="6" t="s">
        <v>138</v>
      </c>
      <c r="B26" s="6" t="s">
        <v>139</v>
      </c>
      <c r="C26" s="6" t="s">
        <v>140</v>
      </c>
      <c r="D26" s="6" t="s">
        <v>141</v>
      </c>
      <c r="E26" s="6" t="s">
        <v>56</v>
      </c>
      <c r="F26" s="6" t="s">
        <v>57</v>
      </c>
      <c r="G26" s="6">
        <v>6</v>
      </c>
      <c r="H26" s="6">
        <v>68.77</v>
      </c>
      <c r="I26" s="6">
        <v>412.62</v>
      </c>
      <c r="J26" s="6">
        <v>17.18</v>
      </c>
      <c r="K26" s="6">
        <v>155.44</v>
      </c>
      <c r="L26" s="6" t="s">
        <v>33</v>
      </c>
      <c r="M26" s="6" t="s">
        <v>25</v>
      </c>
      <c r="N26" s="6" t="s">
        <v>142</v>
      </c>
      <c r="P26" t="str">
        <f t="shared" si="0"/>
        <v>Michael</v>
      </c>
      <c r="Q26" t="str">
        <f t="shared" si="1"/>
        <v>Miller</v>
      </c>
      <c r="R26" t="str">
        <f t="shared" si="2"/>
        <v>MiMi26</v>
      </c>
    </row>
    <row r="27" spans="1:18" x14ac:dyDescent="0.3">
      <c r="A27" s="6" t="s">
        <v>143</v>
      </c>
      <c r="B27" s="6" t="s">
        <v>144</v>
      </c>
      <c r="C27" s="6" t="s">
        <v>145</v>
      </c>
      <c r="D27" s="6" t="s">
        <v>55</v>
      </c>
      <c r="E27" s="6" t="s">
        <v>86</v>
      </c>
      <c r="F27" s="6" t="s">
        <v>47</v>
      </c>
      <c r="G27" s="6">
        <v>6</v>
      </c>
      <c r="H27" s="6">
        <v>18.5</v>
      </c>
      <c r="I27" s="6">
        <v>111</v>
      </c>
      <c r="J27" s="6">
        <v>5.26</v>
      </c>
      <c r="K27" s="6">
        <v>29.24</v>
      </c>
      <c r="L27" s="6" t="s">
        <v>48</v>
      </c>
      <c r="M27" s="6" t="s">
        <v>34</v>
      </c>
      <c r="N27" s="6" t="s">
        <v>98</v>
      </c>
      <c r="P27" t="str">
        <f t="shared" si="0"/>
        <v>David</v>
      </c>
      <c r="Q27" t="str">
        <f t="shared" si="1"/>
        <v>Davis</v>
      </c>
      <c r="R27" t="str">
        <f t="shared" si="2"/>
        <v>DaDa27</v>
      </c>
    </row>
    <row r="28" spans="1:18" x14ac:dyDescent="0.3">
      <c r="A28" s="6" t="s">
        <v>146</v>
      </c>
      <c r="B28" s="6" t="s">
        <v>147</v>
      </c>
      <c r="C28" s="6" t="s">
        <v>148</v>
      </c>
      <c r="D28" s="6" t="s">
        <v>37</v>
      </c>
      <c r="E28" s="6" t="s">
        <v>67</v>
      </c>
      <c r="F28" s="6" t="s">
        <v>68</v>
      </c>
      <c r="G28" s="6">
        <v>33</v>
      </c>
      <c r="H28" s="6">
        <v>28.96</v>
      </c>
      <c r="I28" s="6">
        <v>955.68</v>
      </c>
      <c r="J28" s="6">
        <v>49.07</v>
      </c>
      <c r="K28" s="6">
        <v>164.11</v>
      </c>
      <c r="L28" s="6" t="s">
        <v>33</v>
      </c>
      <c r="M28" s="6" t="s">
        <v>25</v>
      </c>
      <c r="N28" s="6" t="s">
        <v>35</v>
      </c>
      <c r="P28" t="str">
        <f t="shared" si="0"/>
        <v>Sarah</v>
      </c>
      <c r="Q28" t="str">
        <f t="shared" si="1"/>
        <v>Johnson</v>
      </c>
      <c r="R28" t="str">
        <f t="shared" si="2"/>
        <v>SaJo28</v>
      </c>
    </row>
    <row r="29" spans="1:18" x14ac:dyDescent="0.3">
      <c r="A29" s="6" t="s">
        <v>149</v>
      </c>
      <c r="B29" s="6" t="s">
        <v>150</v>
      </c>
      <c r="C29" s="6" t="s">
        <v>151</v>
      </c>
      <c r="D29" s="6" t="s">
        <v>55</v>
      </c>
      <c r="E29" s="6" t="s">
        <v>67</v>
      </c>
      <c r="F29" s="6" t="s">
        <v>68</v>
      </c>
      <c r="G29" s="6">
        <v>31</v>
      </c>
      <c r="H29" s="6">
        <v>35.020000000000003</v>
      </c>
      <c r="I29" s="6">
        <v>1085.6199999999999</v>
      </c>
      <c r="J29" s="6">
        <v>74.650000000000006</v>
      </c>
      <c r="K29" s="6">
        <v>313.47000000000003</v>
      </c>
      <c r="L29" s="6" t="s">
        <v>48</v>
      </c>
      <c r="M29" s="6" t="s">
        <v>25</v>
      </c>
      <c r="N29" s="6" t="s">
        <v>98</v>
      </c>
      <c r="P29" t="str">
        <f t="shared" si="0"/>
        <v>Sophia</v>
      </c>
      <c r="Q29" t="str">
        <f t="shared" si="1"/>
        <v>Hernandez</v>
      </c>
      <c r="R29" t="str">
        <f t="shared" si="2"/>
        <v>SoHe29</v>
      </c>
    </row>
    <row r="30" spans="1:18" x14ac:dyDescent="0.3">
      <c r="A30" s="6" t="s">
        <v>152</v>
      </c>
      <c r="B30" s="6" t="s">
        <v>153</v>
      </c>
      <c r="C30" s="6" t="s">
        <v>154</v>
      </c>
      <c r="D30" s="6" t="s">
        <v>55</v>
      </c>
      <c r="E30" s="6" t="s">
        <v>63</v>
      </c>
      <c r="F30" s="6" t="s">
        <v>47</v>
      </c>
      <c r="G30" s="6">
        <v>25</v>
      </c>
      <c r="H30" s="6">
        <v>31.57</v>
      </c>
      <c r="I30" s="6">
        <v>789.25</v>
      </c>
      <c r="J30" s="6">
        <v>56.47</v>
      </c>
      <c r="K30" s="6">
        <v>232.78</v>
      </c>
      <c r="L30" s="6" t="s">
        <v>33</v>
      </c>
      <c r="M30" s="6" t="s">
        <v>34</v>
      </c>
      <c r="N30" s="6" t="s">
        <v>98</v>
      </c>
      <c r="P30" t="str">
        <f t="shared" si="0"/>
        <v>Daniel</v>
      </c>
      <c r="Q30" t="str">
        <f t="shared" si="1"/>
        <v>Williams</v>
      </c>
      <c r="R30" t="str">
        <f t="shared" si="2"/>
        <v>DaWi30</v>
      </c>
    </row>
    <row r="31" spans="1:18" x14ac:dyDescent="0.3">
      <c r="A31" s="6" t="s">
        <v>155</v>
      </c>
      <c r="B31" s="6" t="s">
        <v>156</v>
      </c>
      <c r="C31" s="6" t="s">
        <v>157</v>
      </c>
      <c r="D31" s="6" t="s">
        <v>37</v>
      </c>
      <c r="E31" s="6" t="s">
        <v>81</v>
      </c>
      <c r="F31" s="6" t="s">
        <v>68</v>
      </c>
      <c r="G31" s="6">
        <v>14</v>
      </c>
      <c r="H31" s="6">
        <v>27.08</v>
      </c>
      <c r="I31" s="6">
        <v>379.12</v>
      </c>
      <c r="J31" s="6">
        <v>11.12</v>
      </c>
      <c r="K31" s="6">
        <v>151</v>
      </c>
      <c r="L31" s="6" t="s">
        <v>33</v>
      </c>
      <c r="M31" s="6" t="s">
        <v>41</v>
      </c>
      <c r="N31" s="6" t="s">
        <v>35</v>
      </c>
      <c r="P31" t="str">
        <f t="shared" si="0"/>
        <v>Michael</v>
      </c>
      <c r="Q31" t="str">
        <f t="shared" si="1"/>
        <v>Martinez</v>
      </c>
      <c r="R31" t="str">
        <f t="shared" si="2"/>
        <v>MiMa31</v>
      </c>
    </row>
    <row r="32" spans="1:18" x14ac:dyDescent="0.3">
      <c r="A32" s="6" t="s">
        <v>158</v>
      </c>
      <c r="B32" s="6" t="s">
        <v>159</v>
      </c>
      <c r="C32" s="6" t="s">
        <v>44</v>
      </c>
      <c r="D32" s="6" t="s">
        <v>37</v>
      </c>
      <c r="E32" s="6" t="s">
        <v>137</v>
      </c>
      <c r="F32" s="6" t="s">
        <v>68</v>
      </c>
      <c r="G32" s="6">
        <v>39</v>
      </c>
      <c r="H32" s="6">
        <v>35.32</v>
      </c>
      <c r="I32" s="6">
        <v>1377.48</v>
      </c>
      <c r="J32" s="6">
        <v>63.72</v>
      </c>
      <c r="K32" s="6">
        <v>221.76</v>
      </c>
      <c r="L32" s="6" t="s">
        <v>33</v>
      </c>
      <c r="M32" s="6" t="s">
        <v>34</v>
      </c>
      <c r="N32" s="6" t="s">
        <v>35</v>
      </c>
      <c r="P32" t="str">
        <f t="shared" si="0"/>
        <v>Daniel</v>
      </c>
      <c r="Q32" t="str">
        <f t="shared" si="1"/>
        <v>Miller</v>
      </c>
      <c r="R32" t="str">
        <f t="shared" si="2"/>
        <v>DaMi32</v>
      </c>
    </row>
    <row r="33" spans="1:18" x14ac:dyDescent="0.3">
      <c r="A33" s="6" t="s">
        <v>160</v>
      </c>
      <c r="B33" s="6" t="s">
        <v>161</v>
      </c>
      <c r="C33" s="6" t="s">
        <v>162</v>
      </c>
      <c r="D33" s="6" t="s">
        <v>51</v>
      </c>
      <c r="E33" s="6" t="s">
        <v>67</v>
      </c>
      <c r="F33" s="6" t="s">
        <v>68</v>
      </c>
      <c r="G33" s="6">
        <v>6</v>
      </c>
      <c r="H33" s="6">
        <v>39.630000000000003</v>
      </c>
      <c r="I33" s="6">
        <v>237.78</v>
      </c>
      <c r="J33" s="6">
        <v>8.08</v>
      </c>
      <c r="K33" s="6">
        <v>94.7</v>
      </c>
      <c r="L33" s="6" t="s">
        <v>24</v>
      </c>
      <c r="M33" s="6" t="s">
        <v>41</v>
      </c>
      <c r="N33" s="6" t="s">
        <v>76</v>
      </c>
      <c r="P33" t="str">
        <f t="shared" si="0"/>
        <v>Laura</v>
      </c>
      <c r="Q33" t="str">
        <f t="shared" si="1"/>
        <v>Jones</v>
      </c>
      <c r="R33" t="str">
        <f t="shared" si="2"/>
        <v>LaJo33</v>
      </c>
    </row>
    <row r="34" spans="1:18" x14ac:dyDescent="0.3">
      <c r="A34" s="6" t="s">
        <v>163</v>
      </c>
      <c r="B34" s="6" t="s">
        <v>164</v>
      </c>
      <c r="C34" s="6" t="s">
        <v>165</v>
      </c>
      <c r="D34" s="6" t="s">
        <v>141</v>
      </c>
      <c r="E34" s="6" t="s">
        <v>56</v>
      </c>
      <c r="F34" s="6" t="s">
        <v>57</v>
      </c>
      <c r="G34" s="6">
        <v>36</v>
      </c>
      <c r="H34" s="6">
        <v>68.400000000000006</v>
      </c>
      <c r="I34" s="6">
        <v>2462.4</v>
      </c>
      <c r="J34" s="6">
        <v>150.83000000000001</v>
      </c>
      <c r="K34" s="6">
        <v>871.57</v>
      </c>
      <c r="L34" s="6" t="s">
        <v>33</v>
      </c>
      <c r="M34" s="6" t="s">
        <v>25</v>
      </c>
      <c r="N34" s="6" t="s">
        <v>142</v>
      </c>
      <c r="P34" t="str">
        <f t="shared" si="0"/>
        <v>Michael</v>
      </c>
      <c r="Q34" t="str">
        <f t="shared" si="1"/>
        <v>Brown</v>
      </c>
      <c r="R34" t="str">
        <f t="shared" si="2"/>
        <v>MiBr34</v>
      </c>
    </row>
    <row r="35" spans="1:18" x14ac:dyDescent="0.3">
      <c r="A35" s="6" t="s">
        <v>166</v>
      </c>
      <c r="B35" s="6" t="s">
        <v>167</v>
      </c>
      <c r="C35" s="6" t="s">
        <v>126</v>
      </c>
      <c r="D35" s="6" t="s">
        <v>37</v>
      </c>
      <c r="E35" s="6" t="s">
        <v>74</v>
      </c>
      <c r="F35" s="6" t="s">
        <v>75</v>
      </c>
      <c r="G35" s="6">
        <v>1</v>
      </c>
      <c r="H35" s="6">
        <v>44.98</v>
      </c>
      <c r="I35" s="6">
        <v>44.98</v>
      </c>
      <c r="J35" s="6">
        <v>2.81</v>
      </c>
      <c r="K35" s="6">
        <v>17.170000000000002</v>
      </c>
      <c r="L35" s="6" t="s">
        <v>33</v>
      </c>
      <c r="M35" s="6" t="s">
        <v>34</v>
      </c>
      <c r="N35" s="6" t="s">
        <v>35</v>
      </c>
      <c r="P35" t="str">
        <f t="shared" si="0"/>
        <v>David</v>
      </c>
      <c r="Q35" t="str">
        <f t="shared" si="1"/>
        <v>Williams</v>
      </c>
      <c r="R35" t="str">
        <f t="shared" si="2"/>
        <v>DaWi35</v>
      </c>
    </row>
    <row r="36" spans="1:18" x14ac:dyDescent="0.3">
      <c r="A36" s="6" t="s">
        <v>168</v>
      </c>
      <c r="B36" s="6" t="s">
        <v>169</v>
      </c>
      <c r="C36" s="6" t="s">
        <v>170</v>
      </c>
      <c r="D36" s="6" t="s">
        <v>171</v>
      </c>
      <c r="E36" s="6" t="s">
        <v>137</v>
      </c>
      <c r="F36" s="6" t="s">
        <v>68</v>
      </c>
      <c r="G36" s="6">
        <v>3</v>
      </c>
      <c r="H36" s="6">
        <v>37.74</v>
      </c>
      <c r="I36" s="6">
        <v>113.22</v>
      </c>
      <c r="J36" s="6">
        <v>4.04</v>
      </c>
      <c r="K36" s="6">
        <v>25.18</v>
      </c>
      <c r="L36" s="6" t="s">
        <v>33</v>
      </c>
      <c r="M36" s="6" t="s">
        <v>34</v>
      </c>
      <c r="N36" s="6" t="s">
        <v>35</v>
      </c>
      <c r="P36" t="str">
        <f t="shared" si="0"/>
        <v>Laura</v>
      </c>
      <c r="Q36" t="str">
        <f t="shared" si="1"/>
        <v>Miller</v>
      </c>
      <c r="R36" t="str">
        <f t="shared" si="2"/>
        <v>LaMi36</v>
      </c>
    </row>
    <row r="37" spans="1:18" x14ac:dyDescent="0.3">
      <c r="A37" s="6" t="s">
        <v>172</v>
      </c>
      <c r="B37" s="6" t="s">
        <v>173</v>
      </c>
      <c r="C37" s="6" t="s">
        <v>174</v>
      </c>
      <c r="D37" s="6" t="s">
        <v>171</v>
      </c>
      <c r="E37" s="6" t="s">
        <v>74</v>
      </c>
      <c r="F37" s="6" t="s">
        <v>75</v>
      </c>
      <c r="G37" s="6">
        <v>12</v>
      </c>
      <c r="H37" s="6">
        <v>39.799999999999997</v>
      </c>
      <c r="I37" s="6">
        <v>477.6</v>
      </c>
      <c r="J37" s="6">
        <v>20.54</v>
      </c>
      <c r="K37" s="6">
        <v>157.06</v>
      </c>
      <c r="L37" s="6" t="s">
        <v>48</v>
      </c>
      <c r="M37" s="6" t="s">
        <v>34</v>
      </c>
      <c r="N37" s="6" t="s">
        <v>35</v>
      </c>
      <c r="P37" t="str">
        <f t="shared" si="0"/>
        <v>Sophia</v>
      </c>
      <c r="Q37" t="str">
        <f t="shared" si="1"/>
        <v>Garcia</v>
      </c>
      <c r="R37" t="str">
        <f t="shared" si="2"/>
        <v>SoGa37</v>
      </c>
    </row>
    <row r="38" spans="1:18" x14ac:dyDescent="0.3">
      <c r="A38" s="6" t="s">
        <v>175</v>
      </c>
      <c r="B38" s="6" t="s">
        <v>176</v>
      </c>
      <c r="C38" s="6" t="s">
        <v>177</v>
      </c>
      <c r="D38" s="6" t="s">
        <v>51</v>
      </c>
      <c r="E38" s="6" t="s">
        <v>46</v>
      </c>
      <c r="F38" s="6" t="s">
        <v>47</v>
      </c>
      <c r="G38" s="6">
        <v>26</v>
      </c>
      <c r="H38" s="6">
        <v>43.23</v>
      </c>
      <c r="I38" s="6">
        <v>1123.98</v>
      </c>
      <c r="J38" s="6">
        <v>57.2</v>
      </c>
      <c r="K38" s="6">
        <v>234.78</v>
      </c>
      <c r="L38" s="6" t="s">
        <v>33</v>
      </c>
      <c r="M38" s="6" t="s">
        <v>41</v>
      </c>
      <c r="N38" s="6" t="s">
        <v>76</v>
      </c>
      <c r="P38" t="str">
        <f t="shared" si="0"/>
        <v>Sophia</v>
      </c>
      <c r="Q38" t="str">
        <f t="shared" si="1"/>
        <v>Smith</v>
      </c>
      <c r="R38" t="str">
        <f t="shared" si="2"/>
        <v>SoSm38</v>
      </c>
    </row>
    <row r="39" spans="1:18" x14ac:dyDescent="0.3">
      <c r="A39" s="6" t="s">
        <v>178</v>
      </c>
      <c r="B39" s="6" t="s">
        <v>179</v>
      </c>
      <c r="C39" s="6" t="s">
        <v>44</v>
      </c>
      <c r="D39" s="6" t="s">
        <v>37</v>
      </c>
      <c r="E39" s="6" t="s">
        <v>56</v>
      </c>
      <c r="F39" s="6" t="s">
        <v>57</v>
      </c>
      <c r="G39" s="6">
        <v>17</v>
      </c>
      <c r="H39" s="6">
        <v>66.34</v>
      </c>
      <c r="I39" s="6">
        <v>1127.78</v>
      </c>
      <c r="J39" s="6">
        <v>81.150000000000006</v>
      </c>
      <c r="K39" s="6">
        <v>366.63</v>
      </c>
      <c r="L39" s="6" t="s">
        <v>33</v>
      </c>
      <c r="M39" s="6" t="s">
        <v>41</v>
      </c>
      <c r="N39" s="6" t="s">
        <v>35</v>
      </c>
      <c r="P39" t="str">
        <f t="shared" si="0"/>
        <v>Daniel</v>
      </c>
      <c r="Q39" t="str">
        <f t="shared" si="1"/>
        <v>Miller</v>
      </c>
      <c r="R39" t="str">
        <f t="shared" si="2"/>
        <v>DaMi39</v>
      </c>
    </row>
    <row r="40" spans="1:18" x14ac:dyDescent="0.3">
      <c r="A40" s="6" t="s">
        <v>180</v>
      </c>
      <c r="B40" s="6" t="s">
        <v>181</v>
      </c>
      <c r="C40" s="6" t="s">
        <v>182</v>
      </c>
      <c r="D40" s="6" t="s">
        <v>116</v>
      </c>
      <c r="E40" s="6" t="s">
        <v>74</v>
      </c>
      <c r="F40" s="6" t="s">
        <v>75</v>
      </c>
      <c r="G40" s="6">
        <v>4</v>
      </c>
      <c r="H40" s="6">
        <v>33.869999999999997</v>
      </c>
      <c r="I40" s="6">
        <v>135.47999999999999</v>
      </c>
      <c r="J40" s="6">
        <v>6.59</v>
      </c>
      <c r="K40" s="6">
        <v>28.89</v>
      </c>
      <c r="L40" s="6" t="s">
        <v>24</v>
      </c>
      <c r="M40" s="6" t="s">
        <v>41</v>
      </c>
      <c r="N40" s="6" t="s">
        <v>76</v>
      </c>
      <c r="P40" t="str">
        <f t="shared" si="0"/>
        <v>John</v>
      </c>
      <c r="Q40" t="str">
        <f t="shared" si="1"/>
        <v>Hernandez</v>
      </c>
      <c r="R40" t="str">
        <f t="shared" si="2"/>
        <v>JoHe40</v>
      </c>
    </row>
    <row r="41" spans="1:18" x14ac:dyDescent="0.3">
      <c r="A41" s="6" t="s">
        <v>183</v>
      </c>
      <c r="B41" s="6" t="s">
        <v>184</v>
      </c>
      <c r="C41" s="6" t="s">
        <v>185</v>
      </c>
      <c r="D41" s="6" t="s">
        <v>37</v>
      </c>
      <c r="E41" s="6" t="s">
        <v>56</v>
      </c>
      <c r="F41" s="6" t="s">
        <v>57</v>
      </c>
      <c r="G41" s="6">
        <v>10</v>
      </c>
      <c r="H41" s="6">
        <v>64.650000000000006</v>
      </c>
      <c r="I41" s="6">
        <v>646.5</v>
      </c>
      <c r="J41" s="6">
        <v>17.89</v>
      </c>
      <c r="K41" s="6">
        <v>228.61</v>
      </c>
      <c r="L41" s="6" t="s">
        <v>48</v>
      </c>
      <c r="M41" s="6" t="s">
        <v>25</v>
      </c>
      <c r="N41" s="6" t="s">
        <v>35</v>
      </c>
      <c r="P41" t="str">
        <f t="shared" si="0"/>
        <v>Laura</v>
      </c>
      <c r="Q41" t="str">
        <f t="shared" si="1"/>
        <v>Williams</v>
      </c>
      <c r="R41" t="str">
        <f t="shared" si="2"/>
        <v>LaWi41</v>
      </c>
    </row>
    <row r="42" spans="1:18" x14ac:dyDescent="0.3">
      <c r="A42" s="6" t="s">
        <v>186</v>
      </c>
      <c r="B42" s="6" t="s">
        <v>187</v>
      </c>
      <c r="C42" s="6" t="s">
        <v>188</v>
      </c>
      <c r="D42" s="6" t="s">
        <v>141</v>
      </c>
      <c r="E42" s="6" t="s">
        <v>67</v>
      </c>
      <c r="F42" s="6" t="s">
        <v>68</v>
      </c>
      <c r="G42" s="6">
        <v>12</v>
      </c>
      <c r="H42" s="6">
        <v>29.56</v>
      </c>
      <c r="I42" s="6">
        <v>354.72</v>
      </c>
      <c r="J42" s="6">
        <v>21.4</v>
      </c>
      <c r="K42" s="6">
        <v>63.32</v>
      </c>
      <c r="L42" s="6" t="s">
        <v>33</v>
      </c>
      <c r="M42" s="6" t="s">
        <v>25</v>
      </c>
      <c r="N42" s="6" t="s">
        <v>142</v>
      </c>
      <c r="P42" t="str">
        <f t="shared" si="0"/>
        <v>David</v>
      </c>
      <c r="Q42" t="str">
        <f t="shared" si="1"/>
        <v>Miller</v>
      </c>
      <c r="R42" t="str">
        <f t="shared" si="2"/>
        <v>DaMi42</v>
      </c>
    </row>
    <row r="43" spans="1:18" x14ac:dyDescent="0.3">
      <c r="A43" s="6" t="s">
        <v>189</v>
      </c>
      <c r="B43" s="6" t="s">
        <v>190</v>
      </c>
      <c r="C43" s="6" t="s">
        <v>191</v>
      </c>
      <c r="D43" s="6" t="s">
        <v>21</v>
      </c>
      <c r="E43" s="6" t="s">
        <v>74</v>
      </c>
      <c r="F43" s="6" t="s">
        <v>75</v>
      </c>
      <c r="G43" s="6">
        <v>4</v>
      </c>
      <c r="H43" s="6">
        <v>35.36</v>
      </c>
      <c r="I43" s="6">
        <v>141.44</v>
      </c>
      <c r="J43" s="6">
        <v>8.66</v>
      </c>
      <c r="K43" s="6">
        <v>32.78</v>
      </c>
      <c r="L43" s="6" t="s">
        <v>48</v>
      </c>
      <c r="M43" s="6" t="s">
        <v>34</v>
      </c>
      <c r="N43" s="6" t="s">
        <v>98</v>
      </c>
      <c r="P43" t="str">
        <f t="shared" si="0"/>
        <v>Michael</v>
      </c>
      <c r="Q43" t="str">
        <f t="shared" si="1"/>
        <v>Smith</v>
      </c>
      <c r="R43" t="str">
        <f t="shared" si="2"/>
        <v>MiSm43</v>
      </c>
    </row>
    <row r="44" spans="1:18" x14ac:dyDescent="0.3">
      <c r="A44" s="6" t="s">
        <v>192</v>
      </c>
      <c r="B44" s="6" t="s">
        <v>193</v>
      </c>
      <c r="C44" s="6" t="s">
        <v>194</v>
      </c>
      <c r="D44" s="6" t="s">
        <v>37</v>
      </c>
      <c r="E44" s="6" t="s">
        <v>63</v>
      </c>
      <c r="F44" s="6" t="s">
        <v>47</v>
      </c>
      <c r="G44" s="6">
        <v>28</v>
      </c>
      <c r="H44" s="6">
        <v>31.42</v>
      </c>
      <c r="I44" s="6">
        <v>879.76</v>
      </c>
      <c r="J44" s="6">
        <v>69.319999999999993</v>
      </c>
      <c r="K44" s="6">
        <v>250.44</v>
      </c>
      <c r="L44" s="6" t="s">
        <v>24</v>
      </c>
      <c r="M44" s="6" t="s">
        <v>41</v>
      </c>
      <c r="N44" s="6" t="s">
        <v>35</v>
      </c>
      <c r="P44" t="str">
        <f t="shared" si="0"/>
        <v>Sarah</v>
      </c>
      <c r="Q44" t="str">
        <f t="shared" si="1"/>
        <v>Martinez</v>
      </c>
      <c r="R44" t="str">
        <f t="shared" si="2"/>
        <v>SaMa44</v>
      </c>
    </row>
    <row r="45" spans="1:18" x14ac:dyDescent="0.3">
      <c r="A45" s="6" t="s">
        <v>195</v>
      </c>
      <c r="B45" s="6" t="s">
        <v>196</v>
      </c>
      <c r="C45" s="6" t="s">
        <v>197</v>
      </c>
      <c r="D45" s="6" t="s">
        <v>21</v>
      </c>
      <c r="E45" s="6" t="s">
        <v>22</v>
      </c>
      <c r="F45" s="6" t="s">
        <v>23</v>
      </c>
      <c r="G45" s="6">
        <v>35</v>
      </c>
      <c r="H45" s="6">
        <v>55.12</v>
      </c>
      <c r="I45" s="6">
        <v>1929.2</v>
      </c>
      <c r="J45" s="6">
        <v>58.22</v>
      </c>
      <c r="K45" s="6">
        <v>645.98</v>
      </c>
      <c r="L45" s="6" t="s">
        <v>24</v>
      </c>
      <c r="M45" s="6" t="s">
        <v>25</v>
      </c>
      <c r="N45" s="6" t="s">
        <v>98</v>
      </c>
      <c r="P45" t="str">
        <f t="shared" si="0"/>
        <v>Emily</v>
      </c>
      <c r="Q45" t="str">
        <f t="shared" si="1"/>
        <v>Garcia</v>
      </c>
      <c r="R45" t="str">
        <f t="shared" si="2"/>
        <v>EmGa45</v>
      </c>
    </row>
    <row r="46" spans="1:18" x14ac:dyDescent="0.3">
      <c r="A46" s="6" t="s">
        <v>198</v>
      </c>
      <c r="B46" s="6" t="s">
        <v>199</v>
      </c>
      <c r="C46" s="6" t="s">
        <v>200</v>
      </c>
      <c r="D46" s="6" t="s">
        <v>123</v>
      </c>
      <c r="E46" s="6" t="s">
        <v>67</v>
      </c>
      <c r="F46" s="6" t="s">
        <v>68</v>
      </c>
      <c r="G46" s="6">
        <v>41</v>
      </c>
      <c r="H46" s="6">
        <v>33.94</v>
      </c>
      <c r="I46" s="6">
        <v>1391.54</v>
      </c>
      <c r="J46" s="6">
        <v>33.26</v>
      </c>
      <c r="K46" s="6">
        <v>435.78</v>
      </c>
      <c r="L46" s="6" t="s">
        <v>24</v>
      </c>
      <c r="M46" s="6" t="s">
        <v>41</v>
      </c>
      <c r="N46" s="6" t="s">
        <v>76</v>
      </c>
      <c r="P46" t="str">
        <f t="shared" si="0"/>
        <v>Emma</v>
      </c>
      <c r="Q46" t="str">
        <f t="shared" si="1"/>
        <v>Williams</v>
      </c>
      <c r="R46" t="str">
        <f t="shared" si="2"/>
        <v>EmWi46</v>
      </c>
    </row>
    <row r="47" spans="1:18" x14ac:dyDescent="0.3">
      <c r="A47" s="6" t="s">
        <v>201</v>
      </c>
      <c r="B47" s="6" t="s">
        <v>107</v>
      </c>
      <c r="C47" s="6" t="s">
        <v>119</v>
      </c>
      <c r="D47" s="6" t="s">
        <v>116</v>
      </c>
      <c r="E47" s="6" t="s">
        <v>67</v>
      </c>
      <c r="F47" s="6" t="s">
        <v>68</v>
      </c>
      <c r="G47" s="6">
        <v>20</v>
      </c>
      <c r="H47" s="6">
        <v>38.43</v>
      </c>
      <c r="I47" s="6">
        <v>768.6</v>
      </c>
      <c r="J47" s="6">
        <v>60.07</v>
      </c>
      <c r="K47" s="6">
        <v>258.52999999999997</v>
      </c>
      <c r="L47" s="6" t="s">
        <v>48</v>
      </c>
      <c r="M47" s="6" t="s">
        <v>41</v>
      </c>
      <c r="N47" s="6" t="s">
        <v>76</v>
      </c>
      <c r="P47" t="str">
        <f t="shared" si="0"/>
        <v>Emma</v>
      </c>
      <c r="Q47" t="str">
        <f t="shared" si="1"/>
        <v>Smith</v>
      </c>
      <c r="R47" t="str">
        <f t="shared" si="2"/>
        <v>EmSm47</v>
      </c>
    </row>
    <row r="48" spans="1:18" x14ac:dyDescent="0.3">
      <c r="A48" s="6" t="s">
        <v>202</v>
      </c>
      <c r="B48" s="6" t="s">
        <v>203</v>
      </c>
      <c r="C48" s="6" t="s">
        <v>122</v>
      </c>
      <c r="D48" s="6" t="s">
        <v>45</v>
      </c>
      <c r="E48" s="6" t="s">
        <v>74</v>
      </c>
      <c r="F48" s="6" t="s">
        <v>75</v>
      </c>
      <c r="G48" s="6">
        <v>23</v>
      </c>
      <c r="H48" s="6">
        <v>35.07</v>
      </c>
      <c r="I48" s="6">
        <v>806.61</v>
      </c>
      <c r="J48" s="6">
        <v>21.23</v>
      </c>
      <c r="K48" s="6">
        <v>210.38</v>
      </c>
      <c r="L48" s="6" t="s">
        <v>24</v>
      </c>
      <c r="M48" s="6" t="s">
        <v>41</v>
      </c>
      <c r="N48" s="6" t="s">
        <v>49</v>
      </c>
      <c r="P48" t="str">
        <f t="shared" si="0"/>
        <v>Sarah</v>
      </c>
      <c r="Q48" t="str">
        <f t="shared" si="1"/>
        <v>Davis</v>
      </c>
      <c r="R48" t="str">
        <f t="shared" si="2"/>
        <v>SaDa48</v>
      </c>
    </row>
    <row r="49" spans="1:18" x14ac:dyDescent="0.3">
      <c r="A49" s="6" t="s">
        <v>204</v>
      </c>
      <c r="B49" s="6" t="s">
        <v>205</v>
      </c>
      <c r="C49" s="6" t="s">
        <v>113</v>
      </c>
      <c r="D49" s="6" t="s">
        <v>206</v>
      </c>
      <c r="E49" s="6" t="s">
        <v>56</v>
      </c>
      <c r="F49" s="6" t="s">
        <v>57</v>
      </c>
      <c r="G49" s="6">
        <v>35</v>
      </c>
      <c r="H49" s="6">
        <v>71.44</v>
      </c>
      <c r="I49" s="6">
        <v>2500.4</v>
      </c>
      <c r="J49" s="6">
        <v>166.81</v>
      </c>
      <c r="K49" s="6">
        <v>933.59</v>
      </c>
      <c r="L49" s="6" t="s">
        <v>33</v>
      </c>
      <c r="M49" s="6" t="s">
        <v>34</v>
      </c>
      <c r="N49" s="6" t="s">
        <v>207</v>
      </c>
      <c r="P49" t="str">
        <f t="shared" si="0"/>
        <v>James</v>
      </c>
      <c r="Q49" t="str">
        <f t="shared" si="1"/>
        <v>Davis</v>
      </c>
      <c r="R49" t="str">
        <f t="shared" si="2"/>
        <v>JaDa49</v>
      </c>
    </row>
    <row r="50" spans="1:18" x14ac:dyDescent="0.3">
      <c r="A50" s="6" t="s">
        <v>208</v>
      </c>
      <c r="B50" s="6" t="s">
        <v>209</v>
      </c>
      <c r="C50" s="6" t="s">
        <v>185</v>
      </c>
      <c r="D50" s="6" t="s">
        <v>55</v>
      </c>
      <c r="E50" s="6" t="s">
        <v>32</v>
      </c>
      <c r="F50" s="6" t="s">
        <v>23</v>
      </c>
      <c r="G50" s="6">
        <v>11</v>
      </c>
      <c r="H50" s="6">
        <v>26.05</v>
      </c>
      <c r="I50" s="6">
        <v>286.55</v>
      </c>
      <c r="J50" s="6">
        <v>13.39</v>
      </c>
      <c r="K50" s="6">
        <v>75.16</v>
      </c>
      <c r="L50" s="6" t="s">
        <v>33</v>
      </c>
      <c r="M50" s="6" t="s">
        <v>25</v>
      </c>
      <c r="N50" s="6" t="s">
        <v>98</v>
      </c>
      <c r="P50" t="str">
        <f t="shared" si="0"/>
        <v>Laura</v>
      </c>
      <c r="Q50" t="str">
        <f t="shared" si="1"/>
        <v>Williams</v>
      </c>
      <c r="R50" t="str">
        <f t="shared" si="2"/>
        <v>LaWi50</v>
      </c>
    </row>
    <row r="51" spans="1:18" x14ac:dyDescent="0.3">
      <c r="A51" s="6" t="s">
        <v>210</v>
      </c>
      <c r="B51" s="6" t="s">
        <v>211</v>
      </c>
      <c r="C51" s="6" t="s">
        <v>54</v>
      </c>
      <c r="D51" s="6" t="s">
        <v>31</v>
      </c>
      <c r="E51" s="6" t="s">
        <v>81</v>
      </c>
      <c r="F51" s="6" t="s">
        <v>68</v>
      </c>
      <c r="G51" s="6">
        <v>46</v>
      </c>
      <c r="H51" s="6">
        <v>26.67</v>
      </c>
      <c r="I51" s="6">
        <v>1226.82</v>
      </c>
      <c r="J51" s="6">
        <v>83.55</v>
      </c>
      <c r="K51" s="6">
        <v>430.27</v>
      </c>
      <c r="L51" s="6" t="s">
        <v>24</v>
      </c>
      <c r="M51" s="6" t="s">
        <v>41</v>
      </c>
      <c r="N51" s="6" t="s">
        <v>35</v>
      </c>
      <c r="P51" t="str">
        <f t="shared" si="0"/>
        <v>Emma</v>
      </c>
      <c r="Q51" t="str">
        <f t="shared" si="1"/>
        <v>Johnson</v>
      </c>
      <c r="R51" t="str">
        <f t="shared" si="2"/>
        <v>EmJo51</v>
      </c>
    </row>
    <row r="52" spans="1:18" x14ac:dyDescent="0.3">
      <c r="A52" s="6" t="s">
        <v>212</v>
      </c>
      <c r="B52" s="6" t="s">
        <v>213</v>
      </c>
      <c r="C52" s="6" t="s">
        <v>148</v>
      </c>
      <c r="D52" s="6" t="s">
        <v>31</v>
      </c>
      <c r="E52" s="6" t="s">
        <v>137</v>
      </c>
      <c r="F52" s="6" t="s">
        <v>68</v>
      </c>
      <c r="G52" s="6">
        <v>12</v>
      </c>
      <c r="H52" s="6">
        <v>42.84</v>
      </c>
      <c r="I52" s="6">
        <v>514.08000000000004</v>
      </c>
      <c r="J52" s="6">
        <v>22.74</v>
      </c>
      <c r="K52" s="6">
        <v>155.34</v>
      </c>
      <c r="L52" s="6" t="s">
        <v>48</v>
      </c>
      <c r="M52" s="6" t="s">
        <v>25</v>
      </c>
      <c r="N52" s="6" t="s">
        <v>35</v>
      </c>
      <c r="P52" t="str">
        <f t="shared" si="0"/>
        <v>Sarah</v>
      </c>
      <c r="Q52" t="str">
        <f t="shared" si="1"/>
        <v>Johnson</v>
      </c>
      <c r="R52" t="str">
        <f t="shared" si="2"/>
        <v>SaJo52</v>
      </c>
    </row>
    <row r="53" spans="1:18" x14ac:dyDescent="0.3">
      <c r="A53" s="6" t="s">
        <v>214</v>
      </c>
      <c r="B53" s="6" t="s">
        <v>215</v>
      </c>
      <c r="C53" s="6" t="s">
        <v>216</v>
      </c>
      <c r="D53" s="6" t="s">
        <v>116</v>
      </c>
      <c r="E53" s="6" t="s">
        <v>32</v>
      </c>
      <c r="F53" s="6" t="s">
        <v>23</v>
      </c>
      <c r="G53" s="6">
        <v>18</v>
      </c>
      <c r="H53" s="6">
        <v>30.89</v>
      </c>
      <c r="I53" s="6">
        <v>556.02</v>
      </c>
      <c r="J53" s="6">
        <v>12</v>
      </c>
      <c r="K53" s="6">
        <v>220.02</v>
      </c>
      <c r="L53" s="6" t="s">
        <v>33</v>
      </c>
      <c r="M53" s="6" t="s">
        <v>25</v>
      </c>
      <c r="N53" s="6" t="s">
        <v>76</v>
      </c>
      <c r="P53" t="str">
        <f t="shared" si="0"/>
        <v>Daniel</v>
      </c>
      <c r="Q53" t="str">
        <f t="shared" si="1"/>
        <v>Smith</v>
      </c>
      <c r="R53" t="str">
        <f t="shared" si="2"/>
        <v>DaSm53</v>
      </c>
    </row>
    <row r="54" spans="1:18" x14ac:dyDescent="0.3">
      <c r="A54" s="6" t="s">
        <v>217</v>
      </c>
      <c r="B54" s="6" t="s">
        <v>218</v>
      </c>
      <c r="C54" s="6" t="s">
        <v>219</v>
      </c>
      <c r="D54" s="6" t="s">
        <v>55</v>
      </c>
      <c r="E54" s="6" t="s">
        <v>22</v>
      </c>
      <c r="F54" s="6" t="s">
        <v>23</v>
      </c>
      <c r="G54" s="6">
        <v>21</v>
      </c>
      <c r="H54" s="6">
        <v>52.41</v>
      </c>
      <c r="I54" s="6">
        <v>1100.6099999999999</v>
      </c>
      <c r="J54" s="6">
        <v>81.099999999999994</v>
      </c>
      <c r="K54" s="6">
        <v>284.51</v>
      </c>
      <c r="L54" s="6" t="s">
        <v>48</v>
      </c>
      <c r="M54" s="6" t="s">
        <v>34</v>
      </c>
      <c r="N54" s="6" t="s">
        <v>98</v>
      </c>
      <c r="P54" t="str">
        <f t="shared" si="0"/>
        <v>David</v>
      </c>
      <c r="Q54" t="str">
        <f t="shared" si="1"/>
        <v>Jones</v>
      </c>
      <c r="R54" t="str">
        <f t="shared" si="2"/>
        <v>DaJo54</v>
      </c>
    </row>
    <row r="55" spans="1:18" x14ac:dyDescent="0.3">
      <c r="A55" s="6" t="s">
        <v>220</v>
      </c>
      <c r="B55" s="6" t="s">
        <v>221</v>
      </c>
      <c r="C55" s="6" t="s">
        <v>222</v>
      </c>
      <c r="D55" s="6" t="s">
        <v>206</v>
      </c>
      <c r="E55" s="6" t="s">
        <v>137</v>
      </c>
      <c r="F55" s="6" t="s">
        <v>68</v>
      </c>
      <c r="G55" s="6">
        <v>17</v>
      </c>
      <c r="H55" s="6">
        <v>38.64</v>
      </c>
      <c r="I55" s="6">
        <v>656.88</v>
      </c>
      <c r="J55" s="6">
        <v>13.86</v>
      </c>
      <c r="K55" s="6">
        <v>167.02</v>
      </c>
      <c r="L55" s="6" t="s">
        <v>33</v>
      </c>
      <c r="M55" s="6" t="s">
        <v>25</v>
      </c>
      <c r="N55" s="6" t="s">
        <v>207</v>
      </c>
      <c r="P55" t="str">
        <f t="shared" si="0"/>
        <v>Sarah</v>
      </c>
      <c r="Q55" t="str">
        <f t="shared" si="1"/>
        <v>Brown</v>
      </c>
      <c r="R55" t="str">
        <f t="shared" si="2"/>
        <v>SaBr55</v>
      </c>
    </row>
    <row r="56" spans="1:18" x14ac:dyDescent="0.3">
      <c r="A56" s="6" t="s">
        <v>223</v>
      </c>
      <c r="B56" s="6" t="s">
        <v>224</v>
      </c>
      <c r="C56" s="6" t="s">
        <v>191</v>
      </c>
      <c r="D56" s="6" t="s">
        <v>127</v>
      </c>
      <c r="E56" s="6" t="s">
        <v>32</v>
      </c>
      <c r="F56" s="6" t="s">
        <v>23</v>
      </c>
      <c r="G56" s="6">
        <v>41</v>
      </c>
      <c r="H56" s="6">
        <v>25.79</v>
      </c>
      <c r="I56" s="6">
        <v>1057.3900000000001</v>
      </c>
      <c r="J56" s="6">
        <v>71.22</v>
      </c>
      <c r="K56" s="6">
        <v>248.17</v>
      </c>
      <c r="L56" s="6" t="s">
        <v>33</v>
      </c>
      <c r="M56" s="6" t="s">
        <v>34</v>
      </c>
      <c r="N56" s="6" t="s">
        <v>76</v>
      </c>
      <c r="P56" t="str">
        <f t="shared" si="0"/>
        <v>Michael</v>
      </c>
      <c r="Q56" t="str">
        <f t="shared" si="1"/>
        <v>Smith</v>
      </c>
      <c r="R56" t="str">
        <f t="shared" si="2"/>
        <v>MiSm56</v>
      </c>
    </row>
    <row r="57" spans="1:18" x14ac:dyDescent="0.3">
      <c r="A57" s="6" t="s">
        <v>225</v>
      </c>
      <c r="B57" s="6" t="s">
        <v>226</v>
      </c>
      <c r="C57" s="6" t="s">
        <v>227</v>
      </c>
      <c r="D57" s="6" t="s">
        <v>127</v>
      </c>
      <c r="E57" s="6" t="s">
        <v>137</v>
      </c>
      <c r="F57" s="6" t="s">
        <v>68</v>
      </c>
      <c r="G57" s="6">
        <v>41</v>
      </c>
      <c r="H57" s="6">
        <v>41.13</v>
      </c>
      <c r="I57" s="6">
        <v>1686.33</v>
      </c>
      <c r="J57" s="6">
        <v>80.12</v>
      </c>
      <c r="K57" s="6">
        <v>458.21</v>
      </c>
      <c r="L57" s="6" t="s">
        <v>33</v>
      </c>
      <c r="M57" s="6" t="s">
        <v>41</v>
      </c>
      <c r="N57" s="6" t="s">
        <v>76</v>
      </c>
      <c r="P57" t="str">
        <f t="shared" si="0"/>
        <v>Emma</v>
      </c>
      <c r="Q57" t="str">
        <f t="shared" si="1"/>
        <v>Martinez</v>
      </c>
      <c r="R57" t="str">
        <f t="shared" si="2"/>
        <v>EmMa57</v>
      </c>
    </row>
    <row r="58" spans="1:18" x14ac:dyDescent="0.3">
      <c r="A58" s="6" t="s">
        <v>228</v>
      </c>
      <c r="B58" s="6" t="s">
        <v>229</v>
      </c>
      <c r="C58" s="6" t="s">
        <v>113</v>
      </c>
      <c r="D58" s="6" t="s">
        <v>51</v>
      </c>
      <c r="E58" s="6" t="s">
        <v>56</v>
      </c>
      <c r="F58" s="6" t="s">
        <v>57</v>
      </c>
      <c r="G58" s="6">
        <v>33</v>
      </c>
      <c r="H58" s="6">
        <v>55.67</v>
      </c>
      <c r="I58" s="6">
        <v>1837.11</v>
      </c>
      <c r="J58" s="6">
        <v>144.32</v>
      </c>
      <c r="K58" s="6">
        <v>372.79</v>
      </c>
      <c r="L58" s="6" t="s">
        <v>24</v>
      </c>
      <c r="M58" s="6" t="s">
        <v>25</v>
      </c>
      <c r="N58" s="6" t="s">
        <v>76</v>
      </c>
      <c r="P58" t="str">
        <f t="shared" si="0"/>
        <v>James</v>
      </c>
      <c r="Q58" t="str">
        <f t="shared" si="1"/>
        <v>Davis</v>
      </c>
      <c r="R58" t="str">
        <f t="shared" si="2"/>
        <v>JaDa58</v>
      </c>
    </row>
    <row r="59" spans="1:18" x14ac:dyDescent="0.3">
      <c r="A59" s="6" t="s">
        <v>230</v>
      </c>
      <c r="B59" s="6" t="s">
        <v>231</v>
      </c>
      <c r="C59" s="6" t="s">
        <v>232</v>
      </c>
      <c r="D59" s="6" t="s">
        <v>127</v>
      </c>
      <c r="E59" s="6" t="s">
        <v>56</v>
      </c>
      <c r="F59" s="6" t="s">
        <v>57</v>
      </c>
      <c r="G59" s="6">
        <v>18</v>
      </c>
      <c r="H59" s="6">
        <v>50.87</v>
      </c>
      <c r="I59" s="6">
        <v>915.66</v>
      </c>
      <c r="J59" s="6">
        <v>49.93</v>
      </c>
      <c r="K59" s="6">
        <v>145.72999999999999</v>
      </c>
      <c r="L59" s="6" t="s">
        <v>24</v>
      </c>
      <c r="M59" s="6" t="s">
        <v>34</v>
      </c>
      <c r="N59" s="6" t="s">
        <v>76</v>
      </c>
      <c r="P59" t="str">
        <f t="shared" si="0"/>
        <v>Daniel</v>
      </c>
      <c r="Q59" t="str">
        <f t="shared" si="1"/>
        <v>Johnson</v>
      </c>
      <c r="R59" t="str">
        <f t="shared" si="2"/>
        <v>DaJo59</v>
      </c>
    </row>
    <row r="60" spans="1:18" x14ac:dyDescent="0.3">
      <c r="A60" s="6" t="s">
        <v>233</v>
      </c>
      <c r="B60" s="6" t="s">
        <v>234</v>
      </c>
      <c r="C60" s="6" t="s">
        <v>235</v>
      </c>
      <c r="D60" s="6" t="s">
        <v>141</v>
      </c>
      <c r="E60" s="6" t="s">
        <v>81</v>
      </c>
      <c r="F60" s="6" t="s">
        <v>68</v>
      </c>
      <c r="G60" s="6">
        <v>14</v>
      </c>
      <c r="H60" s="6">
        <v>26.7</v>
      </c>
      <c r="I60" s="6">
        <v>373.8</v>
      </c>
      <c r="J60" s="6">
        <v>11.84</v>
      </c>
      <c r="K60" s="6">
        <v>144.96</v>
      </c>
      <c r="L60" s="6" t="s">
        <v>48</v>
      </c>
      <c r="M60" s="6" t="s">
        <v>25</v>
      </c>
      <c r="N60" s="6" t="s">
        <v>142</v>
      </c>
      <c r="P60" t="str">
        <f t="shared" si="0"/>
        <v>Sophia</v>
      </c>
      <c r="Q60" t="str">
        <f t="shared" si="1"/>
        <v>Jones</v>
      </c>
      <c r="R60" t="str">
        <f t="shared" si="2"/>
        <v>SoJo60</v>
      </c>
    </row>
    <row r="61" spans="1:18" x14ac:dyDescent="0.3">
      <c r="A61" s="6" t="s">
        <v>236</v>
      </c>
      <c r="B61" s="6" t="s">
        <v>237</v>
      </c>
      <c r="C61" s="6" t="s">
        <v>238</v>
      </c>
      <c r="D61" s="6" t="s">
        <v>21</v>
      </c>
      <c r="E61" s="6" t="s">
        <v>32</v>
      </c>
      <c r="F61" s="6" t="s">
        <v>23</v>
      </c>
      <c r="G61" s="6">
        <v>16</v>
      </c>
      <c r="H61" s="6">
        <v>28.96</v>
      </c>
      <c r="I61" s="6">
        <v>463.36</v>
      </c>
      <c r="J61" s="6">
        <v>35.65</v>
      </c>
      <c r="K61" s="6">
        <v>139.71</v>
      </c>
      <c r="L61" s="6" t="s">
        <v>24</v>
      </c>
      <c r="M61" s="6" t="s">
        <v>41</v>
      </c>
      <c r="N61" s="6" t="s">
        <v>98</v>
      </c>
      <c r="P61" t="str">
        <f t="shared" si="0"/>
        <v>Sarah</v>
      </c>
      <c r="Q61" t="str">
        <f t="shared" si="1"/>
        <v>Garcia</v>
      </c>
      <c r="R61" t="str">
        <f t="shared" si="2"/>
        <v>SaGa61</v>
      </c>
    </row>
    <row r="62" spans="1:18" x14ac:dyDescent="0.3">
      <c r="A62" s="6" t="s">
        <v>239</v>
      </c>
      <c r="B62" s="6" t="s">
        <v>240</v>
      </c>
      <c r="C62" s="6" t="s">
        <v>113</v>
      </c>
      <c r="D62" s="6" t="s">
        <v>241</v>
      </c>
      <c r="E62" s="6" t="s">
        <v>32</v>
      </c>
      <c r="F62" s="6" t="s">
        <v>23</v>
      </c>
      <c r="G62" s="6">
        <v>47</v>
      </c>
      <c r="H62" s="6">
        <v>23.03</v>
      </c>
      <c r="I62" s="6">
        <v>1082.4100000000001</v>
      </c>
      <c r="J62" s="6">
        <v>50.12</v>
      </c>
      <c r="K62" s="6">
        <v>186.29</v>
      </c>
      <c r="L62" s="6" t="s">
        <v>48</v>
      </c>
      <c r="M62" s="6" t="s">
        <v>25</v>
      </c>
      <c r="N62" s="6" t="s">
        <v>35</v>
      </c>
      <c r="P62" t="str">
        <f t="shared" si="0"/>
        <v>James</v>
      </c>
      <c r="Q62" t="str">
        <f t="shared" si="1"/>
        <v>Davis</v>
      </c>
      <c r="R62" t="str">
        <f t="shared" si="2"/>
        <v>JaDa62</v>
      </c>
    </row>
    <row r="63" spans="1:18" x14ac:dyDescent="0.3">
      <c r="A63" s="6" t="s">
        <v>242</v>
      </c>
      <c r="B63" s="6" t="s">
        <v>243</v>
      </c>
      <c r="C63" s="6" t="s">
        <v>238</v>
      </c>
      <c r="D63" s="6" t="s">
        <v>206</v>
      </c>
      <c r="E63" s="6" t="s">
        <v>22</v>
      </c>
      <c r="F63" s="6" t="s">
        <v>23</v>
      </c>
      <c r="G63" s="6">
        <v>18</v>
      </c>
      <c r="H63" s="6">
        <v>50.03</v>
      </c>
      <c r="I63" s="6">
        <v>900.54</v>
      </c>
      <c r="J63" s="6">
        <v>68.44</v>
      </c>
      <c r="K63" s="6">
        <v>202.1</v>
      </c>
      <c r="L63" s="6" t="s">
        <v>48</v>
      </c>
      <c r="M63" s="6" t="s">
        <v>25</v>
      </c>
      <c r="N63" s="6" t="s">
        <v>207</v>
      </c>
      <c r="P63" t="str">
        <f t="shared" si="0"/>
        <v>Sarah</v>
      </c>
      <c r="Q63" t="str">
        <f t="shared" si="1"/>
        <v>Garcia</v>
      </c>
      <c r="R63" t="str">
        <f t="shared" si="2"/>
        <v>SaGa63</v>
      </c>
    </row>
    <row r="64" spans="1:18" x14ac:dyDescent="0.3">
      <c r="A64" s="6" t="s">
        <v>244</v>
      </c>
      <c r="B64" s="6" t="s">
        <v>245</v>
      </c>
      <c r="C64" s="6" t="s">
        <v>246</v>
      </c>
      <c r="D64" s="6" t="s">
        <v>31</v>
      </c>
      <c r="E64" s="6" t="s">
        <v>74</v>
      </c>
      <c r="F64" s="6" t="s">
        <v>75</v>
      </c>
      <c r="G64" s="6">
        <v>38</v>
      </c>
      <c r="H64" s="6">
        <v>32.07</v>
      </c>
      <c r="I64" s="6">
        <v>1218.6600000000001</v>
      </c>
      <c r="J64" s="6">
        <v>54.49</v>
      </c>
      <c r="K64" s="6">
        <v>214.17</v>
      </c>
      <c r="L64" s="6" t="s">
        <v>48</v>
      </c>
      <c r="M64" s="6" t="s">
        <v>41</v>
      </c>
      <c r="N64" s="6" t="s">
        <v>35</v>
      </c>
      <c r="P64" t="str">
        <f t="shared" si="0"/>
        <v>Michael</v>
      </c>
      <c r="Q64" t="str">
        <f t="shared" si="1"/>
        <v>Williams</v>
      </c>
      <c r="R64" t="str">
        <f t="shared" si="2"/>
        <v>MiWi64</v>
      </c>
    </row>
    <row r="65" spans="1:18" x14ac:dyDescent="0.3">
      <c r="A65" s="6" t="s">
        <v>247</v>
      </c>
      <c r="B65" s="6" t="s">
        <v>248</v>
      </c>
      <c r="C65" s="6" t="s">
        <v>249</v>
      </c>
      <c r="D65" s="6" t="s">
        <v>45</v>
      </c>
      <c r="E65" s="6" t="s">
        <v>46</v>
      </c>
      <c r="F65" s="6" t="s">
        <v>47</v>
      </c>
      <c r="G65" s="6">
        <v>23</v>
      </c>
      <c r="H65" s="6">
        <v>50.96</v>
      </c>
      <c r="I65" s="6">
        <v>1172.08</v>
      </c>
      <c r="J65" s="6">
        <v>61</v>
      </c>
      <c r="K65" s="6">
        <v>375.08</v>
      </c>
      <c r="L65" s="6" t="s">
        <v>48</v>
      </c>
      <c r="M65" s="6" t="s">
        <v>34</v>
      </c>
      <c r="N65" s="6" t="s">
        <v>49</v>
      </c>
      <c r="P65" t="str">
        <f t="shared" si="0"/>
        <v>James</v>
      </c>
      <c r="Q65" t="str">
        <f t="shared" si="1"/>
        <v>Hernandez</v>
      </c>
      <c r="R65" t="str">
        <f t="shared" si="2"/>
        <v>JaHe65</v>
      </c>
    </row>
    <row r="66" spans="1:18" x14ac:dyDescent="0.3">
      <c r="A66" s="6" t="s">
        <v>250</v>
      </c>
      <c r="B66" s="6" t="s">
        <v>251</v>
      </c>
      <c r="C66" s="6" t="s">
        <v>252</v>
      </c>
      <c r="D66" s="6" t="s">
        <v>127</v>
      </c>
      <c r="E66" s="6" t="s">
        <v>56</v>
      </c>
      <c r="F66" s="6" t="s">
        <v>57</v>
      </c>
      <c r="G66" s="6">
        <v>46</v>
      </c>
      <c r="H66" s="6">
        <v>70.599999999999994</v>
      </c>
      <c r="I66" s="6">
        <v>3247.6</v>
      </c>
      <c r="J66" s="6">
        <v>166.91</v>
      </c>
      <c r="K66" s="6">
        <v>1240.69</v>
      </c>
      <c r="L66" s="6" t="s">
        <v>48</v>
      </c>
      <c r="M66" s="6" t="s">
        <v>34</v>
      </c>
      <c r="N66" s="6" t="s">
        <v>76</v>
      </c>
      <c r="P66" t="str">
        <f t="shared" si="0"/>
        <v>Sarah</v>
      </c>
      <c r="Q66" t="str">
        <f t="shared" si="1"/>
        <v>Williams</v>
      </c>
      <c r="R66" t="str">
        <f t="shared" si="2"/>
        <v>SaWi66</v>
      </c>
    </row>
    <row r="67" spans="1:18" x14ac:dyDescent="0.3">
      <c r="A67" s="6" t="s">
        <v>253</v>
      </c>
      <c r="B67" s="6" t="s">
        <v>254</v>
      </c>
      <c r="C67" s="6" t="s">
        <v>148</v>
      </c>
      <c r="D67" s="6" t="s">
        <v>127</v>
      </c>
      <c r="E67" s="6" t="s">
        <v>56</v>
      </c>
      <c r="F67" s="6" t="s">
        <v>57</v>
      </c>
      <c r="G67" s="6">
        <v>15</v>
      </c>
      <c r="H67" s="6">
        <v>53.36</v>
      </c>
      <c r="I67" s="6">
        <v>800.4</v>
      </c>
      <c r="J67" s="6">
        <v>56.29</v>
      </c>
      <c r="K67" s="6">
        <v>144.11000000000001</v>
      </c>
      <c r="L67" s="6" t="s">
        <v>24</v>
      </c>
      <c r="M67" s="6" t="s">
        <v>25</v>
      </c>
      <c r="N67" s="6" t="s">
        <v>76</v>
      </c>
      <c r="P67" t="str">
        <f t="shared" si="0"/>
        <v>Sarah</v>
      </c>
      <c r="Q67" t="str">
        <f t="shared" si="1"/>
        <v>Johnson</v>
      </c>
      <c r="R67" t="str">
        <f t="shared" si="2"/>
        <v>SaJo67</v>
      </c>
    </row>
    <row r="68" spans="1:18" x14ac:dyDescent="0.3">
      <c r="A68" s="6" t="s">
        <v>255</v>
      </c>
      <c r="B68" s="6" t="s">
        <v>256</v>
      </c>
      <c r="C68" s="6" t="s">
        <v>257</v>
      </c>
      <c r="D68" s="6" t="s">
        <v>206</v>
      </c>
      <c r="E68" s="6" t="s">
        <v>46</v>
      </c>
      <c r="F68" s="6" t="s">
        <v>47</v>
      </c>
      <c r="G68" s="6">
        <v>42</v>
      </c>
      <c r="H68" s="6">
        <v>39.840000000000003</v>
      </c>
      <c r="I68" s="6">
        <v>1673.28</v>
      </c>
      <c r="J68" s="6">
        <v>132.74</v>
      </c>
      <c r="K68" s="6">
        <v>196.54</v>
      </c>
      <c r="L68" s="6" t="s">
        <v>24</v>
      </c>
      <c r="M68" s="6" t="s">
        <v>41</v>
      </c>
      <c r="N68" s="6" t="s">
        <v>207</v>
      </c>
      <c r="P68" t="str">
        <f t="shared" si="0"/>
        <v>Emily</v>
      </c>
      <c r="Q68" t="str">
        <f t="shared" si="1"/>
        <v>Williams</v>
      </c>
      <c r="R68" t="str">
        <f t="shared" si="2"/>
        <v>EmWi68</v>
      </c>
    </row>
    <row r="69" spans="1:18" x14ac:dyDescent="0.3">
      <c r="A69" s="6" t="s">
        <v>258</v>
      </c>
      <c r="B69" s="6" t="s">
        <v>259</v>
      </c>
      <c r="C69" s="6" t="s">
        <v>232</v>
      </c>
      <c r="D69" s="6" t="s">
        <v>127</v>
      </c>
      <c r="E69" s="6" t="s">
        <v>74</v>
      </c>
      <c r="F69" s="6" t="s">
        <v>75</v>
      </c>
      <c r="G69" s="6">
        <v>31</v>
      </c>
      <c r="H69" s="6">
        <v>38.26</v>
      </c>
      <c r="I69" s="6">
        <v>1186.06</v>
      </c>
      <c r="J69" s="6">
        <v>69.33</v>
      </c>
      <c r="K69" s="6">
        <v>341.73</v>
      </c>
      <c r="L69" s="6" t="s">
        <v>33</v>
      </c>
      <c r="M69" s="6" t="s">
        <v>25</v>
      </c>
      <c r="N69" s="6" t="s">
        <v>76</v>
      </c>
      <c r="P69" t="str">
        <f t="shared" si="0"/>
        <v>Daniel</v>
      </c>
      <c r="Q69" t="str">
        <f t="shared" si="1"/>
        <v>Johnson</v>
      </c>
      <c r="R69" t="str">
        <f t="shared" si="2"/>
        <v>DaJo69</v>
      </c>
    </row>
    <row r="70" spans="1:18" x14ac:dyDescent="0.3">
      <c r="A70" s="6" t="s">
        <v>260</v>
      </c>
      <c r="B70" s="6" t="s">
        <v>261</v>
      </c>
      <c r="C70" s="6" t="s">
        <v>235</v>
      </c>
      <c r="D70" s="6" t="s">
        <v>171</v>
      </c>
      <c r="E70" s="6" t="s">
        <v>81</v>
      </c>
      <c r="F70" s="6" t="s">
        <v>68</v>
      </c>
      <c r="G70" s="6">
        <v>2</v>
      </c>
      <c r="H70" s="6">
        <v>23.09</v>
      </c>
      <c r="I70" s="6">
        <v>46.18</v>
      </c>
      <c r="J70" s="6">
        <v>2.52</v>
      </c>
      <c r="K70" s="6">
        <v>12.66</v>
      </c>
      <c r="L70" s="6" t="s">
        <v>33</v>
      </c>
      <c r="M70" s="6" t="s">
        <v>34</v>
      </c>
      <c r="N70" s="6" t="s">
        <v>35</v>
      </c>
      <c r="P70" t="str">
        <f t="shared" si="0"/>
        <v>Sophia</v>
      </c>
      <c r="Q70" t="str">
        <f t="shared" si="1"/>
        <v>Jones</v>
      </c>
      <c r="R70" t="str">
        <f t="shared" si="2"/>
        <v>SoJo70</v>
      </c>
    </row>
    <row r="71" spans="1:18" x14ac:dyDescent="0.3">
      <c r="A71" s="6" t="s">
        <v>262</v>
      </c>
      <c r="B71" s="6" t="s">
        <v>263</v>
      </c>
      <c r="C71" s="6" t="s">
        <v>66</v>
      </c>
      <c r="D71" s="6" t="s">
        <v>123</v>
      </c>
      <c r="E71" s="6" t="s">
        <v>46</v>
      </c>
      <c r="F71" s="6" t="s">
        <v>47</v>
      </c>
      <c r="G71" s="6">
        <v>40</v>
      </c>
      <c r="H71" s="6">
        <v>46.81</v>
      </c>
      <c r="I71" s="6">
        <v>1872.4</v>
      </c>
      <c r="J71" s="6">
        <v>43.01</v>
      </c>
      <c r="K71" s="6">
        <v>549.39</v>
      </c>
      <c r="L71" s="6" t="s">
        <v>24</v>
      </c>
      <c r="M71" s="6" t="s">
        <v>41</v>
      </c>
      <c r="N71" s="6" t="s">
        <v>76</v>
      </c>
      <c r="P71" t="str">
        <f t="shared" ref="P71:P134" si="3">TRIM(MID(C71,FIND(",",C71)+1,LEN(C71)))</f>
        <v>Emma</v>
      </c>
      <c r="Q71" t="str">
        <f t="shared" ref="Q71:Q134" si="4">LEFT(C71,FIND(",",C71)-1)</f>
        <v>Hernandez</v>
      </c>
      <c r="R71" t="str">
        <f t="shared" ref="R71:R134" si="5">LEFT(P71,2)&amp;LEFT(Q71,2)&amp;ROW()</f>
        <v>EmHe71</v>
      </c>
    </row>
    <row r="72" spans="1:18" x14ac:dyDescent="0.3">
      <c r="A72" s="6" t="s">
        <v>264</v>
      </c>
      <c r="B72" s="6" t="s">
        <v>265</v>
      </c>
      <c r="C72" s="6" t="s">
        <v>266</v>
      </c>
      <c r="D72" s="6" t="s">
        <v>51</v>
      </c>
      <c r="E72" s="6" t="s">
        <v>46</v>
      </c>
      <c r="F72" s="6" t="s">
        <v>47</v>
      </c>
      <c r="G72" s="6">
        <v>43</v>
      </c>
      <c r="H72" s="6">
        <v>57.01</v>
      </c>
      <c r="I72" s="6">
        <v>2451.4299999999998</v>
      </c>
      <c r="J72" s="6">
        <v>115.04</v>
      </c>
      <c r="K72" s="6">
        <v>960.39</v>
      </c>
      <c r="L72" s="6" t="s">
        <v>33</v>
      </c>
      <c r="M72" s="6" t="s">
        <v>25</v>
      </c>
      <c r="N72" s="6" t="s">
        <v>76</v>
      </c>
      <c r="P72" t="str">
        <f t="shared" si="3"/>
        <v>Daniel</v>
      </c>
      <c r="Q72" t="str">
        <f t="shared" si="4"/>
        <v>Brown</v>
      </c>
      <c r="R72" t="str">
        <f t="shared" si="5"/>
        <v>DaBr72</v>
      </c>
    </row>
    <row r="73" spans="1:18" x14ac:dyDescent="0.3">
      <c r="A73" s="6" t="s">
        <v>267</v>
      </c>
      <c r="B73" s="6" t="s">
        <v>268</v>
      </c>
      <c r="C73" s="6" t="s">
        <v>269</v>
      </c>
      <c r="D73" s="6" t="s">
        <v>62</v>
      </c>
      <c r="E73" s="6" t="s">
        <v>86</v>
      </c>
      <c r="F73" s="6" t="s">
        <v>47</v>
      </c>
      <c r="G73" s="6">
        <v>15</v>
      </c>
      <c r="H73" s="6">
        <v>22.23</v>
      </c>
      <c r="I73" s="6">
        <v>333.45</v>
      </c>
      <c r="J73" s="6">
        <v>16.89</v>
      </c>
      <c r="K73" s="6">
        <v>125.31</v>
      </c>
      <c r="L73" s="6" t="s">
        <v>48</v>
      </c>
      <c r="M73" s="6" t="s">
        <v>34</v>
      </c>
      <c r="N73" s="6" t="s">
        <v>98</v>
      </c>
      <c r="P73" t="str">
        <f t="shared" si="3"/>
        <v>Daniel</v>
      </c>
      <c r="Q73" t="str">
        <f t="shared" si="4"/>
        <v>Martinez</v>
      </c>
      <c r="R73" t="str">
        <f t="shared" si="5"/>
        <v>DaMa73</v>
      </c>
    </row>
    <row r="74" spans="1:18" x14ac:dyDescent="0.3">
      <c r="A74" s="6" t="s">
        <v>270</v>
      </c>
      <c r="B74" s="6" t="s">
        <v>271</v>
      </c>
      <c r="C74" s="6" t="s">
        <v>272</v>
      </c>
      <c r="D74" s="6" t="s">
        <v>171</v>
      </c>
      <c r="E74" s="6" t="s">
        <v>81</v>
      </c>
      <c r="F74" s="6" t="s">
        <v>68</v>
      </c>
      <c r="G74" s="6">
        <v>15</v>
      </c>
      <c r="H74" s="6">
        <v>19.23</v>
      </c>
      <c r="I74" s="6">
        <v>288.45</v>
      </c>
      <c r="J74" s="6">
        <v>20.22</v>
      </c>
      <c r="K74" s="6">
        <v>35.729999999999997</v>
      </c>
      <c r="L74" s="6" t="s">
        <v>24</v>
      </c>
      <c r="M74" s="6" t="s">
        <v>25</v>
      </c>
      <c r="N74" s="6" t="s">
        <v>35</v>
      </c>
      <c r="P74" t="str">
        <f t="shared" si="3"/>
        <v>Michael</v>
      </c>
      <c r="Q74" t="str">
        <f t="shared" si="4"/>
        <v>Jones</v>
      </c>
      <c r="R74" t="str">
        <f t="shared" si="5"/>
        <v>MiJo74</v>
      </c>
    </row>
    <row r="75" spans="1:18" x14ac:dyDescent="0.3">
      <c r="A75" s="6" t="s">
        <v>273</v>
      </c>
      <c r="B75" s="6" t="s">
        <v>274</v>
      </c>
      <c r="C75" s="6" t="s">
        <v>151</v>
      </c>
      <c r="D75" s="6" t="s">
        <v>37</v>
      </c>
      <c r="E75" s="6" t="s">
        <v>137</v>
      </c>
      <c r="F75" s="6" t="s">
        <v>68</v>
      </c>
      <c r="G75" s="6">
        <v>34</v>
      </c>
      <c r="H75" s="6">
        <v>45.54</v>
      </c>
      <c r="I75" s="6">
        <v>1548.36</v>
      </c>
      <c r="J75" s="6">
        <v>36.76</v>
      </c>
      <c r="K75" s="6">
        <v>559.6</v>
      </c>
      <c r="L75" s="6" t="s">
        <v>24</v>
      </c>
      <c r="M75" s="6" t="s">
        <v>25</v>
      </c>
      <c r="N75" s="6" t="s">
        <v>35</v>
      </c>
      <c r="P75" t="str">
        <f t="shared" si="3"/>
        <v>Sophia</v>
      </c>
      <c r="Q75" t="str">
        <f t="shared" si="4"/>
        <v>Hernandez</v>
      </c>
      <c r="R75" t="str">
        <f t="shared" si="5"/>
        <v>SoHe75</v>
      </c>
    </row>
    <row r="76" spans="1:18" x14ac:dyDescent="0.3">
      <c r="A76" s="6" t="s">
        <v>275</v>
      </c>
      <c r="B76" s="6" t="s">
        <v>276</v>
      </c>
      <c r="C76" s="6" t="s">
        <v>277</v>
      </c>
      <c r="D76" s="6" t="s">
        <v>171</v>
      </c>
      <c r="E76" s="6" t="s">
        <v>56</v>
      </c>
      <c r="F76" s="6" t="s">
        <v>57</v>
      </c>
      <c r="G76" s="6">
        <v>33</v>
      </c>
      <c r="H76" s="6">
        <v>63.88</v>
      </c>
      <c r="I76" s="6">
        <v>2108.04</v>
      </c>
      <c r="J76" s="6">
        <v>111.7</v>
      </c>
      <c r="K76" s="6">
        <v>676.34</v>
      </c>
      <c r="L76" s="6" t="s">
        <v>24</v>
      </c>
      <c r="M76" s="6" t="s">
        <v>41</v>
      </c>
      <c r="N76" s="6" t="s">
        <v>35</v>
      </c>
      <c r="P76" t="str">
        <f t="shared" si="3"/>
        <v>Michael</v>
      </c>
      <c r="Q76" t="str">
        <f t="shared" si="4"/>
        <v>Garcia</v>
      </c>
      <c r="R76" t="str">
        <f t="shared" si="5"/>
        <v>MiGa76</v>
      </c>
    </row>
    <row r="77" spans="1:18" x14ac:dyDescent="0.3">
      <c r="A77" s="6" t="s">
        <v>278</v>
      </c>
      <c r="B77" s="6" t="s">
        <v>279</v>
      </c>
      <c r="C77" s="6" t="s">
        <v>148</v>
      </c>
      <c r="D77" s="6" t="s">
        <v>241</v>
      </c>
      <c r="E77" s="6" t="s">
        <v>32</v>
      </c>
      <c r="F77" s="6" t="s">
        <v>23</v>
      </c>
      <c r="G77" s="6">
        <v>39</v>
      </c>
      <c r="H77" s="6">
        <v>25.38</v>
      </c>
      <c r="I77" s="6">
        <v>989.82</v>
      </c>
      <c r="J77" s="6">
        <v>50.82</v>
      </c>
      <c r="K77" s="6">
        <v>237</v>
      </c>
      <c r="L77" s="6" t="s">
        <v>33</v>
      </c>
      <c r="M77" s="6" t="s">
        <v>34</v>
      </c>
      <c r="N77" s="6" t="s">
        <v>35</v>
      </c>
      <c r="P77" t="str">
        <f t="shared" si="3"/>
        <v>Sarah</v>
      </c>
      <c r="Q77" t="str">
        <f t="shared" si="4"/>
        <v>Johnson</v>
      </c>
      <c r="R77" t="str">
        <f t="shared" si="5"/>
        <v>SaJo77</v>
      </c>
    </row>
    <row r="78" spans="1:18" x14ac:dyDescent="0.3">
      <c r="A78" s="6" t="s">
        <v>280</v>
      </c>
      <c r="B78" s="6" t="s">
        <v>281</v>
      </c>
      <c r="C78" s="6" t="s">
        <v>282</v>
      </c>
      <c r="D78" s="6" t="s">
        <v>70</v>
      </c>
      <c r="E78" s="6" t="s">
        <v>74</v>
      </c>
      <c r="F78" s="6" t="s">
        <v>75</v>
      </c>
      <c r="G78" s="6">
        <v>9</v>
      </c>
      <c r="H78" s="6">
        <v>38.979999999999997</v>
      </c>
      <c r="I78" s="6">
        <v>350.82</v>
      </c>
      <c r="J78" s="6">
        <v>25.56</v>
      </c>
      <c r="K78" s="6">
        <v>100.26</v>
      </c>
      <c r="L78" s="6" t="s">
        <v>24</v>
      </c>
      <c r="M78" s="6" t="s">
        <v>25</v>
      </c>
      <c r="N78" s="6" t="s">
        <v>76</v>
      </c>
      <c r="P78" t="str">
        <f t="shared" si="3"/>
        <v>David</v>
      </c>
      <c r="Q78" t="str">
        <f t="shared" si="4"/>
        <v>Smith</v>
      </c>
      <c r="R78" t="str">
        <f t="shared" si="5"/>
        <v>DaSm78</v>
      </c>
    </row>
    <row r="79" spans="1:18" x14ac:dyDescent="0.3">
      <c r="A79" s="6" t="s">
        <v>283</v>
      </c>
      <c r="B79" s="6" t="s">
        <v>284</v>
      </c>
      <c r="C79" s="6" t="s">
        <v>285</v>
      </c>
      <c r="D79" s="6" t="s">
        <v>141</v>
      </c>
      <c r="E79" s="6" t="s">
        <v>63</v>
      </c>
      <c r="F79" s="6" t="s">
        <v>47</v>
      </c>
      <c r="G79" s="6">
        <v>14</v>
      </c>
      <c r="H79" s="6">
        <v>35.86</v>
      </c>
      <c r="I79" s="6">
        <v>502.04</v>
      </c>
      <c r="J79" s="6">
        <v>40.130000000000003</v>
      </c>
      <c r="K79" s="6">
        <v>181.91</v>
      </c>
      <c r="L79" s="6" t="s">
        <v>48</v>
      </c>
      <c r="M79" s="6" t="s">
        <v>41</v>
      </c>
      <c r="N79" s="6" t="s">
        <v>142</v>
      </c>
      <c r="P79" t="str">
        <f t="shared" si="3"/>
        <v>Sophia</v>
      </c>
      <c r="Q79" t="str">
        <f t="shared" si="4"/>
        <v>Miller</v>
      </c>
      <c r="R79" t="str">
        <f t="shared" si="5"/>
        <v>SoMi79</v>
      </c>
    </row>
    <row r="80" spans="1:18" x14ac:dyDescent="0.3">
      <c r="A80" s="6" t="s">
        <v>286</v>
      </c>
      <c r="B80" s="6" t="s">
        <v>287</v>
      </c>
      <c r="C80" s="6" t="s">
        <v>288</v>
      </c>
      <c r="D80" s="6" t="s">
        <v>127</v>
      </c>
      <c r="E80" s="6" t="s">
        <v>81</v>
      </c>
      <c r="F80" s="6" t="s">
        <v>68</v>
      </c>
      <c r="G80" s="6">
        <v>49</v>
      </c>
      <c r="H80" s="6">
        <v>21.37</v>
      </c>
      <c r="I80" s="6">
        <v>1047.1300000000001</v>
      </c>
      <c r="J80" s="6">
        <v>65.98</v>
      </c>
      <c r="K80" s="6">
        <v>221.65</v>
      </c>
      <c r="L80" s="6" t="s">
        <v>48</v>
      </c>
      <c r="M80" s="6" t="s">
        <v>41</v>
      </c>
      <c r="N80" s="6" t="s">
        <v>76</v>
      </c>
      <c r="P80" t="str">
        <f t="shared" si="3"/>
        <v>Laura</v>
      </c>
      <c r="Q80" t="str">
        <f t="shared" si="4"/>
        <v>Garcia</v>
      </c>
      <c r="R80" t="str">
        <f t="shared" si="5"/>
        <v>LaGa80</v>
      </c>
    </row>
    <row r="81" spans="1:18" x14ac:dyDescent="0.3">
      <c r="A81" s="6" t="s">
        <v>289</v>
      </c>
      <c r="B81" s="6" t="s">
        <v>205</v>
      </c>
      <c r="C81" s="6" t="s">
        <v>290</v>
      </c>
      <c r="D81" s="6" t="s">
        <v>62</v>
      </c>
      <c r="E81" s="6" t="s">
        <v>32</v>
      </c>
      <c r="F81" s="6" t="s">
        <v>23</v>
      </c>
      <c r="G81" s="6">
        <v>42</v>
      </c>
      <c r="H81" s="6">
        <v>24.57</v>
      </c>
      <c r="I81" s="6">
        <v>1031.94</v>
      </c>
      <c r="J81" s="6">
        <v>56.45</v>
      </c>
      <c r="K81" s="6">
        <v>219.49</v>
      </c>
      <c r="L81" s="6" t="s">
        <v>33</v>
      </c>
      <c r="M81" s="6" t="s">
        <v>25</v>
      </c>
      <c r="N81" s="6" t="s">
        <v>98</v>
      </c>
      <c r="P81" t="str">
        <f t="shared" si="3"/>
        <v>Michael</v>
      </c>
      <c r="Q81" t="str">
        <f t="shared" si="4"/>
        <v>Davis</v>
      </c>
      <c r="R81" t="str">
        <f t="shared" si="5"/>
        <v>MiDa81</v>
      </c>
    </row>
    <row r="82" spans="1:18" x14ac:dyDescent="0.3">
      <c r="A82" s="6" t="s">
        <v>291</v>
      </c>
      <c r="B82" s="6" t="s">
        <v>292</v>
      </c>
      <c r="C82" s="6" t="s">
        <v>290</v>
      </c>
      <c r="D82" s="6" t="s">
        <v>116</v>
      </c>
      <c r="E82" s="6" t="s">
        <v>32</v>
      </c>
      <c r="F82" s="6" t="s">
        <v>23</v>
      </c>
      <c r="G82" s="6">
        <v>42</v>
      </c>
      <c r="H82" s="6">
        <v>26.39</v>
      </c>
      <c r="I82" s="6">
        <v>1108.3800000000001</v>
      </c>
      <c r="J82" s="6">
        <v>44.56</v>
      </c>
      <c r="K82" s="6">
        <v>307.82</v>
      </c>
      <c r="L82" s="6" t="s">
        <v>33</v>
      </c>
      <c r="M82" s="6" t="s">
        <v>25</v>
      </c>
      <c r="N82" s="6" t="s">
        <v>76</v>
      </c>
      <c r="P82" t="str">
        <f t="shared" si="3"/>
        <v>Michael</v>
      </c>
      <c r="Q82" t="str">
        <f t="shared" si="4"/>
        <v>Davis</v>
      </c>
      <c r="R82" t="str">
        <f t="shared" si="5"/>
        <v>MiDa82</v>
      </c>
    </row>
    <row r="83" spans="1:18" x14ac:dyDescent="0.3">
      <c r="A83" s="6" t="s">
        <v>293</v>
      </c>
      <c r="B83" s="6" t="s">
        <v>294</v>
      </c>
      <c r="C83" s="6" t="s">
        <v>288</v>
      </c>
      <c r="D83" s="6" t="s">
        <v>55</v>
      </c>
      <c r="E83" s="6" t="s">
        <v>63</v>
      </c>
      <c r="F83" s="6" t="s">
        <v>47</v>
      </c>
      <c r="G83" s="6">
        <v>50</v>
      </c>
      <c r="H83" s="6">
        <v>29.73</v>
      </c>
      <c r="I83" s="6">
        <v>1486.5</v>
      </c>
      <c r="J83" s="6">
        <v>96.77</v>
      </c>
      <c r="K83" s="6">
        <v>389.73</v>
      </c>
      <c r="L83" s="6" t="s">
        <v>48</v>
      </c>
      <c r="M83" s="6" t="s">
        <v>25</v>
      </c>
      <c r="N83" s="6" t="s">
        <v>98</v>
      </c>
      <c r="P83" t="str">
        <f t="shared" si="3"/>
        <v>Laura</v>
      </c>
      <c r="Q83" t="str">
        <f t="shared" si="4"/>
        <v>Garcia</v>
      </c>
      <c r="R83" t="str">
        <f t="shared" si="5"/>
        <v>LaGa83</v>
      </c>
    </row>
    <row r="84" spans="1:18" x14ac:dyDescent="0.3">
      <c r="A84" s="6" t="s">
        <v>295</v>
      </c>
      <c r="B84" s="6" t="s">
        <v>296</v>
      </c>
      <c r="C84" s="6" t="s">
        <v>285</v>
      </c>
      <c r="D84" s="6" t="s">
        <v>51</v>
      </c>
      <c r="E84" s="6" t="s">
        <v>81</v>
      </c>
      <c r="F84" s="6" t="s">
        <v>68</v>
      </c>
      <c r="G84" s="6">
        <v>39</v>
      </c>
      <c r="H84" s="6">
        <v>20.56</v>
      </c>
      <c r="I84" s="6">
        <v>801.84</v>
      </c>
      <c r="J84" s="6">
        <v>43.55</v>
      </c>
      <c r="K84" s="6">
        <v>153.79</v>
      </c>
      <c r="L84" s="6" t="s">
        <v>24</v>
      </c>
      <c r="M84" s="6" t="s">
        <v>25</v>
      </c>
      <c r="N84" s="6" t="s">
        <v>76</v>
      </c>
      <c r="P84" t="str">
        <f t="shared" si="3"/>
        <v>Sophia</v>
      </c>
      <c r="Q84" t="str">
        <f t="shared" si="4"/>
        <v>Miller</v>
      </c>
      <c r="R84" t="str">
        <f t="shared" si="5"/>
        <v>SoMi84</v>
      </c>
    </row>
    <row r="85" spans="1:18" x14ac:dyDescent="0.3">
      <c r="A85" s="6" t="s">
        <v>297</v>
      </c>
      <c r="B85" s="6" t="s">
        <v>298</v>
      </c>
      <c r="C85" s="6" t="s">
        <v>30</v>
      </c>
      <c r="D85" s="6" t="s">
        <v>51</v>
      </c>
      <c r="E85" s="6" t="s">
        <v>81</v>
      </c>
      <c r="F85" s="6" t="s">
        <v>68</v>
      </c>
      <c r="G85" s="6">
        <v>48</v>
      </c>
      <c r="H85" s="6">
        <v>24.36</v>
      </c>
      <c r="I85" s="6">
        <v>1169.28</v>
      </c>
      <c r="J85" s="6">
        <v>81.599999999999994</v>
      </c>
      <c r="K85" s="6">
        <v>343.68</v>
      </c>
      <c r="L85" s="6" t="s">
        <v>48</v>
      </c>
      <c r="M85" s="6" t="s">
        <v>41</v>
      </c>
      <c r="N85" s="6" t="s">
        <v>76</v>
      </c>
      <c r="P85" t="str">
        <f t="shared" si="3"/>
        <v>Laura</v>
      </c>
      <c r="Q85" t="str">
        <f t="shared" si="4"/>
        <v>Brown</v>
      </c>
      <c r="R85" t="str">
        <f t="shared" si="5"/>
        <v>LaBr85</v>
      </c>
    </row>
    <row r="86" spans="1:18" x14ac:dyDescent="0.3">
      <c r="A86" s="6" t="s">
        <v>299</v>
      </c>
      <c r="B86" s="6" t="s">
        <v>300</v>
      </c>
      <c r="C86" s="6" t="s">
        <v>301</v>
      </c>
      <c r="D86" s="6" t="s">
        <v>241</v>
      </c>
      <c r="E86" s="6" t="s">
        <v>67</v>
      </c>
      <c r="F86" s="6" t="s">
        <v>68</v>
      </c>
      <c r="G86" s="6">
        <v>40</v>
      </c>
      <c r="H86" s="6">
        <v>27.95</v>
      </c>
      <c r="I86" s="6">
        <v>1118</v>
      </c>
      <c r="J86" s="6">
        <v>37.590000000000003</v>
      </c>
      <c r="K86" s="6">
        <v>180.41</v>
      </c>
      <c r="L86" s="6" t="s">
        <v>48</v>
      </c>
      <c r="M86" s="6" t="s">
        <v>41</v>
      </c>
      <c r="N86" s="6" t="s">
        <v>35</v>
      </c>
      <c r="P86" t="str">
        <f t="shared" si="3"/>
        <v>Emma</v>
      </c>
      <c r="Q86" t="str">
        <f t="shared" si="4"/>
        <v>Davis</v>
      </c>
      <c r="R86" t="str">
        <f t="shared" si="5"/>
        <v>EmDa86</v>
      </c>
    </row>
    <row r="87" spans="1:18" x14ac:dyDescent="0.3">
      <c r="A87" s="6" t="s">
        <v>302</v>
      </c>
      <c r="B87" s="6" t="s">
        <v>303</v>
      </c>
      <c r="C87" s="6" t="s">
        <v>191</v>
      </c>
      <c r="D87" s="6" t="s">
        <v>70</v>
      </c>
      <c r="E87" s="6" t="s">
        <v>137</v>
      </c>
      <c r="F87" s="6" t="s">
        <v>68</v>
      </c>
      <c r="G87" s="6">
        <v>21</v>
      </c>
      <c r="H87" s="6">
        <v>40.19</v>
      </c>
      <c r="I87" s="6">
        <v>843.99</v>
      </c>
      <c r="J87" s="6">
        <v>32.4</v>
      </c>
      <c r="K87" s="6">
        <v>223.59</v>
      </c>
      <c r="L87" s="6" t="s">
        <v>33</v>
      </c>
      <c r="M87" s="6" t="s">
        <v>34</v>
      </c>
      <c r="N87" s="6" t="s">
        <v>76</v>
      </c>
      <c r="P87" t="str">
        <f t="shared" si="3"/>
        <v>Michael</v>
      </c>
      <c r="Q87" t="str">
        <f t="shared" si="4"/>
        <v>Smith</v>
      </c>
      <c r="R87" t="str">
        <f t="shared" si="5"/>
        <v>MiSm87</v>
      </c>
    </row>
    <row r="88" spans="1:18" x14ac:dyDescent="0.3">
      <c r="A88" s="6" t="s">
        <v>304</v>
      </c>
      <c r="B88" s="6" t="s">
        <v>159</v>
      </c>
      <c r="C88" s="6" t="s">
        <v>145</v>
      </c>
      <c r="D88" s="6" t="s">
        <v>116</v>
      </c>
      <c r="E88" s="6" t="s">
        <v>86</v>
      </c>
      <c r="F88" s="6" t="s">
        <v>47</v>
      </c>
      <c r="G88" s="6">
        <v>26</v>
      </c>
      <c r="H88" s="6">
        <v>16.670000000000002</v>
      </c>
      <c r="I88" s="6">
        <v>433.42</v>
      </c>
      <c r="J88" s="6">
        <v>32.79</v>
      </c>
      <c r="K88" s="6">
        <v>69.13</v>
      </c>
      <c r="L88" s="6" t="s">
        <v>48</v>
      </c>
      <c r="M88" s="6" t="s">
        <v>34</v>
      </c>
      <c r="N88" s="6" t="s">
        <v>76</v>
      </c>
      <c r="P88" t="str">
        <f t="shared" si="3"/>
        <v>David</v>
      </c>
      <c r="Q88" t="str">
        <f t="shared" si="4"/>
        <v>Davis</v>
      </c>
      <c r="R88" t="str">
        <f t="shared" si="5"/>
        <v>DaDa88</v>
      </c>
    </row>
    <row r="89" spans="1:18" x14ac:dyDescent="0.3">
      <c r="A89" s="6" t="s">
        <v>305</v>
      </c>
      <c r="B89" s="6" t="s">
        <v>306</v>
      </c>
      <c r="C89" s="6" t="s">
        <v>307</v>
      </c>
      <c r="D89" s="6" t="s">
        <v>45</v>
      </c>
      <c r="E89" s="6" t="s">
        <v>46</v>
      </c>
      <c r="F89" s="6" t="s">
        <v>47</v>
      </c>
      <c r="G89" s="6">
        <v>28</v>
      </c>
      <c r="H89" s="6">
        <v>39.85</v>
      </c>
      <c r="I89" s="6">
        <v>1115.8</v>
      </c>
      <c r="J89" s="6">
        <v>43.87</v>
      </c>
      <c r="K89" s="6">
        <v>175.93</v>
      </c>
      <c r="L89" s="6" t="s">
        <v>48</v>
      </c>
      <c r="M89" s="6" t="s">
        <v>25</v>
      </c>
      <c r="N89" s="6" t="s">
        <v>49</v>
      </c>
      <c r="P89" t="str">
        <f t="shared" si="3"/>
        <v>Laura</v>
      </c>
      <c r="Q89" t="str">
        <f t="shared" si="4"/>
        <v>Hernandez</v>
      </c>
      <c r="R89" t="str">
        <f t="shared" si="5"/>
        <v>LaHe89</v>
      </c>
    </row>
    <row r="90" spans="1:18" x14ac:dyDescent="0.3">
      <c r="A90" s="6" t="s">
        <v>308</v>
      </c>
      <c r="B90" s="6" t="s">
        <v>309</v>
      </c>
      <c r="C90" s="6" t="s">
        <v>307</v>
      </c>
      <c r="D90" s="6" t="s">
        <v>62</v>
      </c>
      <c r="E90" s="6" t="s">
        <v>86</v>
      </c>
      <c r="F90" s="6" t="s">
        <v>47</v>
      </c>
      <c r="G90" s="6">
        <v>47</v>
      </c>
      <c r="H90" s="6">
        <v>15.97</v>
      </c>
      <c r="I90" s="6">
        <v>750.59</v>
      </c>
      <c r="J90" s="6">
        <v>48.55</v>
      </c>
      <c r="K90" s="6">
        <v>102.79</v>
      </c>
      <c r="L90" s="6" t="s">
        <v>48</v>
      </c>
      <c r="M90" s="6" t="s">
        <v>41</v>
      </c>
      <c r="N90" s="6" t="s">
        <v>98</v>
      </c>
      <c r="P90" t="str">
        <f t="shared" si="3"/>
        <v>Laura</v>
      </c>
      <c r="Q90" t="str">
        <f t="shared" si="4"/>
        <v>Hernandez</v>
      </c>
      <c r="R90" t="str">
        <f t="shared" si="5"/>
        <v>LaHe90</v>
      </c>
    </row>
    <row r="91" spans="1:18" x14ac:dyDescent="0.3">
      <c r="A91" s="6" t="s">
        <v>310</v>
      </c>
      <c r="B91" s="6" t="s">
        <v>311</v>
      </c>
      <c r="C91" s="6" t="s">
        <v>216</v>
      </c>
      <c r="D91" s="6" t="s">
        <v>51</v>
      </c>
      <c r="E91" s="6" t="s">
        <v>56</v>
      </c>
      <c r="F91" s="6" t="s">
        <v>57</v>
      </c>
      <c r="G91" s="6">
        <v>28</v>
      </c>
      <c r="H91" s="6">
        <v>53.6</v>
      </c>
      <c r="I91" s="6">
        <v>1500.8</v>
      </c>
      <c r="J91" s="6">
        <v>68.55</v>
      </c>
      <c r="K91" s="6">
        <v>312.25</v>
      </c>
      <c r="L91" s="6" t="s">
        <v>33</v>
      </c>
      <c r="M91" s="6" t="s">
        <v>34</v>
      </c>
      <c r="N91" s="6" t="s">
        <v>76</v>
      </c>
      <c r="P91" t="str">
        <f t="shared" si="3"/>
        <v>Daniel</v>
      </c>
      <c r="Q91" t="str">
        <f t="shared" si="4"/>
        <v>Smith</v>
      </c>
      <c r="R91" t="str">
        <f t="shared" si="5"/>
        <v>DaSm91</v>
      </c>
    </row>
    <row r="92" spans="1:18" x14ac:dyDescent="0.3">
      <c r="A92" s="6" t="s">
        <v>312</v>
      </c>
      <c r="B92" s="6" t="s">
        <v>263</v>
      </c>
      <c r="C92" s="6" t="s">
        <v>174</v>
      </c>
      <c r="D92" s="6" t="s">
        <v>70</v>
      </c>
      <c r="E92" s="6" t="s">
        <v>137</v>
      </c>
      <c r="F92" s="6" t="s">
        <v>68</v>
      </c>
      <c r="G92" s="6">
        <v>37</v>
      </c>
      <c r="H92" s="6">
        <v>40.049999999999997</v>
      </c>
      <c r="I92" s="6">
        <v>1481.85</v>
      </c>
      <c r="J92" s="6">
        <v>45.6</v>
      </c>
      <c r="K92" s="6">
        <v>400.25</v>
      </c>
      <c r="L92" s="6" t="s">
        <v>24</v>
      </c>
      <c r="M92" s="6" t="s">
        <v>41</v>
      </c>
      <c r="N92" s="6" t="s">
        <v>76</v>
      </c>
      <c r="P92" t="str">
        <f t="shared" si="3"/>
        <v>Sophia</v>
      </c>
      <c r="Q92" t="str">
        <f t="shared" si="4"/>
        <v>Garcia</v>
      </c>
      <c r="R92" t="str">
        <f t="shared" si="5"/>
        <v>SoGa92</v>
      </c>
    </row>
    <row r="93" spans="1:18" x14ac:dyDescent="0.3">
      <c r="A93" s="6" t="s">
        <v>313</v>
      </c>
      <c r="B93" s="6" t="s">
        <v>314</v>
      </c>
      <c r="C93" s="6" t="s">
        <v>222</v>
      </c>
      <c r="D93" s="6" t="s">
        <v>37</v>
      </c>
      <c r="E93" s="6" t="s">
        <v>22</v>
      </c>
      <c r="F93" s="6" t="s">
        <v>23</v>
      </c>
      <c r="G93" s="6">
        <v>45</v>
      </c>
      <c r="H93" s="6">
        <v>43.74</v>
      </c>
      <c r="I93" s="6">
        <v>1968.3</v>
      </c>
      <c r="J93" s="6">
        <v>80.55</v>
      </c>
      <c r="K93" s="6">
        <v>312.75</v>
      </c>
      <c r="L93" s="6" t="s">
        <v>33</v>
      </c>
      <c r="M93" s="6" t="s">
        <v>41</v>
      </c>
      <c r="N93" s="6" t="s">
        <v>35</v>
      </c>
      <c r="P93" t="str">
        <f t="shared" si="3"/>
        <v>Sarah</v>
      </c>
      <c r="Q93" t="str">
        <f t="shared" si="4"/>
        <v>Brown</v>
      </c>
      <c r="R93" t="str">
        <f t="shared" si="5"/>
        <v>SaBr93</v>
      </c>
    </row>
    <row r="94" spans="1:18" x14ac:dyDescent="0.3">
      <c r="A94" s="6" t="s">
        <v>315</v>
      </c>
      <c r="B94" s="6" t="s">
        <v>316</v>
      </c>
      <c r="C94" s="6" t="s">
        <v>317</v>
      </c>
      <c r="D94" s="6" t="s">
        <v>31</v>
      </c>
      <c r="E94" s="6" t="s">
        <v>81</v>
      </c>
      <c r="F94" s="6" t="s">
        <v>68</v>
      </c>
      <c r="G94" s="6">
        <v>9</v>
      </c>
      <c r="H94" s="6">
        <v>24.63</v>
      </c>
      <c r="I94" s="6">
        <v>221.67</v>
      </c>
      <c r="J94" s="6">
        <v>13.53</v>
      </c>
      <c r="K94" s="6">
        <v>68.64</v>
      </c>
      <c r="L94" s="6" t="s">
        <v>33</v>
      </c>
      <c r="M94" s="6" t="s">
        <v>41</v>
      </c>
      <c r="N94" s="6" t="s">
        <v>35</v>
      </c>
      <c r="P94" t="str">
        <f t="shared" si="3"/>
        <v>Emily</v>
      </c>
      <c r="Q94" t="str">
        <f t="shared" si="4"/>
        <v>Davis</v>
      </c>
      <c r="R94" t="str">
        <f t="shared" si="5"/>
        <v>EmDa94</v>
      </c>
    </row>
    <row r="95" spans="1:18" x14ac:dyDescent="0.3">
      <c r="A95" s="6" t="s">
        <v>318</v>
      </c>
      <c r="B95" s="6" t="s">
        <v>319</v>
      </c>
      <c r="C95" s="6" t="s">
        <v>54</v>
      </c>
      <c r="D95" s="6" t="s">
        <v>141</v>
      </c>
      <c r="E95" s="6" t="s">
        <v>81</v>
      </c>
      <c r="F95" s="6" t="s">
        <v>68</v>
      </c>
      <c r="G95" s="6">
        <v>6</v>
      </c>
      <c r="H95" s="6">
        <v>21.79</v>
      </c>
      <c r="I95" s="6">
        <v>130.74</v>
      </c>
      <c r="J95" s="6">
        <v>7.75</v>
      </c>
      <c r="K95" s="6">
        <v>29.99</v>
      </c>
      <c r="L95" s="6" t="s">
        <v>33</v>
      </c>
      <c r="M95" s="6" t="s">
        <v>41</v>
      </c>
      <c r="N95" s="6" t="s">
        <v>142</v>
      </c>
      <c r="P95" t="str">
        <f t="shared" si="3"/>
        <v>Emma</v>
      </c>
      <c r="Q95" t="str">
        <f t="shared" si="4"/>
        <v>Johnson</v>
      </c>
      <c r="R95" t="str">
        <f t="shared" si="5"/>
        <v>EmJo95</v>
      </c>
    </row>
    <row r="96" spans="1:18" x14ac:dyDescent="0.3">
      <c r="A96" s="6" t="s">
        <v>320</v>
      </c>
      <c r="B96" s="6" t="s">
        <v>226</v>
      </c>
      <c r="C96" s="6" t="s">
        <v>321</v>
      </c>
      <c r="D96" s="6" t="s">
        <v>171</v>
      </c>
      <c r="E96" s="6" t="s">
        <v>22</v>
      </c>
      <c r="F96" s="6" t="s">
        <v>23</v>
      </c>
      <c r="G96" s="6">
        <v>23</v>
      </c>
      <c r="H96" s="6">
        <v>58.43</v>
      </c>
      <c r="I96" s="6">
        <v>1343.89</v>
      </c>
      <c r="J96" s="6">
        <v>38.729999999999997</v>
      </c>
      <c r="K96" s="6">
        <v>500.16</v>
      </c>
      <c r="L96" s="6" t="s">
        <v>33</v>
      </c>
      <c r="M96" s="6" t="s">
        <v>25</v>
      </c>
      <c r="N96" s="6" t="s">
        <v>35</v>
      </c>
      <c r="P96" t="str">
        <f t="shared" si="3"/>
        <v>James</v>
      </c>
      <c r="Q96" t="str">
        <f t="shared" si="4"/>
        <v>Johnson</v>
      </c>
      <c r="R96" t="str">
        <f t="shared" si="5"/>
        <v>JaJo96</v>
      </c>
    </row>
    <row r="97" spans="1:18" x14ac:dyDescent="0.3">
      <c r="A97" s="6" t="s">
        <v>322</v>
      </c>
      <c r="B97" s="6" t="s">
        <v>115</v>
      </c>
      <c r="C97" s="6" t="s">
        <v>323</v>
      </c>
      <c r="D97" s="6" t="s">
        <v>116</v>
      </c>
      <c r="E97" s="6" t="s">
        <v>56</v>
      </c>
      <c r="F97" s="6" t="s">
        <v>57</v>
      </c>
      <c r="G97" s="6">
        <v>19</v>
      </c>
      <c r="H97" s="6">
        <v>67.06</v>
      </c>
      <c r="I97" s="6">
        <v>1274.1400000000001</v>
      </c>
      <c r="J97" s="6">
        <v>85.73</v>
      </c>
      <c r="K97" s="6">
        <v>428.41</v>
      </c>
      <c r="L97" s="6" t="s">
        <v>24</v>
      </c>
      <c r="M97" s="6" t="s">
        <v>34</v>
      </c>
      <c r="N97" s="6" t="s">
        <v>76</v>
      </c>
      <c r="P97" t="str">
        <f t="shared" si="3"/>
        <v>Sophia</v>
      </c>
      <c r="Q97" t="str">
        <f t="shared" si="4"/>
        <v>Martinez</v>
      </c>
      <c r="R97" t="str">
        <f t="shared" si="5"/>
        <v>SoMa97</v>
      </c>
    </row>
    <row r="98" spans="1:18" x14ac:dyDescent="0.3">
      <c r="A98" s="6" t="s">
        <v>324</v>
      </c>
      <c r="B98" s="6" t="s">
        <v>325</v>
      </c>
      <c r="C98" s="6" t="s">
        <v>317</v>
      </c>
      <c r="D98" s="6" t="s">
        <v>37</v>
      </c>
      <c r="E98" s="6" t="s">
        <v>32</v>
      </c>
      <c r="F98" s="6" t="s">
        <v>23</v>
      </c>
      <c r="G98" s="6">
        <v>4</v>
      </c>
      <c r="H98" s="6">
        <v>25.13</v>
      </c>
      <c r="I98" s="6">
        <v>100.52</v>
      </c>
      <c r="J98" s="6">
        <v>5.6</v>
      </c>
      <c r="K98" s="6">
        <v>22.92</v>
      </c>
      <c r="L98" s="6" t="s">
        <v>33</v>
      </c>
      <c r="M98" s="6" t="s">
        <v>41</v>
      </c>
      <c r="N98" s="6" t="s">
        <v>35</v>
      </c>
      <c r="P98" t="str">
        <f t="shared" si="3"/>
        <v>Emily</v>
      </c>
      <c r="Q98" t="str">
        <f t="shared" si="4"/>
        <v>Davis</v>
      </c>
      <c r="R98" t="str">
        <f t="shared" si="5"/>
        <v>EmDa98</v>
      </c>
    </row>
    <row r="99" spans="1:18" x14ac:dyDescent="0.3">
      <c r="A99" s="6" t="s">
        <v>326</v>
      </c>
      <c r="B99" s="6" t="s">
        <v>327</v>
      </c>
      <c r="C99" s="6" t="s">
        <v>328</v>
      </c>
      <c r="D99" s="6" t="s">
        <v>37</v>
      </c>
      <c r="E99" s="6" t="s">
        <v>81</v>
      </c>
      <c r="F99" s="6" t="s">
        <v>68</v>
      </c>
      <c r="G99" s="6">
        <v>26</v>
      </c>
      <c r="H99" s="6">
        <v>19.34</v>
      </c>
      <c r="I99" s="6">
        <v>502.84</v>
      </c>
      <c r="J99" s="6">
        <v>26.51</v>
      </c>
      <c r="K99" s="6">
        <v>73.33</v>
      </c>
      <c r="L99" s="6" t="s">
        <v>33</v>
      </c>
      <c r="M99" s="6" t="s">
        <v>25</v>
      </c>
      <c r="N99" s="6" t="s">
        <v>35</v>
      </c>
      <c r="P99" t="str">
        <f t="shared" si="3"/>
        <v>Sarah</v>
      </c>
      <c r="Q99" t="str">
        <f t="shared" si="4"/>
        <v>Miller</v>
      </c>
      <c r="R99" t="str">
        <f t="shared" si="5"/>
        <v>SaMi99</v>
      </c>
    </row>
    <row r="100" spans="1:18" x14ac:dyDescent="0.3">
      <c r="A100" s="6" t="s">
        <v>329</v>
      </c>
      <c r="B100" s="6" t="s">
        <v>330</v>
      </c>
      <c r="C100" s="6" t="s">
        <v>331</v>
      </c>
      <c r="D100" s="6" t="s">
        <v>141</v>
      </c>
      <c r="E100" s="6" t="s">
        <v>63</v>
      </c>
      <c r="F100" s="6" t="s">
        <v>47</v>
      </c>
      <c r="G100" s="6">
        <v>26</v>
      </c>
      <c r="H100" s="6">
        <v>35.81</v>
      </c>
      <c r="I100" s="6">
        <v>931.06</v>
      </c>
      <c r="J100" s="6">
        <v>61.06</v>
      </c>
      <c r="K100" s="6">
        <v>350</v>
      </c>
      <c r="L100" s="6" t="s">
        <v>24</v>
      </c>
      <c r="M100" s="6" t="s">
        <v>25</v>
      </c>
      <c r="N100" s="6" t="s">
        <v>142</v>
      </c>
      <c r="P100" t="str">
        <f t="shared" si="3"/>
        <v>James</v>
      </c>
      <c r="Q100" t="str">
        <f t="shared" si="4"/>
        <v>Williams</v>
      </c>
      <c r="R100" t="str">
        <f t="shared" si="5"/>
        <v>JaWi100</v>
      </c>
    </row>
    <row r="101" spans="1:18" x14ac:dyDescent="0.3">
      <c r="A101" s="6" t="s">
        <v>332</v>
      </c>
      <c r="B101" s="6" t="s">
        <v>333</v>
      </c>
      <c r="C101" s="6" t="s">
        <v>334</v>
      </c>
      <c r="D101" s="6" t="s">
        <v>116</v>
      </c>
      <c r="E101" s="6" t="s">
        <v>67</v>
      </c>
      <c r="F101" s="6" t="s">
        <v>68</v>
      </c>
      <c r="G101" s="6">
        <v>42</v>
      </c>
      <c r="H101" s="6">
        <v>39.950000000000003</v>
      </c>
      <c r="I101" s="6">
        <v>1677.9</v>
      </c>
      <c r="J101" s="6">
        <v>93.95</v>
      </c>
      <c r="K101" s="6">
        <v>638.95000000000005</v>
      </c>
      <c r="L101" s="6" t="s">
        <v>33</v>
      </c>
      <c r="M101" s="6" t="s">
        <v>34</v>
      </c>
      <c r="N101" s="6" t="s">
        <v>76</v>
      </c>
      <c r="P101" t="str">
        <f t="shared" si="3"/>
        <v>Emma</v>
      </c>
      <c r="Q101" t="str">
        <f t="shared" si="4"/>
        <v>Garcia</v>
      </c>
      <c r="R101" t="str">
        <f t="shared" si="5"/>
        <v>EmGa101</v>
      </c>
    </row>
    <row r="102" spans="1:18" x14ac:dyDescent="0.3">
      <c r="A102" s="6" t="s">
        <v>335</v>
      </c>
      <c r="B102" s="6" t="s">
        <v>336</v>
      </c>
      <c r="C102" s="6" t="s">
        <v>145</v>
      </c>
      <c r="D102" s="6" t="s">
        <v>123</v>
      </c>
      <c r="E102" s="6" t="s">
        <v>22</v>
      </c>
      <c r="F102" s="6" t="s">
        <v>23</v>
      </c>
      <c r="G102" s="6">
        <v>38</v>
      </c>
      <c r="H102" s="6">
        <v>49.98</v>
      </c>
      <c r="I102" s="6">
        <v>1899.24</v>
      </c>
      <c r="J102" s="6">
        <v>112.91</v>
      </c>
      <c r="K102" s="6">
        <v>456.33</v>
      </c>
      <c r="L102" s="6" t="s">
        <v>48</v>
      </c>
      <c r="M102" s="6" t="s">
        <v>41</v>
      </c>
      <c r="N102" s="6" t="s">
        <v>76</v>
      </c>
      <c r="P102" t="str">
        <f t="shared" si="3"/>
        <v>David</v>
      </c>
      <c r="Q102" t="str">
        <f t="shared" si="4"/>
        <v>Davis</v>
      </c>
      <c r="R102" t="str">
        <f t="shared" si="5"/>
        <v>DaDa102</v>
      </c>
    </row>
    <row r="103" spans="1:18" x14ac:dyDescent="0.3">
      <c r="A103" s="6" t="s">
        <v>337</v>
      </c>
      <c r="B103" s="6" t="s">
        <v>338</v>
      </c>
      <c r="C103" s="6" t="s">
        <v>191</v>
      </c>
      <c r="D103" s="6" t="s">
        <v>127</v>
      </c>
      <c r="E103" s="6" t="s">
        <v>137</v>
      </c>
      <c r="F103" s="6" t="s">
        <v>68</v>
      </c>
      <c r="G103" s="6">
        <v>1</v>
      </c>
      <c r="H103" s="6">
        <v>45.84</v>
      </c>
      <c r="I103" s="6">
        <v>45.84</v>
      </c>
      <c r="J103" s="6">
        <v>1.26</v>
      </c>
      <c r="K103" s="6">
        <v>16.579999999999998</v>
      </c>
      <c r="L103" s="6" t="s">
        <v>48</v>
      </c>
      <c r="M103" s="6" t="s">
        <v>25</v>
      </c>
      <c r="N103" s="6" t="s">
        <v>76</v>
      </c>
      <c r="P103" t="str">
        <f t="shared" si="3"/>
        <v>Michael</v>
      </c>
      <c r="Q103" t="str">
        <f t="shared" si="4"/>
        <v>Smith</v>
      </c>
      <c r="R103" t="str">
        <f t="shared" si="5"/>
        <v>MiSm103</v>
      </c>
    </row>
    <row r="104" spans="1:18" x14ac:dyDescent="0.3">
      <c r="A104" s="6" t="s">
        <v>339</v>
      </c>
      <c r="B104" s="6" t="s">
        <v>340</v>
      </c>
      <c r="C104" s="6" t="s">
        <v>301</v>
      </c>
      <c r="D104" s="6" t="s">
        <v>206</v>
      </c>
      <c r="E104" s="6" t="s">
        <v>32</v>
      </c>
      <c r="F104" s="6" t="s">
        <v>23</v>
      </c>
      <c r="G104" s="6">
        <v>38</v>
      </c>
      <c r="H104" s="6">
        <v>26.34</v>
      </c>
      <c r="I104" s="6">
        <v>1000.92</v>
      </c>
      <c r="J104" s="6">
        <v>47.88</v>
      </c>
      <c r="K104" s="6">
        <v>269.04000000000002</v>
      </c>
      <c r="L104" s="6" t="s">
        <v>24</v>
      </c>
      <c r="M104" s="6" t="s">
        <v>34</v>
      </c>
      <c r="N104" s="6" t="s">
        <v>207</v>
      </c>
      <c r="P104" t="str">
        <f t="shared" si="3"/>
        <v>Emma</v>
      </c>
      <c r="Q104" t="str">
        <f t="shared" si="4"/>
        <v>Davis</v>
      </c>
      <c r="R104" t="str">
        <f t="shared" si="5"/>
        <v>EmDa104</v>
      </c>
    </row>
    <row r="105" spans="1:18" x14ac:dyDescent="0.3">
      <c r="A105" s="6" t="s">
        <v>341</v>
      </c>
      <c r="B105" s="6" t="s">
        <v>342</v>
      </c>
      <c r="C105" s="6" t="s">
        <v>269</v>
      </c>
      <c r="D105" s="6" t="s">
        <v>171</v>
      </c>
      <c r="E105" s="6" t="s">
        <v>74</v>
      </c>
      <c r="F105" s="6" t="s">
        <v>75</v>
      </c>
      <c r="G105" s="6">
        <v>30</v>
      </c>
      <c r="H105" s="6">
        <v>36.43</v>
      </c>
      <c r="I105" s="6">
        <v>1092.9000000000001</v>
      </c>
      <c r="J105" s="6">
        <v>61.97</v>
      </c>
      <c r="K105" s="6">
        <v>280.93</v>
      </c>
      <c r="L105" s="6" t="s">
        <v>48</v>
      </c>
      <c r="M105" s="6" t="s">
        <v>34</v>
      </c>
      <c r="N105" s="6" t="s">
        <v>35</v>
      </c>
      <c r="P105" t="str">
        <f t="shared" si="3"/>
        <v>Daniel</v>
      </c>
      <c r="Q105" t="str">
        <f t="shared" si="4"/>
        <v>Martinez</v>
      </c>
      <c r="R105" t="str">
        <f t="shared" si="5"/>
        <v>DaMa105</v>
      </c>
    </row>
    <row r="106" spans="1:18" x14ac:dyDescent="0.3">
      <c r="A106" s="6" t="s">
        <v>343</v>
      </c>
      <c r="B106" s="6" t="s">
        <v>344</v>
      </c>
      <c r="C106" s="6" t="s">
        <v>307</v>
      </c>
      <c r="D106" s="6" t="s">
        <v>37</v>
      </c>
      <c r="E106" s="6" t="s">
        <v>86</v>
      </c>
      <c r="F106" s="6" t="s">
        <v>47</v>
      </c>
      <c r="G106" s="6">
        <v>9</v>
      </c>
      <c r="H106" s="6">
        <v>22.27</v>
      </c>
      <c r="I106" s="6">
        <v>200.43</v>
      </c>
      <c r="J106" s="6">
        <v>13.21</v>
      </c>
      <c r="K106" s="6">
        <v>72.47</v>
      </c>
      <c r="L106" s="6" t="s">
        <v>33</v>
      </c>
      <c r="M106" s="6" t="s">
        <v>34</v>
      </c>
      <c r="N106" s="6" t="s">
        <v>35</v>
      </c>
      <c r="P106" t="str">
        <f t="shared" si="3"/>
        <v>Laura</v>
      </c>
      <c r="Q106" t="str">
        <f t="shared" si="4"/>
        <v>Hernandez</v>
      </c>
      <c r="R106" t="str">
        <f t="shared" si="5"/>
        <v>LaHe106</v>
      </c>
    </row>
    <row r="107" spans="1:18" x14ac:dyDescent="0.3">
      <c r="A107" s="6" t="s">
        <v>345</v>
      </c>
      <c r="B107" s="6" t="s">
        <v>115</v>
      </c>
      <c r="C107" s="6" t="s">
        <v>162</v>
      </c>
      <c r="D107" s="6" t="s">
        <v>206</v>
      </c>
      <c r="E107" s="6" t="s">
        <v>81</v>
      </c>
      <c r="F107" s="6" t="s">
        <v>68</v>
      </c>
      <c r="G107" s="6">
        <v>26</v>
      </c>
      <c r="H107" s="6">
        <v>27.65</v>
      </c>
      <c r="I107" s="6">
        <v>718.9</v>
      </c>
      <c r="J107" s="6">
        <v>46.25</v>
      </c>
      <c r="K107" s="6">
        <v>269.64999999999998</v>
      </c>
      <c r="L107" s="6" t="s">
        <v>33</v>
      </c>
      <c r="M107" s="6" t="s">
        <v>41</v>
      </c>
      <c r="N107" s="6" t="s">
        <v>207</v>
      </c>
      <c r="P107" t="str">
        <f t="shared" si="3"/>
        <v>Laura</v>
      </c>
      <c r="Q107" t="str">
        <f t="shared" si="4"/>
        <v>Jones</v>
      </c>
      <c r="R107" t="str">
        <f t="shared" si="5"/>
        <v>LaJo107</v>
      </c>
    </row>
    <row r="108" spans="1:18" x14ac:dyDescent="0.3">
      <c r="A108" s="6" t="s">
        <v>346</v>
      </c>
      <c r="B108" s="6" t="s">
        <v>347</v>
      </c>
      <c r="C108" s="6" t="s">
        <v>301</v>
      </c>
      <c r="D108" s="6" t="s">
        <v>31</v>
      </c>
      <c r="E108" s="6" t="s">
        <v>81</v>
      </c>
      <c r="F108" s="6" t="s">
        <v>68</v>
      </c>
      <c r="G108" s="6">
        <v>23</v>
      </c>
      <c r="H108" s="6">
        <v>22.45</v>
      </c>
      <c r="I108" s="6">
        <v>516.35</v>
      </c>
      <c r="J108" s="6">
        <v>15.68</v>
      </c>
      <c r="K108" s="6">
        <v>144.16999999999999</v>
      </c>
      <c r="L108" s="6" t="s">
        <v>48</v>
      </c>
      <c r="M108" s="6" t="s">
        <v>41</v>
      </c>
      <c r="N108" s="6" t="s">
        <v>35</v>
      </c>
      <c r="P108" t="str">
        <f t="shared" si="3"/>
        <v>Emma</v>
      </c>
      <c r="Q108" t="str">
        <f t="shared" si="4"/>
        <v>Davis</v>
      </c>
      <c r="R108" t="str">
        <f t="shared" si="5"/>
        <v>EmDa108</v>
      </c>
    </row>
    <row r="109" spans="1:18" x14ac:dyDescent="0.3">
      <c r="A109" s="6" t="s">
        <v>348</v>
      </c>
      <c r="B109" s="6" t="s">
        <v>349</v>
      </c>
      <c r="C109" s="6" t="s">
        <v>197</v>
      </c>
      <c r="D109" s="6" t="s">
        <v>31</v>
      </c>
      <c r="E109" s="6" t="s">
        <v>81</v>
      </c>
      <c r="F109" s="6" t="s">
        <v>68</v>
      </c>
      <c r="G109" s="6">
        <v>30</v>
      </c>
      <c r="H109" s="6">
        <v>21.93</v>
      </c>
      <c r="I109" s="6">
        <v>657.9</v>
      </c>
      <c r="J109" s="6">
        <v>24.66</v>
      </c>
      <c r="K109" s="6">
        <v>168.24</v>
      </c>
      <c r="L109" s="6" t="s">
        <v>33</v>
      </c>
      <c r="M109" s="6" t="s">
        <v>25</v>
      </c>
      <c r="N109" s="6" t="s">
        <v>35</v>
      </c>
      <c r="P109" t="str">
        <f t="shared" si="3"/>
        <v>Emily</v>
      </c>
      <c r="Q109" t="str">
        <f t="shared" si="4"/>
        <v>Garcia</v>
      </c>
      <c r="R109" t="str">
        <f t="shared" si="5"/>
        <v>EmGa109</v>
      </c>
    </row>
    <row r="110" spans="1:18" x14ac:dyDescent="0.3">
      <c r="A110" s="6" t="s">
        <v>350</v>
      </c>
      <c r="B110" s="6" t="s">
        <v>351</v>
      </c>
      <c r="C110" s="6" t="s">
        <v>352</v>
      </c>
      <c r="D110" s="6" t="s">
        <v>116</v>
      </c>
      <c r="E110" s="6" t="s">
        <v>86</v>
      </c>
      <c r="F110" s="6" t="s">
        <v>47</v>
      </c>
      <c r="G110" s="6">
        <v>43</v>
      </c>
      <c r="H110" s="6">
        <v>21.92</v>
      </c>
      <c r="I110" s="6">
        <v>942.56</v>
      </c>
      <c r="J110" s="6">
        <v>51.15</v>
      </c>
      <c r="K110" s="6">
        <v>343.16</v>
      </c>
      <c r="L110" s="6" t="s">
        <v>24</v>
      </c>
      <c r="M110" s="6" t="s">
        <v>41</v>
      </c>
      <c r="N110" s="6" t="s">
        <v>76</v>
      </c>
      <c r="P110" t="str">
        <f t="shared" si="3"/>
        <v>David</v>
      </c>
      <c r="Q110" t="str">
        <f t="shared" si="4"/>
        <v>Johnson</v>
      </c>
      <c r="R110" t="str">
        <f t="shared" si="5"/>
        <v>DaJo110</v>
      </c>
    </row>
    <row r="111" spans="1:18" x14ac:dyDescent="0.3">
      <c r="A111" s="6" t="s">
        <v>353</v>
      </c>
      <c r="B111" s="6" t="s">
        <v>354</v>
      </c>
      <c r="C111" s="6" t="s">
        <v>85</v>
      </c>
      <c r="D111" s="6" t="s">
        <v>45</v>
      </c>
      <c r="E111" s="6" t="s">
        <v>56</v>
      </c>
      <c r="F111" s="6" t="s">
        <v>57</v>
      </c>
      <c r="G111" s="6">
        <v>3</v>
      </c>
      <c r="H111" s="6">
        <v>56.21</v>
      </c>
      <c r="I111" s="6">
        <v>168.63</v>
      </c>
      <c r="J111" s="6">
        <v>7.56</v>
      </c>
      <c r="K111" s="6">
        <v>41.07</v>
      </c>
      <c r="L111" s="6" t="s">
        <v>48</v>
      </c>
      <c r="M111" s="6" t="s">
        <v>25</v>
      </c>
      <c r="N111" s="6" t="s">
        <v>49</v>
      </c>
      <c r="P111" t="str">
        <f t="shared" si="3"/>
        <v>Laura</v>
      </c>
      <c r="Q111" t="str">
        <f t="shared" si="4"/>
        <v>Martinez</v>
      </c>
      <c r="R111" t="str">
        <f t="shared" si="5"/>
        <v>LaMa111</v>
      </c>
    </row>
    <row r="112" spans="1:18" x14ac:dyDescent="0.3">
      <c r="A112" s="6" t="s">
        <v>355</v>
      </c>
      <c r="B112" s="6" t="s">
        <v>356</v>
      </c>
      <c r="C112" s="6" t="s">
        <v>20</v>
      </c>
      <c r="D112" s="6" t="s">
        <v>37</v>
      </c>
      <c r="E112" s="6" t="s">
        <v>86</v>
      </c>
      <c r="F112" s="6" t="s">
        <v>47</v>
      </c>
      <c r="G112" s="6">
        <v>33</v>
      </c>
      <c r="H112" s="6">
        <v>15.44</v>
      </c>
      <c r="I112" s="6">
        <v>509.52</v>
      </c>
      <c r="J112" s="6">
        <v>19.7</v>
      </c>
      <c r="K112" s="6">
        <v>69.069999999999993</v>
      </c>
      <c r="L112" s="6" t="s">
        <v>24</v>
      </c>
      <c r="M112" s="6" t="s">
        <v>41</v>
      </c>
      <c r="N112" s="6" t="s">
        <v>35</v>
      </c>
      <c r="P112" t="str">
        <f t="shared" si="3"/>
        <v>Emily</v>
      </c>
      <c r="Q112" t="str">
        <f t="shared" si="4"/>
        <v>Smith</v>
      </c>
      <c r="R112" t="str">
        <f t="shared" si="5"/>
        <v>EmSm112</v>
      </c>
    </row>
    <row r="113" spans="1:18" x14ac:dyDescent="0.3">
      <c r="A113" s="6" t="s">
        <v>357</v>
      </c>
      <c r="B113" s="6" t="s">
        <v>358</v>
      </c>
      <c r="C113" s="6" t="s">
        <v>151</v>
      </c>
      <c r="D113" s="6" t="s">
        <v>141</v>
      </c>
      <c r="E113" s="6" t="s">
        <v>81</v>
      </c>
      <c r="F113" s="6" t="s">
        <v>68</v>
      </c>
      <c r="G113" s="6">
        <v>50</v>
      </c>
      <c r="H113" s="6">
        <v>23.02</v>
      </c>
      <c r="I113" s="6">
        <v>1151</v>
      </c>
      <c r="J113" s="6">
        <v>69.3</v>
      </c>
      <c r="K113" s="6">
        <v>306.7</v>
      </c>
      <c r="L113" s="6" t="s">
        <v>33</v>
      </c>
      <c r="M113" s="6" t="s">
        <v>34</v>
      </c>
      <c r="N113" s="6" t="s">
        <v>142</v>
      </c>
      <c r="P113" t="str">
        <f t="shared" si="3"/>
        <v>Sophia</v>
      </c>
      <c r="Q113" t="str">
        <f t="shared" si="4"/>
        <v>Hernandez</v>
      </c>
      <c r="R113" t="str">
        <f t="shared" si="5"/>
        <v>SoHe113</v>
      </c>
    </row>
    <row r="114" spans="1:18" x14ac:dyDescent="0.3">
      <c r="A114" s="6" t="s">
        <v>359</v>
      </c>
      <c r="B114" s="6" t="s">
        <v>268</v>
      </c>
      <c r="C114" s="6" t="s">
        <v>360</v>
      </c>
      <c r="D114" s="6" t="s">
        <v>45</v>
      </c>
      <c r="E114" s="6" t="s">
        <v>86</v>
      </c>
      <c r="F114" s="6" t="s">
        <v>47</v>
      </c>
      <c r="G114" s="6">
        <v>8</v>
      </c>
      <c r="H114" s="6">
        <v>17.010000000000002</v>
      </c>
      <c r="I114" s="6">
        <v>136.08000000000001</v>
      </c>
      <c r="J114" s="6">
        <v>8.84</v>
      </c>
      <c r="K114" s="6">
        <v>25.24</v>
      </c>
      <c r="L114" s="6" t="s">
        <v>24</v>
      </c>
      <c r="M114" s="6" t="s">
        <v>41</v>
      </c>
      <c r="N114" s="6" t="s">
        <v>49</v>
      </c>
      <c r="P114" t="str">
        <f t="shared" si="3"/>
        <v>Emily</v>
      </c>
      <c r="Q114" t="str">
        <f t="shared" si="4"/>
        <v>Miller</v>
      </c>
      <c r="R114" t="str">
        <f t="shared" si="5"/>
        <v>EmMi114</v>
      </c>
    </row>
    <row r="115" spans="1:18" x14ac:dyDescent="0.3">
      <c r="A115" s="6" t="s">
        <v>361</v>
      </c>
      <c r="B115" s="6" t="s">
        <v>362</v>
      </c>
      <c r="C115" s="6" t="s">
        <v>301</v>
      </c>
      <c r="D115" s="6" t="s">
        <v>171</v>
      </c>
      <c r="E115" s="6" t="s">
        <v>32</v>
      </c>
      <c r="F115" s="6" t="s">
        <v>23</v>
      </c>
      <c r="G115" s="6">
        <v>16</v>
      </c>
      <c r="H115" s="6">
        <v>26.47</v>
      </c>
      <c r="I115" s="6">
        <v>423.52</v>
      </c>
      <c r="J115" s="6">
        <v>15.87</v>
      </c>
      <c r="K115" s="6">
        <v>119.65</v>
      </c>
      <c r="L115" s="6" t="s">
        <v>33</v>
      </c>
      <c r="M115" s="6" t="s">
        <v>25</v>
      </c>
      <c r="N115" s="6" t="s">
        <v>35</v>
      </c>
      <c r="P115" t="str">
        <f t="shared" si="3"/>
        <v>Emma</v>
      </c>
      <c r="Q115" t="str">
        <f t="shared" si="4"/>
        <v>Davis</v>
      </c>
      <c r="R115" t="str">
        <f t="shared" si="5"/>
        <v>EmDa115</v>
      </c>
    </row>
    <row r="116" spans="1:18" x14ac:dyDescent="0.3">
      <c r="A116" s="6" t="s">
        <v>363</v>
      </c>
      <c r="B116" s="6" t="s">
        <v>364</v>
      </c>
      <c r="C116" s="6" t="s">
        <v>272</v>
      </c>
      <c r="D116" s="6" t="s">
        <v>45</v>
      </c>
      <c r="E116" s="6" t="s">
        <v>46</v>
      </c>
      <c r="F116" s="6" t="s">
        <v>47</v>
      </c>
      <c r="G116" s="6">
        <v>32</v>
      </c>
      <c r="H116" s="6">
        <v>43.18</v>
      </c>
      <c r="I116" s="6">
        <v>1381.76</v>
      </c>
      <c r="J116" s="6">
        <v>88.54</v>
      </c>
      <c r="K116" s="6">
        <v>269.22000000000003</v>
      </c>
      <c r="L116" s="6" t="s">
        <v>33</v>
      </c>
      <c r="M116" s="6" t="s">
        <v>41</v>
      </c>
      <c r="N116" s="6" t="s">
        <v>49</v>
      </c>
      <c r="P116" t="str">
        <f t="shared" si="3"/>
        <v>Michael</v>
      </c>
      <c r="Q116" t="str">
        <f t="shared" si="4"/>
        <v>Jones</v>
      </c>
      <c r="R116" t="str">
        <f t="shared" si="5"/>
        <v>MiJo116</v>
      </c>
    </row>
    <row r="117" spans="1:18" x14ac:dyDescent="0.3">
      <c r="A117" s="6" t="s">
        <v>365</v>
      </c>
      <c r="B117" s="6" t="s">
        <v>366</v>
      </c>
      <c r="C117" s="6" t="s">
        <v>177</v>
      </c>
      <c r="D117" s="6" t="s">
        <v>206</v>
      </c>
      <c r="E117" s="6" t="s">
        <v>81</v>
      </c>
      <c r="F117" s="6" t="s">
        <v>68</v>
      </c>
      <c r="G117" s="6">
        <v>29</v>
      </c>
      <c r="H117" s="6">
        <v>18.850000000000001</v>
      </c>
      <c r="I117" s="6">
        <v>546.65</v>
      </c>
      <c r="J117" s="6">
        <v>13.22</v>
      </c>
      <c r="K117" s="6">
        <v>83.93</v>
      </c>
      <c r="L117" s="6" t="s">
        <v>24</v>
      </c>
      <c r="M117" s="6" t="s">
        <v>41</v>
      </c>
      <c r="N117" s="6" t="s">
        <v>207</v>
      </c>
      <c r="P117" t="str">
        <f t="shared" si="3"/>
        <v>Sophia</v>
      </c>
      <c r="Q117" t="str">
        <f t="shared" si="4"/>
        <v>Smith</v>
      </c>
      <c r="R117" t="str">
        <f t="shared" si="5"/>
        <v>SoSm117</v>
      </c>
    </row>
    <row r="118" spans="1:18" x14ac:dyDescent="0.3">
      <c r="A118" s="6" t="s">
        <v>367</v>
      </c>
      <c r="B118" s="6" t="s">
        <v>368</v>
      </c>
      <c r="C118" s="6" t="s">
        <v>369</v>
      </c>
      <c r="D118" s="6" t="s">
        <v>171</v>
      </c>
      <c r="E118" s="6" t="s">
        <v>56</v>
      </c>
      <c r="F118" s="6" t="s">
        <v>57</v>
      </c>
      <c r="G118" s="6">
        <v>16</v>
      </c>
      <c r="H118" s="6">
        <v>64.400000000000006</v>
      </c>
      <c r="I118" s="6">
        <v>1030.4000000000001</v>
      </c>
      <c r="J118" s="6">
        <v>61.72</v>
      </c>
      <c r="K118" s="6">
        <v>328.68</v>
      </c>
      <c r="L118" s="6" t="s">
        <v>33</v>
      </c>
      <c r="M118" s="6" t="s">
        <v>34</v>
      </c>
      <c r="N118" s="6" t="s">
        <v>35</v>
      </c>
      <c r="P118" t="str">
        <f t="shared" si="3"/>
        <v>Emily</v>
      </c>
      <c r="Q118" t="str">
        <f t="shared" si="4"/>
        <v>Martinez</v>
      </c>
      <c r="R118" t="str">
        <f t="shared" si="5"/>
        <v>EmMa118</v>
      </c>
    </row>
    <row r="119" spans="1:18" x14ac:dyDescent="0.3">
      <c r="A119" s="6" t="s">
        <v>370</v>
      </c>
      <c r="B119" s="6" t="s">
        <v>371</v>
      </c>
      <c r="C119" s="6" t="s">
        <v>372</v>
      </c>
      <c r="D119" s="6" t="s">
        <v>116</v>
      </c>
      <c r="E119" s="6" t="s">
        <v>81</v>
      </c>
      <c r="F119" s="6" t="s">
        <v>68</v>
      </c>
      <c r="G119" s="6">
        <v>15</v>
      </c>
      <c r="H119" s="6">
        <v>19.53</v>
      </c>
      <c r="I119" s="6">
        <v>292.95</v>
      </c>
      <c r="J119" s="6">
        <v>7.15</v>
      </c>
      <c r="K119" s="6">
        <v>53.3</v>
      </c>
      <c r="L119" s="6" t="s">
        <v>48</v>
      </c>
      <c r="M119" s="6" t="s">
        <v>34</v>
      </c>
      <c r="N119" s="6" t="s">
        <v>76</v>
      </c>
      <c r="P119" t="str">
        <f t="shared" si="3"/>
        <v>Daniel</v>
      </c>
      <c r="Q119" t="str">
        <f t="shared" si="4"/>
        <v>Hernandez</v>
      </c>
      <c r="R119" t="str">
        <f t="shared" si="5"/>
        <v>DaHe119</v>
      </c>
    </row>
    <row r="120" spans="1:18" x14ac:dyDescent="0.3">
      <c r="A120" s="6" t="s">
        <v>373</v>
      </c>
      <c r="B120" s="6" t="s">
        <v>325</v>
      </c>
      <c r="C120" s="6" t="s">
        <v>182</v>
      </c>
      <c r="D120" s="6" t="s">
        <v>241</v>
      </c>
      <c r="E120" s="6" t="s">
        <v>63</v>
      </c>
      <c r="F120" s="6" t="s">
        <v>47</v>
      </c>
      <c r="G120" s="6">
        <v>36</v>
      </c>
      <c r="H120" s="6">
        <v>26.05</v>
      </c>
      <c r="I120" s="6">
        <v>937.8</v>
      </c>
      <c r="J120" s="6">
        <v>32.799999999999997</v>
      </c>
      <c r="K120" s="6">
        <v>185</v>
      </c>
      <c r="L120" s="6" t="s">
        <v>24</v>
      </c>
      <c r="M120" s="6" t="s">
        <v>41</v>
      </c>
      <c r="N120" s="6" t="s">
        <v>35</v>
      </c>
      <c r="P120" t="str">
        <f t="shared" si="3"/>
        <v>John</v>
      </c>
      <c r="Q120" t="str">
        <f t="shared" si="4"/>
        <v>Hernandez</v>
      </c>
      <c r="R120" t="str">
        <f t="shared" si="5"/>
        <v>JoHe120</v>
      </c>
    </row>
    <row r="121" spans="1:18" x14ac:dyDescent="0.3">
      <c r="A121" s="6" t="s">
        <v>374</v>
      </c>
      <c r="B121" s="6" t="s">
        <v>375</v>
      </c>
      <c r="C121" s="6" t="s">
        <v>73</v>
      </c>
      <c r="D121" s="6" t="s">
        <v>141</v>
      </c>
      <c r="E121" s="6" t="s">
        <v>46</v>
      </c>
      <c r="F121" s="6" t="s">
        <v>47</v>
      </c>
      <c r="G121" s="6">
        <v>26</v>
      </c>
      <c r="H121" s="6">
        <v>47.52</v>
      </c>
      <c r="I121" s="6">
        <v>1235.52</v>
      </c>
      <c r="J121" s="6">
        <v>31.41</v>
      </c>
      <c r="K121" s="6">
        <v>372.11</v>
      </c>
      <c r="L121" s="6" t="s">
        <v>33</v>
      </c>
      <c r="M121" s="6" t="s">
        <v>25</v>
      </c>
      <c r="N121" s="6" t="s">
        <v>142</v>
      </c>
      <c r="P121" t="str">
        <f t="shared" si="3"/>
        <v>John</v>
      </c>
      <c r="Q121" t="str">
        <f t="shared" si="4"/>
        <v>Miller</v>
      </c>
      <c r="R121" t="str">
        <f t="shared" si="5"/>
        <v>JoMi121</v>
      </c>
    </row>
    <row r="122" spans="1:18" x14ac:dyDescent="0.3">
      <c r="A122" s="6" t="s">
        <v>376</v>
      </c>
      <c r="B122" s="6" t="s">
        <v>131</v>
      </c>
      <c r="C122" s="6" t="s">
        <v>334</v>
      </c>
      <c r="D122" s="6" t="s">
        <v>171</v>
      </c>
      <c r="E122" s="6" t="s">
        <v>32</v>
      </c>
      <c r="F122" s="6" t="s">
        <v>23</v>
      </c>
      <c r="G122" s="6">
        <v>38</v>
      </c>
      <c r="H122" s="6">
        <v>26.38</v>
      </c>
      <c r="I122" s="6">
        <v>1002.44</v>
      </c>
      <c r="J122" s="6">
        <v>33.049999999999997</v>
      </c>
      <c r="K122" s="6">
        <v>285.39</v>
      </c>
      <c r="L122" s="6" t="s">
        <v>33</v>
      </c>
      <c r="M122" s="6" t="s">
        <v>25</v>
      </c>
      <c r="N122" s="6" t="s">
        <v>35</v>
      </c>
      <c r="P122" t="str">
        <f t="shared" si="3"/>
        <v>Emma</v>
      </c>
      <c r="Q122" t="str">
        <f t="shared" si="4"/>
        <v>Garcia</v>
      </c>
      <c r="R122" t="str">
        <f t="shared" si="5"/>
        <v>EmGa122</v>
      </c>
    </row>
    <row r="123" spans="1:18" x14ac:dyDescent="0.3">
      <c r="A123" s="6" t="s">
        <v>377</v>
      </c>
      <c r="B123" s="6" t="s">
        <v>327</v>
      </c>
      <c r="C123" s="6" t="s">
        <v>222</v>
      </c>
      <c r="D123" s="6" t="s">
        <v>127</v>
      </c>
      <c r="E123" s="6" t="s">
        <v>86</v>
      </c>
      <c r="F123" s="6" t="s">
        <v>47</v>
      </c>
      <c r="G123" s="6">
        <v>7</v>
      </c>
      <c r="H123" s="6">
        <v>17.66</v>
      </c>
      <c r="I123" s="6">
        <v>123.62</v>
      </c>
      <c r="J123" s="6">
        <v>6.95</v>
      </c>
      <c r="K123" s="6">
        <v>27.42</v>
      </c>
      <c r="L123" s="6" t="s">
        <v>24</v>
      </c>
      <c r="M123" s="6" t="s">
        <v>25</v>
      </c>
      <c r="N123" s="6" t="s">
        <v>76</v>
      </c>
      <c r="P123" t="str">
        <f t="shared" si="3"/>
        <v>Sarah</v>
      </c>
      <c r="Q123" t="str">
        <f t="shared" si="4"/>
        <v>Brown</v>
      </c>
      <c r="R123" t="str">
        <f t="shared" si="5"/>
        <v>SaBr123</v>
      </c>
    </row>
    <row r="124" spans="1:18" x14ac:dyDescent="0.3">
      <c r="A124" s="6" t="s">
        <v>378</v>
      </c>
      <c r="B124" s="6" t="s">
        <v>309</v>
      </c>
      <c r="C124" s="6" t="s">
        <v>227</v>
      </c>
      <c r="D124" s="6" t="s">
        <v>206</v>
      </c>
      <c r="E124" s="6" t="s">
        <v>22</v>
      </c>
      <c r="F124" s="6" t="s">
        <v>23</v>
      </c>
      <c r="G124" s="6">
        <v>26</v>
      </c>
      <c r="H124" s="6">
        <v>51.5</v>
      </c>
      <c r="I124" s="6">
        <v>1339</v>
      </c>
      <c r="J124" s="6">
        <v>92.09</v>
      </c>
      <c r="K124" s="6">
        <v>336.91</v>
      </c>
      <c r="L124" s="6" t="s">
        <v>33</v>
      </c>
      <c r="M124" s="6" t="s">
        <v>34</v>
      </c>
      <c r="N124" s="6" t="s">
        <v>207</v>
      </c>
      <c r="P124" t="str">
        <f t="shared" si="3"/>
        <v>Emma</v>
      </c>
      <c r="Q124" t="str">
        <f t="shared" si="4"/>
        <v>Martinez</v>
      </c>
      <c r="R124" t="str">
        <f t="shared" si="5"/>
        <v>EmMa124</v>
      </c>
    </row>
    <row r="125" spans="1:18" x14ac:dyDescent="0.3">
      <c r="A125" s="6" t="s">
        <v>379</v>
      </c>
      <c r="B125" s="6" t="s">
        <v>380</v>
      </c>
      <c r="C125" s="6" t="s">
        <v>381</v>
      </c>
      <c r="D125" s="6" t="s">
        <v>21</v>
      </c>
      <c r="E125" s="6" t="s">
        <v>81</v>
      </c>
      <c r="F125" s="6" t="s">
        <v>68</v>
      </c>
      <c r="G125" s="6">
        <v>27</v>
      </c>
      <c r="H125" s="6">
        <v>25</v>
      </c>
      <c r="I125" s="6">
        <v>675</v>
      </c>
      <c r="J125" s="6">
        <v>15.49</v>
      </c>
      <c r="K125" s="6">
        <v>241.01</v>
      </c>
      <c r="L125" s="6" t="s">
        <v>33</v>
      </c>
      <c r="M125" s="6" t="s">
        <v>34</v>
      </c>
      <c r="N125" s="6" t="s">
        <v>98</v>
      </c>
      <c r="P125" t="str">
        <f t="shared" si="3"/>
        <v>David</v>
      </c>
      <c r="Q125" t="str">
        <f t="shared" si="4"/>
        <v>Hernandez</v>
      </c>
      <c r="R125" t="str">
        <f t="shared" si="5"/>
        <v>DaHe125</v>
      </c>
    </row>
    <row r="126" spans="1:18" x14ac:dyDescent="0.3">
      <c r="A126" s="6" t="s">
        <v>382</v>
      </c>
      <c r="B126" s="6" t="s">
        <v>383</v>
      </c>
      <c r="C126" s="6" t="s">
        <v>61</v>
      </c>
      <c r="D126" s="6" t="s">
        <v>141</v>
      </c>
      <c r="E126" s="6" t="s">
        <v>86</v>
      </c>
      <c r="F126" s="6" t="s">
        <v>47</v>
      </c>
      <c r="G126" s="6">
        <v>4</v>
      </c>
      <c r="H126" s="6">
        <v>19</v>
      </c>
      <c r="I126" s="6">
        <v>76</v>
      </c>
      <c r="J126" s="6">
        <v>3.78</v>
      </c>
      <c r="K126" s="6">
        <v>21.22</v>
      </c>
      <c r="L126" s="6" t="s">
        <v>33</v>
      </c>
      <c r="M126" s="6" t="s">
        <v>41</v>
      </c>
      <c r="N126" s="6" t="s">
        <v>142</v>
      </c>
      <c r="P126" t="str">
        <f t="shared" si="3"/>
        <v>Michael</v>
      </c>
      <c r="Q126" t="str">
        <f t="shared" si="4"/>
        <v>Johnson</v>
      </c>
      <c r="R126" t="str">
        <f t="shared" si="5"/>
        <v>MiJo126</v>
      </c>
    </row>
    <row r="127" spans="1:18" x14ac:dyDescent="0.3">
      <c r="A127" s="6" t="s">
        <v>384</v>
      </c>
      <c r="B127" s="6" t="s">
        <v>147</v>
      </c>
      <c r="C127" s="6" t="s">
        <v>307</v>
      </c>
      <c r="D127" s="6" t="s">
        <v>55</v>
      </c>
      <c r="E127" s="6" t="s">
        <v>81</v>
      </c>
      <c r="F127" s="6" t="s">
        <v>68</v>
      </c>
      <c r="G127" s="6">
        <v>24</v>
      </c>
      <c r="H127" s="6">
        <v>26.63</v>
      </c>
      <c r="I127" s="6">
        <v>639.12</v>
      </c>
      <c r="J127" s="6">
        <v>31.92</v>
      </c>
      <c r="K127" s="6">
        <v>235.2</v>
      </c>
      <c r="L127" s="6" t="s">
        <v>48</v>
      </c>
      <c r="M127" s="6" t="s">
        <v>41</v>
      </c>
      <c r="N127" s="6" t="s">
        <v>98</v>
      </c>
      <c r="P127" t="str">
        <f t="shared" si="3"/>
        <v>Laura</v>
      </c>
      <c r="Q127" t="str">
        <f t="shared" si="4"/>
        <v>Hernandez</v>
      </c>
      <c r="R127" t="str">
        <f t="shared" si="5"/>
        <v>LaHe127</v>
      </c>
    </row>
    <row r="128" spans="1:18" x14ac:dyDescent="0.3">
      <c r="A128" s="6" t="s">
        <v>385</v>
      </c>
      <c r="B128" s="6" t="s">
        <v>386</v>
      </c>
      <c r="C128" s="6" t="s">
        <v>134</v>
      </c>
      <c r="D128" s="6" t="s">
        <v>116</v>
      </c>
      <c r="E128" s="6" t="s">
        <v>74</v>
      </c>
      <c r="F128" s="6" t="s">
        <v>75</v>
      </c>
      <c r="G128" s="6">
        <v>26</v>
      </c>
      <c r="H128" s="6">
        <v>43.14</v>
      </c>
      <c r="I128" s="6">
        <v>1121.6400000000001</v>
      </c>
      <c r="J128" s="6">
        <v>48.08</v>
      </c>
      <c r="K128" s="6">
        <v>423.56</v>
      </c>
      <c r="L128" s="6" t="s">
        <v>24</v>
      </c>
      <c r="M128" s="6" t="s">
        <v>34</v>
      </c>
      <c r="N128" s="6" t="s">
        <v>76</v>
      </c>
      <c r="P128" t="str">
        <f t="shared" si="3"/>
        <v>Sarah</v>
      </c>
      <c r="Q128" t="str">
        <f t="shared" si="4"/>
        <v>Smith</v>
      </c>
      <c r="R128" t="str">
        <f t="shared" si="5"/>
        <v>SaSm128</v>
      </c>
    </row>
    <row r="129" spans="1:18" x14ac:dyDescent="0.3">
      <c r="A129" s="6" t="s">
        <v>387</v>
      </c>
      <c r="B129" s="6" t="s">
        <v>388</v>
      </c>
      <c r="C129" s="6" t="s">
        <v>317</v>
      </c>
      <c r="D129" s="6" t="s">
        <v>55</v>
      </c>
      <c r="E129" s="6" t="s">
        <v>74</v>
      </c>
      <c r="F129" s="6" t="s">
        <v>75</v>
      </c>
      <c r="G129" s="6">
        <v>39</v>
      </c>
      <c r="H129" s="6">
        <v>30.01</v>
      </c>
      <c r="I129" s="6">
        <v>1170.3900000000001</v>
      </c>
      <c r="J129" s="6">
        <v>60.43</v>
      </c>
      <c r="K129" s="6">
        <v>134.96</v>
      </c>
      <c r="L129" s="6" t="s">
        <v>33</v>
      </c>
      <c r="M129" s="6" t="s">
        <v>25</v>
      </c>
      <c r="N129" s="6" t="s">
        <v>98</v>
      </c>
      <c r="P129" t="str">
        <f t="shared" si="3"/>
        <v>Emily</v>
      </c>
      <c r="Q129" t="str">
        <f t="shared" si="4"/>
        <v>Davis</v>
      </c>
      <c r="R129" t="str">
        <f t="shared" si="5"/>
        <v>EmDa129</v>
      </c>
    </row>
    <row r="130" spans="1:18" x14ac:dyDescent="0.3">
      <c r="A130" s="6" t="s">
        <v>389</v>
      </c>
      <c r="B130" s="6" t="s">
        <v>390</v>
      </c>
      <c r="C130" s="6" t="s">
        <v>391</v>
      </c>
      <c r="D130" s="6" t="s">
        <v>241</v>
      </c>
      <c r="E130" s="6" t="s">
        <v>67</v>
      </c>
      <c r="F130" s="6" t="s">
        <v>68</v>
      </c>
      <c r="G130" s="6">
        <v>5</v>
      </c>
      <c r="H130" s="6">
        <v>31.31</v>
      </c>
      <c r="I130" s="6">
        <v>156.55000000000001</v>
      </c>
      <c r="J130" s="6">
        <v>4.04</v>
      </c>
      <c r="K130" s="6">
        <v>40.01</v>
      </c>
      <c r="L130" s="6" t="s">
        <v>48</v>
      </c>
      <c r="M130" s="6" t="s">
        <v>41</v>
      </c>
      <c r="N130" s="6" t="s">
        <v>35</v>
      </c>
      <c r="P130" t="str">
        <f t="shared" si="3"/>
        <v>John</v>
      </c>
      <c r="Q130" t="str">
        <f t="shared" si="4"/>
        <v>Martinez</v>
      </c>
      <c r="R130" t="str">
        <f t="shared" si="5"/>
        <v>JoMa130</v>
      </c>
    </row>
    <row r="131" spans="1:18" x14ac:dyDescent="0.3">
      <c r="A131" s="6" t="s">
        <v>392</v>
      </c>
      <c r="B131" s="6" t="s">
        <v>393</v>
      </c>
      <c r="C131" s="6" t="s">
        <v>290</v>
      </c>
      <c r="D131" s="6" t="s">
        <v>21</v>
      </c>
      <c r="E131" s="6" t="s">
        <v>137</v>
      </c>
      <c r="F131" s="6" t="s">
        <v>68</v>
      </c>
      <c r="G131" s="6">
        <v>42</v>
      </c>
      <c r="H131" s="6">
        <v>36.950000000000003</v>
      </c>
      <c r="I131" s="6">
        <v>1551.9</v>
      </c>
      <c r="J131" s="6">
        <v>74.260000000000005</v>
      </c>
      <c r="K131" s="6">
        <v>301.64</v>
      </c>
      <c r="L131" s="6" t="s">
        <v>33</v>
      </c>
      <c r="M131" s="6" t="s">
        <v>34</v>
      </c>
      <c r="N131" s="6" t="s">
        <v>98</v>
      </c>
      <c r="P131" t="str">
        <f t="shared" si="3"/>
        <v>Michael</v>
      </c>
      <c r="Q131" t="str">
        <f t="shared" si="4"/>
        <v>Davis</v>
      </c>
      <c r="R131" t="str">
        <f t="shared" si="5"/>
        <v>MiDa131</v>
      </c>
    </row>
    <row r="132" spans="1:18" x14ac:dyDescent="0.3">
      <c r="A132" s="6" t="s">
        <v>394</v>
      </c>
      <c r="B132" s="6" t="s">
        <v>395</v>
      </c>
      <c r="C132" s="6" t="s">
        <v>396</v>
      </c>
      <c r="D132" s="6" t="s">
        <v>116</v>
      </c>
      <c r="E132" s="6" t="s">
        <v>56</v>
      </c>
      <c r="F132" s="6" t="s">
        <v>57</v>
      </c>
      <c r="G132" s="6">
        <v>36</v>
      </c>
      <c r="H132" s="6">
        <v>57.37</v>
      </c>
      <c r="I132" s="6">
        <v>2065.3200000000002</v>
      </c>
      <c r="J132" s="6">
        <v>94.34</v>
      </c>
      <c r="K132" s="6">
        <v>530.98</v>
      </c>
      <c r="L132" s="6" t="s">
        <v>48</v>
      </c>
      <c r="M132" s="6" t="s">
        <v>25</v>
      </c>
      <c r="N132" s="6" t="s">
        <v>76</v>
      </c>
      <c r="P132" t="str">
        <f t="shared" si="3"/>
        <v>David</v>
      </c>
      <c r="Q132" t="str">
        <f t="shared" si="4"/>
        <v>Garcia</v>
      </c>
      <c r="R132" t="str">
        <f t="shared" si="5"/>
        <v>DaGa132</v>
      </c>
    </row>
    <row r="133" spans="1:18" x14ac:dyDescent="0.3">
      <c r="A133" s="6" t="s">
        <v>397</v>
      </c>
      <c r="B133" s="6" t="s">
        <v>398</v>
      </c>
      <c r="C133" s="6" t="s">
        <v>44</v>
      </c>
      <c r="D133" s="6" t="s">
        <v>123</v>
      </c>
      <c r="E133" s="6" t="s">
        <v>137</v>
      </c>
      <c r="F133" s="6" t="s">
        <v>68</v>
      </c>
      <c r="G133" s="6">
        <v>13</v>
      </c>
      <c r="H133" s="6">
        <v>40.18</v>
      </c>
      <c r="I133" s="6">
        <v>522.34</v>
      </c>
      <c r="J133" s="6">
        <v>37.369999999999997</v>
      </c>
      <c r="K133" s="6">
        <v>120.97</v>
      </c>
      <c r="L133" s="6" t="s">
        <v>33</v>
      </c>
      <c r="M133" s="6" t="s">
        <v>41</v>
      </c>
      <c r="N133" s="6" t="s">
        <v>76</v>
      </c>
      <c r="P133" t="str">
        <f t="shared" si="3"/>
        <v>Daniel</v>
      </c>
      <c r="Q133" t="str">
        <f t="shared" si="4"/>
        <v>Miller</v>
      </c>
      <c r="R133" t="str">
        <f t="shared" si="5"/>
        <v>DaMi133</v>
      </c>
    </row>
    <row r="134" spans="1:18" x14ac:dyDescent="0.3">
      <c r="A134" s="6" t="s">
        <v>399</v>
      </c>
      <c r="B134" s="6" t="s">
        <v>400</v>
      </c>
      <c r="C134" s="6" t="s">
        <v>328</v>
      </c>
      <c r="D134" s="6" t="s">
        <v>127</v>
      </c>
      <c r="E134" s="6" t="s">
        <v>46</v>
      </c>
      <c r="F134" s="6" t="s">
        <v>47</v>
      </c>
      <c r="G134" s="6">
        <v>37</v>
      </c>
      <c r="H134" s="6">
        <v>39.299999999999997</v>
      </c>
      <c r="I134" s="6">
        <v>1454.1</v>
      </c>
      <c r="J134" s="6">
        <v>67.08</v>
      </c>
      <c r="K134" s="6">
        <v>203.02</v>
      </c>
      <c r="L134" s="6" t="s">
        <v>48</v>
      </c>
      <c r="M134" s="6" t="s">
        <v>25</v>
      </c>
      <c r="N134" s="6" t="s">
        <v>76</v>
      </c>
      <c r="P134" t="str">
        <f t="shared" si="3"/>
        <v>Sarah</v>
      </c>
      <c r="Q134" t="str">
        <f t="shared" si="4"/>
        <v>Miller</v>
      </c>
      <c r="R134" t="str">
        <f t="shared" si="5"/>
        <v>SaMi134</v>
      </c>
    </row>
    <row r="135" spans="1:18" x14ac:dyDescent="0.3">
      <c r="A135" s="6" t="s">
        <v>401</v>
      </c>
      <c r="B135" s="6" t="s">
        <v>402</v>
      </c>
      <c r="C135" s="6" t="s">
        <v>307</v>
      </c>
      <c r="D135" s="6" t="s">
        <v>55</v>
      </c>
      <c r="E135" s="6" t="s">
        <v>46</v>
      </c>
      <c r="F135" s="6" t="s">
        <v>47</v>
      </c>
      <c r="G135" s="6">
        <v>17</v>
      </c>
      <c r="H135" s="6">
        <v>43.28</v>
      </c>
      <c r="I135" s="6">
        <v>735.76</v>
      </c>
      <c r="J135" s="6">
        <v>50.96</v>
      </c>
      <c r="K135" s="6">
        <v>140.80000000000001</v>
      </c>
      <c r="L135" s="6" t="s">
        <v>33</v>
      </c>
      <c r="M135" s="6" t="s">
        <v>34</v>
      </c>
      <c r="N135" s="6" t="s">
        <v>98</v>
      </c>
      <c r="P135" t="str">
        <f t="shared" ref="P135:P198" si="6">TRIM(MID(C135,FIND(",",C135)+1,LEN(C135)))</f>
        <v>Laura</v>
      </c>
      <c r="Q135" t="str">
        <f t="shared" ref="Q135:Q198" si="7">LEFT(C135,FIND(",",C135)-1)</f>
        <v>Hernandez</v>
      </c>
      <c r="R135" t="str">
        <f t="shared" ref="R135:R198" si="8">LEFT(P135,2)&amp;LEFT(Q135,2)&amp;ROW()</f>
        <v>LaHe135</v>
      </c>
    </row>
    <row r="136" spans="1:18" x14ac:dyDescent="0.3">
      <c r="A136" s="6" t="s">
        <v>403</v>
      </c>
      <c r="B136" s="6" t="s">
        <v>404</v>
      </c>
      <c r="C136" s="6" t="s">
        <v>20</v>
      </c>
      <c r="D136" s="6" t="s">
        <v>123</v>
      </c>
      <c r="E136" s="6" t="s">
        <v>22</v>
      </c>
      <c r="F136" s="6" t="s">
        <v>23</v>
      </c>
      <c r="G136" s="6">
        <v>22</v>
      </c>
      <c r="H136" s="6">
        <v>62.79</v>
      </c>
      <c r="I136" s="6">
        <v>1381.38</v>
      </c>
      <c r="J136" s="6">
        <v>75.84</v>
      </c>
      <c r="K136" s="6">
        <v>535.54</v>
      </c>
      <c r="L136" s="6" t="s">
        <v>48</v>
      </c>
      <c r="M136" s="6" t="s">
        <v>41</v>
      </c>
      <c r="N136" s="6" t="s">
        <v>76</v>
      </c>
      <c r="P136" t="str">
        <f t="shared" si="6"/>
        <v>Emily</v>
      </c>
      <c r="Q136" t="str">
        <f t="shared" si="7"/>
        <v>Smith</v>
      </c>
      <c r="R136" t="str">
        <f t="shared" si="8"/>
        <v>EmSm136</v>
      </c>
    </row>
    <row r="137" spans="1:18" x14ac:dyDescent="0.3">
      <c r="A137" s="6" t="s">
        <v>405</v>
      </c>
      <c r="B137" s="6" t="s">
        <v>406</v>
      </c>
      <c r="C137" s="6" t="s">
        <v>249</v>
      </c>
      <c r="D137" s="6" t="s">
        <v>241</v>
      </c>
      <c r="E137" s="6" t="s">
        <v>56</v>
      </c>
      <c r="F137" s="6" t="s">
        <v>57</v>
      </c>
      <c r="G137" s="6">
        <v>23</v>
      </c>
      <c r="H137" s="6">
        <v>56.76</v>
      </c>
      <c r="I137" s="6">
        <v>1305.48</v>
      </c>
      <c r="J137" s="6">
        <v>62.93</v>
      </c>
      <c r="K137" s="6">
        <v>322.55</v>
      </c>
      <c r="L137" s="6" t="s">
        <v>48</v>
      </c>
      <c r="M137" s="6" t="s">
        <v>41</v>
      </c>
      <c r="N137" s="6" t="s">
        <v>35</v>
      </c>
      <c r="P137" t="str">
        <f t="shared" si="6"/>
        <v>James</v>
      </c>
      <c r="Q137" t="str">
        <f t="shared" si="7"/>
        <v>Hernandez</v>
      </c>
      <c r="R137" t="str">
        <f t="shared" si="8"/>
        <v>JaHe137</v>
      </c>
    </row>
    <row r="138" spans="1:18" x14ac:dyDescent="0.3">
      <c r="A138" s="6" t="s">
        <v>407</v>
      </c>
      <c r="B138" s="6" t="s">
        <v>408</v>
      </c>
      <c r="C138" s="6" t="s">
        <v>40</v>
      </c>
      <c r="D138" s="6" t="s">
        <v>31</v>
      </c>
      <c r="E138" s="6" t="s">
        <v>56</v>
      </c>
      <c r="F138" s="6" t="s">
        <v>57</v>
      </c>
      <c r="G138" s="6">
        <v>22</v>
      </c>
      <c r="H138" s="6">
        <v>60.13</v>
      </c>
      <c r="I138" s="6">
        <v>1322.86</v>
      </c>
      <c r="J138" s="6">
        <v>54.06</v>
      </c>
      <c r="K138" s="6">
        <v>388.8</v>
      </c>
      <c r="L138" s="6" t="s">
        <v>48</v>
      </c>
      <c r="M138" s="6" t="s">
        <v>34</v>
      </c>
      <c r="N138" s="6" t="s">
        <v>35</v>
      </c>
      <c r="P138" t="str">
        <f t="shared" si="6"/>
        <v>John</v>
      </c>
      <c r="Q138" t="str">
        <f t="shared" si="7"/>
        <v>Davis</v>
      </c>
      <c r="R138" t="str">
        <f t="shared" si="8"/>
        <v>JoDa138</v>
      </c>
    </row>
    <row r="139" spans="1:18" x14ac:dyDescent="0.3">
      <c r="A139" s="6" t="s">
        <v>409</v>
      </c>
      <c r="B139" s="6" t="s">
        <v>386</v>
      </c>
      <c r="C139" s="6" t="s">
        <v>410</v>
      </c>
      <c r="D139" s="6" t="s">
        <v>116</v>
      </c>
      <c r="E139" s="6" t="s">
        <v>74</v>
      </c>
      <c r="F139" s="6" t="s">
        <v>75</v>
      </c>
      <c r="G139" s="6">
        <v>21</v>
      </c>
      <c r="H139" s="6">
        <v>40.98</v>
      </c>
      <c r="I139" s="6">
        <v>860.58</v>
      </c>
      <c r="J139" s="6">
        <v>37.01</v>
      </c>
      <c r="K139" s="6">
        <v>298.57</v>
      </c>
      <c r="L139" s="6" t="s">
        <v>24</v>
      </c>
      <c r="M139" s="6" t="s">
        <v>41</v>
      </c>
      <c r="N139" s="6" t="s">
        <v>76</v>
      </c>
      <c r="P139" t="str">
        <f t="shared" si="6"/>
        <v>James</v>
      </c>
      <c r="Q139" t="str">
        <f t="shared" si="7"/>
        <v>Smith</v>
      </c>
      <c r="R139" t="str">
        <f t="shared" si="8"/>
        <v>JaSm139</v>
      </c>
    </row>
    <row r="140" spans="1:18" x14ac:dyDescent="0.3">
      <c r="A140" s="6" t="s">
        <v>411</v>
      </c>
      <c r="B140" s="6" t="s">
        <v>412</v>
      </c>
      <c r="C140" s="6" t="s">
        <v>188</v>
      </c>
      <c r="D140" s="6" t="s">
        <v>45</v>
      </c>
      <c r="E140" s="6" t="s">
        <v>56</v>
      </c>
      <c r="F140" s="6" t="s">
        <v>57</v>
      </c>
      <c r="G140" s="6">
        <v>36</v>
      </c>
      <c r="H140" s="6">
        <v>54.6</v>
      </c>
      <c r="I140" s="6">
        <v>1965.6</v>
      </c>
      <c r="J140" s="6">
        <v>150.34</v>
      </c>
      <c r="K140" s="6">
        <v>375.26</v>
      </c>
      <c r="L140" s="6" t="s">
        <v>33</v>
      </c>
      <c r="M140" s="6" t="s">
        <v>25</v>
      </c>
      <c r="N140" s="6" t="s">
        <v>49</v>
      </c>
      <c r="P140" t="str">
        <f t="shared" si="6"/>
        <v>David</v>
      </c>
      <c r="Q140" t="str">
        <f t="shared" si="7"/>
        <v>Miller</v>
      </c>
      <c r="R140" t="str">
        <f t="shared" si="8"/>
        <v>DaMi140</v>
      </c>
    </row>
    <row r="141" spans="1:18" x14ac:dyDescent="0.3">
      <c r="A141" s="6" t="s">
        <v>413</v>
      </c>
      <c r="B141" s="6" t="s">
        <v>414</v>
      </c>
      <c r="C141" s="6" t="s">
        <v>360</v>
      </c>
      <c r="D141" s="6" t="s">
        <v>37</v>
      </c>
      <c r="E141" s="6" t="s">
        <v>81</v>
      </c>
      <c r="F141" s="6" t="s">
        <v>68</v>
      </c>
      <c r="G141" s="6">
        <v>1</v>
      </c>
      <c r="H141" s="6">
        <v>27.49</v>
      </c>
      <c r="I141" s="6">
        <v>27.49</v>
      </c>
      <c r="J141" s="6">
        <v>0.63</v>
      </c>
      <c r="K141" s="6">
        <v>11.36</v>
      </c>
      <c r="L141" s="6" t="s">
        <v>33</v>
      </c>
      <c r="M141" s="6" t="s">
        <v>41</v>
      </c>
      <c r="N141" s="6" t="s">
        <v>35</v>
      </c>
      <c r="P141" t="str">
        <f t="shared" si="6"/>
        <v>Emily</v>
      </c>
      <c r="Q141" t="str">
        <f t="shared" si="7"/>
        <v>Miller</v>
      </c>
      <c r="R141" t="str">
        <f t="shared" si="8"/>
        <v>EmMi141</v>
      </c>
    </row>
    <row r="142" spans="1:18" x14ac:dyDescent="0.3">
      <c r="A142" s="6" t="s">
        <v>415</v>
      </c>
      <c r="B142" s="6" t="s">
        <v>416</v>
      </c>
      <c r="C142" s="6" t="s">
        <v>417</v>
      </c>
      <c r="D142" s="6" t="s">
        <v>116</v>
      </c>
      <c r="E142" s="6" t="s">
        <v>46</v>
      </c>
      <c r="F142" s="6" t="s">
        <v>47</v>
      </c>
      <c r="G142" s="6">
        <v>50</v>
      </c>
      <c r="H142" s="6">
        <v>41.11</v>
      </c>
      <c r="I142" s="6">
        <v>2055.5</v>
      </c>
      <c r="J142" s="6">
        <v>95.61</v>
      </c>
      <c r="K142" s="6">
        <v>359.89</v>
      </c>
      <c r="L142" s="6" t="s">
        <v>48</v>
      </c>
      <c r="M142" s="6" t="s">
        <v>34</v>
      </c>
      <c r="N142" s="6" t="s">
        <v>76</v>
      </c>
      <c r="P142" t="str">
        <f t="shared" si="6"/>
        <v>Emily</v>
      </c>
      <c r="Q142" t="str">
        <f t="shared" si="7"/>
        <v>Brown</v>
      </c>
      <c r="R142" t="str">
        <f t="shared" si="8"/>
        <v>EmBr142</v>
      </c>
    </row>
    <row r="143" spans="1:18" x14ac:dyDescent="0.3">
      <c r="A143" s="6" t="s">
        <v>418</v>
      </c>
      <c r="B143" s="6" t="s">
        <v>419</v>
      </c>
      <c r="C143" s="6" t="s">
        <v>191</v>
      </c>
      <c r="D143" s="6" t="s">
        <v>51</v>
      </c>
      <c r="E143" s="6" t="s">
        <v>81</v>
      </c>
      <c r="F143" s="6" t="s">
        <v>68</v>
      </c>
      <c r="G143" s="6">
        <v>18</v>
      </c>
      <c r="H143" s="6">
        <v>25.54</v>
      </c>
      <c r="I143" s="6">
        <v>459.72</v>
      </c>
      <c r="J143" s="6">
        <v>27.02</v>
      </c>
      <c r="K143" s="6">
        <v>153.69999999999999</v>
      </c>
      <c r="L143" s="6" t="s">
        <v>33</v>
      </c>
      <c r="M143" s="6" t="s">
        <v>25</v>
      </c>
      <c r="N143" s="6" t="s">
        <v>76</v>
      </c>
      <c r="P143" t="str">
        <f t="shared" si="6"/>
        <v>Michael</v>
      </c>
      <c r="Q143" t="str">
        <f t="shared" si="7"/>
        <v>Smith</v>
      </c>
      <c r="R143" t="str">
        <f t="shared" si="8"/>
        <v>MiSm143</v>
      </c>
    </row>
    <row r="144" spans="1:18" x14ac:dyDescent="0.3">
      <c r="A144" s="6" t="s">
        <v>420</v>
      </c>
      <c r="B144" s="6" t="s">
        <v>421</v>
      </c>
      <c r="C144" s="6" t="s">
        <v>369</v>
      </c>
      <c r="D144" s="6" t="s">
        <v>127</v>
      </c>
      <c r="E144" s="6" t="s">
        <v>137</v>
      </c>
      <c r="F144" s="6" t="s">
        <v>68</v>
      </c>
      <c r="G144" s="6">
        <v>4</v>
      </c>
      <c r="H144" s="6">
        <v>47.52</v>
      </c>
      <c r="I144" s="6">
        <v>190.08</v>
      </c>
      <c r="J144" s="6">
        <v>10.23</v>
      </c>
      <c r="K144" s="6">
        <v>67.849999999999994</v>
      </c>
      <c r="L144" s="6" t="s">
        <v>24</v>
      </c>
      <c r="M144" s="6" t="s">
        <v>25</v>
      </c>
      <c r="N144" s="6" t="s">
        <v>76</v>
      </c>
      <c r="P144" t="str">
        <f t="shared" si="6"/>
        <v>Emily</v>
      </c>
      <c r="Q144" t="str">
        <f t="shared" si="7"/>
        <v>Martinez</v>
      </c>
      <c r="R144" t="str">
        <f t="shared" si="8"/>
        <v>EmMa144</v>
      </c>
    </row>
    <row r="145" spans="1:18" x14ac:dyDescent="0.3">
      <c r="A145" s="6" t="s">
        <v>422</v>
      </c>
      <c r="B145" s="6" t="s">
        <v>423</v>
      </c>
      <c r="C145" s="6" t="s">
        <v>272</v>
      </c>
      <c r="D145" s="6" t="s">
        <v>37</v>
      </c>
      <c r="E145" s="6" t="s">
        <v>74</v>
      </c>
      <c r="F145" s="6" t="s">
        <v>75</v>
      </c>
      <c r="G145" s="6">
        <v>29</v>
      </c>
      <c r="H145" s="6">
        <v>30.48</v>
      </c>
      <c r="I145" s="6">
        <v>883.92</v>
      </c>
      <c r="J145" s="6">
        <v>33.15</v>
      </c>
      <c r="K145" s="6">
        <v>125.77</v>
      </c>
      <c r="L145" s="6" t="s">
        <v>48</v>
      </c>
      <c r="M145" s="6" t="s">
        <v>25</v>
      </c>
      <c r="N145" s="6" t="s">
        <v>35</v>
      </c>
      <c r="P145" t="str">
        <f t="shared" si="6"/>
        <v>Michael</v>
      </c>
      <c r="Q145" t="str">
        <f t="shared" si="7"/>
        <v>Jones</v>
      </c>
      <c r="R145" t="str">
        <f t="shared" si="8"/>
        <v>MiJo145</v>
      </c>
    </row>
    <row r="146" spans="1:18" x14ac:dyDescent="0.3">
      <c r="A146" s="6" t="s">
        <v>424</v>
      </c>
      <c r="B146" s="6" t="s">
        <v>256</v>
      </c>
      <c r="C146" s="6" t="s">
        <v>269</v>
      </c>
      <c r="D146" s="6" t="s">
        <v>141</v>
      </c>
      <c r="E146" s="6" t="s">
        <v>56</v>
      </c>
      <c r="F146" s="6" t="s">
        <v>57</v>
      </c>
      <c r="G146" s="6">
        <v>27</v>
      </c>
      <c r="H146" s="6">
        <v>50.39</v>
      </c>
      <c r="I146" s="6">
        <v>1360.53</v>
      </c>
      <c r="J146" s="6">
        <v>106.4</v>
      </c>
      <c r="K146" s="6">
        <v>174.13</v>
      </c>
      <c r="L146" s="6" t="s">
        <v>33</v>
      </c>
      <c r="M146" s="6" t="s">
        <v>34</v>
      </c>
      <c r="N146" s="6" t="s">
        <v>142</v>
      </c>
      <c r="P146" t="str">
        <f t="shared" si="6"/>
        <v>Daniel</v>
      </c>
      <c r="Q146" t="str">
        <f t="shared" si="7"/>
        <v>Martinez</v>
      </c>
      <c r="R146" t="str">
        <f t="shared" si="8"/>
        <v>DaMa146</v>
      </c>
    </row>
    <row r="147" spans="1:18" x14ac:dyDescent="0.3">
      <c r="A147" s="6" t="s">
        <v>425</v>
      </c>
      <c r="B147" s="6" t="s">
        <v>426</v>
      </c>
      <c r="C147" s="6" t="s">
        <v>232</v>
      </c>
      <c r="D147" s="6" t="s">
        <v>241</v>
      </c>
      <c r="E147" s="6" t="s">
        <v>74</v>
      </c>
      <c r="F147" s="6" t="s">
        <v>75</v>
      </c>
      <c r="G147" s="6">
        <v>34</v>
      </c>
      <c r="H147" s="6">
        <v>37.68</v>
      </c>
      <c r="I147" s="6">
        <v>1281.1199999999999</v>
      </c>
      <c r="J147" s="6">
        <v>54.86</v>
      </c>
      <c r="K147" s="6">
        <v>376.26</v>
      </c>
      <c r="L147" s="6" t="s">
        <v>48</v>
      </c>
      <c r="M147" s="6" t="s">
        <v>25</v>
      </c>
      <c r="N147" s="6" t="s">
        <v>35</v>
      </c>
      <c r="P147" t="str">
        <f t="shared" si="6"/>
        <v>Daniel</v>
      </c>
      <c r="Q147" t="str">
        <f t="shared" si="7"/>
        <v>Johnson</v>
      </c>
      <c r="R147" t="str">
        <f t="shared" si="8"/>
        <v>DaJo147</v>
      </c>
    </row>
    <row r="148" spans="1:18" x14ac:dyDescent="0.3">
      <c r="A148" s="6" t="s">
        <v>427</v>
      </c>
      <c r="B148" s="6" t="s">
        <v>109</v>
      </c>
      <c r="C148" s="6" t="s">
        <v>428</v>
      </c>
      <c r="D148" s="6" t="s">
        <v>127</v>
      </c>
      <c r="E148" s="6" t="s">
        <v>74</v>
      </c>
      <c r="F148" s="6" t="s">
        <v>75</v>
      </c>
      <c r="G148" s="6">
        <v>3</v>
      </c>
      <c r="H148" s="6">
        <v>39.32</v>
      </c>
      <c r="I148" s="6">
        <v>117.96</v>
      </c>
      <c r="J148" s="6">
        <v>6.97</v>
      </c>
      <c r="K148" s="6">
        <v>35.99</v>
      </c>
      <c r="L148" s="6" t="s">
        <v>33</v>
      </c>
      <c r="M148" s="6" t="s">
        <v>34</v>
      </c>
      <c r="N148" s="6" t="s">
        <v>76</v>
      </c>
      <c r="P148" t="str">
        <f t="shared" si="6"/>
        <v>James</v>
      </c>
      <c r="Q148" t="str">
        <f t="shared" si="7"/>
        <v>Brown</v>
      </c>
      <c r="R148" t="str">
        <f t="shared" si="8"/>
        <v>JaBr148</v>
      </c>
    </row>
    <row r="149" spans="1:18" x14ac:dyDescent="0.3">
      <c r="A149" s="6" t="s">
        <v>429</v>
      </c>
      <c r="B149" s="6" t="s">
        <v>390</v>
      </c>
      <c r="C149" s="6" t="s">
        <v>372</v>
      </c>
      <c r="D149" s="6" t="s">
        <v>55</v>
      </c>
      <c r="E149" s="6" t="s">
        <v>86</v>
      </c>
      <c r="F149" s="6" t="s">
        <v>47</v>
      </c>
      <c r="G149" s="6">
        <v>24</v>
      </c>
      <c r="H149" s="6">
        <v>18</v>
      </c>
      <c r="I149" s="6">
        <v>432</v>
      </c>
      <c r="J149" s="6">
        <v>22.68</v>
      </c>
      <c r="K149" s="6">
        <v>103.32</v>
      </c>
      <c r="L149" s="6" t="s">
        <v>24</v>
      </c>
      <c r="M149" s="6" t="s">
        <v>41</v>
      </c>
      <c r="N149" s="6" t="s">
        <v>98</v>
      </c>
      <c r="P149" t="str">
        <f t="shared" si="6"/>
        <v>Daniel</v>
      </c>
      <c r="Q149" t="str">
        <f t="shared" si="7"/>
        <v>Hernandez</v>
      </c>
      <c r="R149" t="str">
        <f t="shared" si="8"/>
        <v>DaHe149</v>
      </c>
    </row>
    <row r="150" spans="1:18" x14ac:dyDescent="0.3">
      <c r="A150" s="6" t="s">
        <v>430</v>
      </c>
      <c r="B150" s="6" t="s">
        <v>431</v>
      </c>
      <c r="C150" s="6" t="s">
        <v>162</v>
      </c>
      <c r="D150" s="6" t="s">
        <v>31</v>
      </c>
      <c r="E150" s="6" t="s">
        <v>67</v>
      </c>
      <c r="F150" s="6" t="s">
        <v>68</v>
      </c>
      <c r="G150" s="6">
        <v>5</v>
      </c>
      <c r="H150" s="6">
        <v>36.43</v>
      </c>
      <c r="I150" s="6">
        <v>182.15</v>
      </c>
      <c r="J150" s="6">
        <v>7.82</v>
      </c>
      <c r="K150" s="6">
        <v>61.83</v>
      </c>
      <c r="L150" s="6" t="s">
        <v>24</v>
      </c>
      <c r="M150" s="6" t="s">
        <v>41</v>
      </c>
      <c r="N150" s="6" t="s">
        <v>35</v>
      </c>
      <c r="P150" t="str">
        <f t="shared" si="6"/>
        <v>Laura</v>
      </c>
      <c r="Q150" t="str">
        <f t="shared" si="7"/>
        <v>Jones</v>
      </c>
      <c r="R150" t="str">
        <f t="shared" si="8"/>
        <v>LaJo150</v>
      </c>
    </row>
    <row r="151" spans="1:18" x14ac:dyDescent="0.3">
      <c r="A151" s="6" t="s">
        <v>432</v>
      </c>
      <c r="B151" s="6" t="s">
        <v>433</v>
      </c>
      <c r="C151" s="6" t="s">
        <v>170</v>
      </c>
      <c r="D151" s="6" t="s">
        <v>51</v>
      </c>
      <c r="E151" s="6" t="s">
        <v>67</v>
      </c>
      <c r="F151" s="6" t="s">
        <v>68</v>
      </c>
      <c r="G151" s="6">
        <v>27</v>
      </c>
      <c r="H151" s="6">
        <v>38.39</v>
      </c>
      <c r="I151" s="6">
        <v>1036.53</v>
      </c>
      <c r="J151" s="6">
        <v>28.6</v>
      </c>
      <c r="K151" s="6">
        <v>400.43</v>
      </c>
      <c r="L151" s="6" t="s">
        <v>33</v>
      </c>
      <c r="M151" s="6" t="s">
        <v>25</v>
      </c>
      <c r="N151" s="6" t="s">
        <v>76</v>
      </c>
      <c r="P151" t="str">
        <f t="shared" si="6"/>
        <v>Laura</v>
      </c>
      <c r="Q151" t="str">
        <f t="shared" si="7"/>
        <v>Miller</v>
      </c>
      <c r="R151" t="str">
        <f t="shared" si="8"/>
        <v>LaMi151</v>
      </c>
    </row>
    <row r="152" spans="1:18" x14ac:dyDescent="0.3">
      <c r="A152" s="6" t="s">
        <v>434</v>
      </c>
      <c r="B152" s="6" t="s">
        <v>435</v>
      </c>
      <c r="C152" s="6" t="s">
        <v>219</v>
      </c>
      <c r="D152" s="6" t="s">
        <v>45</v>
      </c>
      <c r="E152" s="6" t="s">
        <v>137</v>
      </c>
      <c r="F152" s="6" t="s">
        <v>68</v>
      </c>
      <c r="G152" s="6">
        <v>10</v>
      </c>
      <c r="H152" s="6">
        <v>47.5</v>
      </c>
      <c r="I152" s="6">
        <v>475</v>
      </c>
      <c r="J152" s="6">
        <v>15.95</v>
      </c>
      <c r="K152" s="6">
        <v>179.05</v>
      </c>
      <c r="L152" s="6" t="s">
        <v>24</v>
      </c>
      <c r="M152" s="6" t="s">
        <v>25</v>
      </c>
      <c r="N152" s="6" t="s">
        <v>49</v>
      </c>
      <c r="P152" t="str">
        <f t="shared" si="6"/>
        <v>David</v>
      </c>
      <c r="Q152" t="str">
        <f t="shared" si="7"/>
        <v>Jones</v>
      </c>
      <c r="R152" t="str">
        <f t="shared" si="8"/>
        <v>DaJo152</v>
      </c>
    </row>
    <row r="153" spans="1:18" x14ac:dyDescent="0.3">
      <c r="A153" s="6" t="s">
        <v>436</v>
      </c>
      <c r="B153" s="6" t="s">
        <v>274</v>
      </c>
      <c r="C153" s="6" t="s">
        <v>437</v>
      </c>
      <c r="D153" s="6" t="s">
        <v>123</v>
      </c>
      <c r="E153" s="6" t="s">
        <v>46</v>
      </c>
      <c r="F153" s="6" t="s">
        <v>47</v>
      </c>
      <c r="G153" s="6">
        <v>47</v>
      </c>
      <c r="H153" s="6">
        <v>50.13</v>
      </c>
      <c r="I153" s="6">
        <v>2356.11</v>
      </c>
      <c r="J153" s="6">
        <v>166.22</v>
      </c>
      <c r="K153" s="6">
        <v>685.89</v>
      </c>
      <c r="L153" s="6" t="s">
        <v>24</v>
      </c>
      <c r="M153" s="6" t="s">
        <v>25</v>
      </c>
      <c r="N153" s="6" t="s">
        <v>76</v>
      </c>
      <c r="P153" t="str">
        <f t="shared" si="6"/>
        <v>Sophia</v>
      </c>
      <c r="Q153" t="str">
        <f t="shared" si="7"/>
        <v>Johnson</v>
      </c>
      <c r="R153" t="str">
        <f t="shared" si="8"/>
        <v>SoJo153</v>
      </c>
    </row>
    <row r="154" spans="1:18" x14ac:dyDescent="0.3">
      <c r="A154" s="6" t="s">
        <v>438</v>
      </c>
      <c r="B154" s="6" t="s">
        <v>439</v>
      </c>
      <c r="C154" s="6" t="s">
        <v>440</v>
      </c>
      <c r="D154" s="6" t="s">
        <v>62</v>
      </c>
      <c r="E154" s="6" t="s">
        <v>137</v>
      </c>
      <c r="F154" s="6" t="s">
        <v>68</v>
      </c>
      <c r="G154" s="6">
        <v>47</v>
      </c>
      <c r="H154" s="6">
        <v>42.25</v>
      </c>
      <c r="I154" s="6">
        <v>1985.75</v>
      </c>
      <c r="J154" s="6">
        <v>116.75</v>
      </c>
      <c r="K154" s="6">
        <v>553</v>
      </c>
      <c r="L154" s="6" t="s">
        <v>33</v>
      </c>
      <c r="M154" s="6" t="s">
        <v>25</v>
      </c>
      <c r="N154" s="6" t="s">
        <v>98</v>
      </c>
      <c r="P154" t="str">
        <f t="shared" si="6"/>
        <v>Sophia</v>
      </c>
      <c r="Q154" t="str">
        <f t="shared" si="7"/>
        <v>Davis</v>
      </c>
      <c r="R154" t="str">
        <f t="shared" si="8"/>
        <v>SoDa154</v>
      </c>
    </row>
    <row r="155" spans="1:18" x14ac:dyDescent="0.3">
      <c r="A155" s="6" t="s">
        <v>441</v>
      </c>
      <c r="B155" s="6" t="s">
        <v>121</v>
      </c>
      <c r="C155" s="6" t="s">
        <v>442</v>
      </c>
      <c r="D155" s="6" t="s">
        <v>51</v>
      </c>
      <c r="E155" s="6" t="s">
        <v>74</v>
      </c>
      <c r="F155" s="6" t="s">
        <v>75</v>
      </c>
      <c r="G155" s="6">
        <v>18</v>
      </c>
      <c r="H155" s="6">
        <v>38.26</v>
      </c>
      <c r="I155" s="6">
        <v>688.68</v>
      </c>
      <c r="J155" s="6">
        <v>18.78</v>
      </c>
      <c r="K155" s="6">
        <v>219.9</v>
      </c>
      <c r="L155" s="6" t="s">
        <v>33</v>
      </c>
      <c r="M155" s="6" t="s">
        <v>25</v>
      </c>
      <c r="N155" s="6" t="s">
        <v>76</v>
      </c>
      <c r="P155" t="str">
        <f t="shared" si="6"/>
        <v>Daniel</v>
      </c>
      <c r="Q155" t="str">
        <f t="shared" si="7"/>
        <v>Jones</v>
      </c>
      <c r="R155" t="str">
        <f t="shared" si="8"/>
        <v>DaJo155</v>
      </c>
    </row>
    <row r="156" spans="1:18" x14ac:dyDescent="0.3">
      <c r="A156" s="6" t="s">
        <v>443</v>
      </c>
      <c r="B156" s="6" t="s">
        <v>444</v>
      </c>
      <c r="C156" s="6" t="s">
        <v>140</v>
      </c>
      <c r="D156" s="6" t="s">
        <v>116</v>
      </c>
      <c r="E156" s="6" t="s">
        <v>137</v>
      </c>
      <c r="F156" s="6" t="s">
        <v>68</v>
      </c>
      <c r="G156" s="6">
        <v>31</v>
      </c>
      <c r="H156" s="6">
        <v>46.66</v>
      </c>
      <c r="I156" s="6">
        <v>1446.46</v>
      </c>
      <c r="J156" s="6">
        <v>109.24</v>
      </c>
      <c r="K156" s="6">
        <v>469.22</v>
      </c>
      <c r="L156" s="6" t="s">
        <v>24</v>
      </c>
      <c r="M156" s="6" t="s">
        <v>41</v>
      </c>
      <c r="N156" s="6" t="s">
        <v>76</v>
      </c>
      <c r="P156" t="str">
        <f t="shared" si="6"/>
        <v>Michael</v>
      </c>
      <c r="Q156" t="str">
        <f t="shared" si="7"/>
        <v>Miller</v>
      </c>
      <c r="R156" t="str">
        <f t="shared" si="8"/>
        <v>MiMi156</v>
      </c>
    </row>
    <row r="157" spans="1:18" x14ac:dyDescent="0.3">
      <c r="A157" s="6" t="s">
        <v>445</v>
      </c>
      <c r="B157" s="6" t="s">
        <v>446</v>
      </c>
      <c r="C157" s="6" t="s">
        <v>447</v>
      </c>
      <c r="D157" s="6" t="s">
        <v>141</v>
      </c>
      <c r="E157" s="6" t="s">
        <v>46</v>
      </c>
      <c r="F157" s="6" t="s">
        <v>47</v>
      </c>
      <c r="G157" s="6">
        <v>41</v>
      </c>
      <c r="H157" s="6">
        <v>52.65</v>
      </c>
      <c r="I157" s="6">
        <v>2158.65</v>
      </c>
      <c r="J157" s="6">
        <v>110.1</v>
      </c>
      <c r="K157" s="6">
        <v>736.55</v>
      </c>
      <c r="L157" s="6" t="s">
        <v>33</v>
      </c>
      <c r="M157" s="6" t="s">
        <v>41</v>
      </c>
      <c r="N157" s="6" t="s">
        <v>142</v>
      </c>
      <c r="P157" t="str">
        <f t="shared" si="6"/>
        <v>Laura</v>
      </c>
      <c r="Q157" t="str">
        <f t="shared" si="7"/>
        <v>Davis</v>
      </c>
      <c r="R157" t="str">
        <f t="shared" si="8"/>
        <v>LaDa157</v>
      </c>
    </row>
    <row r="158" spans="1:18" x14ac:dyDescent="0.3">
      <c r="A158" s="6" t="s">
        <v>448</v>
      </c>
      <c r="B158" s="6" t="s">
        <v>449</v>
      </c>
      <c r="C158" s="6" t="s">
        <v>185</v>
      </c>
      <c r="D158" s="6" t="s">
        <v>127</v>
      </c>
      <c r="E158" s="6" t="s">
        <v>32</v>
      </c>
      <c r="F158" s="6" t="s">
        <v>23</v>
      </c>
      <c r="G158" s="6">
        <v>28</v>
      </c>
      <c r="H158" s="6">
        <v>22.66</v>
      </c>
      <c r="I158" s="6">
        <v>634.48</v>
      </c>
      <c r="J158" s="6">
        <v>15.55</v>
      </c>
      <c r="K158" s="6">
        <v>114.93</v>
      </c>
      <c r="L158" s="6" t="s">
        <v>48</v>
      </c>
      <c r="M158" s="6" t="s">
        <v>25</v>
      </c>
      <c r="N158" s="6" t="s">
        <v>76</v>
      </c>
      <c r="P158" t="str">
        <f t="shared" si="6"/>
        <v>Laura</v>
      </c>
      <c r="Q158" t="str">
        <f t="shared" si="7"/>
        <v>Williams</v>
      </c>
      <c r="R158" t="str">
        <f t="shared" si="8"/>
        <v>LaWi158</v>
      </c>
    </row>
    <row r="159" spans="1:18" x14ac:dyDescent="0.3">
      <c r="A159" s="6" t="s">
        <v>450</v>
      </c>
      <c r="B159" s="6" t="s">
        <v>451</v>
      </c>
      <c r="C159" s="6" t="s">
        <v>428</v>
      </c>
      <c r="D159" s="6" t="s">
        <v>62</v>
      </c>
      <c r="E159" s="6" t="s">
        <v>81</v>
      </c>
      <c r="F159" s="6" t="s">
        <v>68</v>
      </c>
      <c r="G159" s="6">
        <v>48</v>
      </c>
      <c r="H159" s="6">
        <v>25.07</v>
      </c>
      <c r="I159" s="6">
        <v>1203.3599999999999</v>
      </c>
      <c r="J159" s="6">
        <v>29.93</v>
      </c>
      <c r="K159" s="6">
        <v>429.43</v>
      </c>
      <c r="L159" s="6" t="s">
        <v>33</v>
      </c>
      <c r="M159" s="6" t="s">
        <v>34</v>
      </c>
      <c r="N159" s="6" t="s">
        <v>98</v>
      </c>
      <c r="P159" t="str">
        <f t="shared" si="6"/>
        <v>James</v>
      </c>
      <c r="Q159" t="str">
        <f t="shared" si="7"/>
        <v>Brown</v>
      </c>
      <c r="R159" t="str">
        <f t="shared" si="8"/>
        <v>JaBr159</v>
      </c>
    </row>
    <row r="160" spans="1:18" x14ac:dyDescent="0.3">
      <c r="A160" s="6" t="s">
        <v>452</v>
      </c>
      <c r="B160" s="6" t="s">
        <v>240</v>
      </c>
      <c r="C160" s="6" t="s">
        <v>44</v>
      </c>
      <c r="D160" s="6" t="s">
        <v>45</v>
      </c>
      <c r="E160" s="6" t="s">
        <v>32</v>
      </c>
      <c r="F160" s="6" t="s">
        <v>23</v>
      </c>
      <c r="G160" s="6">
        <v>31</v>
      </c>
      <c r="H160" s="6">
        <v>30.53</v>
      </c>
      <c r="I160" s="6">
        <v>946.43</v>
      </c>
      <c r="J160" s="6">
        <v>72.150000000000006</v>
      </c>
      <c r="K160" s="6">
        <v>316.27999999999997</v>
      </c>
      <c r="L160" s="6" t="s">
        <v>48</v>
      </c>
      <c r="M160" s="6" t="s">
        <v>34</v>
      </c>
      <c r="N160" s="6" t="s">
        <v>49</v>
      </c>
      <c r="P160" t="str">
        <f t="shared" si="6"/>
        <v>Daniel</v>
      </c>
      <c r="Q160" t="str">
        <f t="shared" si="7"/>
        <v>Miller</v>
      </c>
      <c r="R160" t="str">
        <f t="shared" si="8"/>
        <v>DaMi160</v>
      </c>
    </row>
    <row r="161" spans="1:18" x14ac:dyDescent="0.3">
      <c r="A161" s="6" t="s">
        <v>453</v>
      </c>
      <c r="B161" s="6" t="s">
        <v>454</v>
      </c>
      <c r="C161" s="6" t="s">
        <v>455</v>
      </c>
      <c r="D161" s="6" t="s">
        <v>141</v>
      </c>
      <c r="E161" s="6" t="s">
        <v>67</v>
      </c>
      <c r="F161" s="6" t="s">
        <v>68</v>
      </c>
      <c r="G161" s="6">
        <v>33</v>
      </c>
      <c r="H161" s="6">
        <v>31</v>
      </c>
      <c r="I161" s="6">
        <v>1023</v>
      </c>
      <c r="J161" s="6">
        <v>63.94</v>
      </c>
      <c r="K161" s="6">
        <v>216.56</v>
      </c>
      <c r="L161" s="6" t="s">
        <v>33</v>
      </c>
      <c r="M161" s="6" t="s">
        <v>25</v>
      </c>
      <c r="N161" s="6" t="s">
        <v>142</v>
      </c>
      <c r="P161" t="str">
        <f t="shared" si="6"/>
        <v>Michael</v>
      </c>
      <c r="Q161" t="str">
        <f t="shared" si="7"/>
        <v>Hernandez</v>
      </c>
      <c r="R161" t="str">
        <f t="shared" si="8"/>
        <v>MiHe161</v>
      </c>
    </row>
    <row r="162" spans="1:18" x14ac:dyDescent="0.3">
      <c r="A162" s="6" t="s">
        <v>456</v>
      </c>
      <c r="B162" s="6" t="s">
        <v>457</v>
      </c>
      <c r="C162" s="6" t="s">
        <v>191</v>
      </c>
      <c r="D162" s="6" t="s">
        <v>31</v>
      </c>
      <c r="E162" s="6" t="s">
        <v>81</v>
      </c>
      <c r="F162" s="6" t="s">
        <v>68</v>
      </c>
      <c r="G162" s="6">
        <v>32</v>
      </c>
      <c r="H162" s="6">
        <v>20.86</v>
      </c>
      <c r="I162" s="6">
        <v>667.52</v>
      </c>
      <c r="J162" s="6">
        <v>21.62</v>
      </c>
      <c r="K162" s="6">
        <v>149.9</v>
      </c>
      <c r="L162" s="6" t="s">
        <v>48</v>
      </c>
      <c r="M162" s="6" t="s">
        <v>41</v>
      </c>
      <c r="N162" s="6" t="s">
        <v>35</v>
      </c>
      <c r="P162" t="str">
        <f t="shared" si="6"/>
        <v>Michael</v>
      </c>
      <c r="Q162" t="str">
        <f t="shared" si="7"/>
        <v>Smith</v>
      </c>
      <c r="R162" t="str">
        <f t="shared" si="8"/>
        <v>MiSm162</v>
      </c>
    </row>
    <row r="163" spans="1:18" x14ac:dyDescent="0.3">
      <c r="A163" s="6" t="s">
        <v>458</v>
      </c>
      <c r="B163" s="6" t="s">
        <v>330</v>
      </c>
      <c r="C163" s="6" t="s">
        <v>222</v>
      </c>
      <c r="D163" s="6" t="s">
        <v>241</v>
      </c>
      <c r="E163" s="6" t="s">
        <v>63</v>
      </c>
      <c r="F163" s="6" t="s">
        <v>47</v>
      </c>
      <c r="G163" s="6">
        <v>18</v>
      </c>
      <c r="H163" s="6">
        <v>24.61</v>
      </c>
      <c r="I163" s="6">
        <v>442.98</v>
      </c>
      <c r="J163" s="6">
        <v>26.99</v>
      </c>
      <c r="K163" s="6">
        <v>55.99</v>
      </c>
      <c r="L163" s="6" t="s">
        <v>48</v>
      </c>
      <c r="M163" s="6" t="s">
        <v>25</v>
      </c>
      <c r="N163" s="6" t="s">
        <v>35</v>
      </c>
      <c r="P163" t="str">
        <f t="shared" si="6"/>
        <v>Sarah</v>
      </c>
      <c r="Q163" t="str">
        <f t="shared" si="7"/>
        <v>Brown</v>
      </c>
      <c r="R163" t="str">
        <f t="shared" si="8"/>
        <v>SaBr163</v>
      </c>
    </row>
    <row r="164" spans="1:18" x14ac:dyDescent="0.3">
      <c r="A164" s="6" t="s">
        <v>459</v>
      </c>
      <c r="B164" s="6" t="s">
        <v>460</v>
      </c>
      <c r="C164" s="6" t="s">
        <v>154</v>
      </c>
      <c r="D164" s="6" t="s">
        <v>116</v>
      </c>
      <c r="E164" s="6" t="s">
        <v>56</v>
      </c>
      <c r="F164" s="6" t="s">
        <v>57</v>
      </c>
      <c r="G164" s="6">
        <v>18</v>
      </c>
      <c r="H164" s="6">
        <v>64.83</v>
      </c>
      <c r="I164" s="6">
        <v>1166.94</v>
      </c>
      <c r="J164" s="6">
        <v>34.28</v>
      </c>
      <c r="K164" s="6">
        <v>412.66</v>
      </c>
      <c r="L164" s="6" t="s">
        <v>48</v>
      </c>
      <c r="M164" s="6" t="s">
        <v>25</v>
      </c>
      <c r="N164" s="6" t="s">
        <v>76</v>
      </c>
      <c r="P164" t="str">
        <f t="shared" si="6"/>
        <v>Daniel</v>
      </c>
      <c r="Q164" t="str">
        <f t="shared" si="7"/>
        <v>Williams</v>
      </c>
      <c r="R164" t="str">
        <f t="shared" si="8"/>
        <v>DaWi164</v>
      </c>
    </row>
    <row r="165" spans="1:18" x14ac:dyDescent="0.3">
      <c r="A165" s="6" t="s">
        <v>461</v>
      </c>
      <c r="B165" s="6" t="s">
        <v>133</v>
      </c>
      <c r="C165" s="6" t="s">
        <v>462</v>
      </c>
      <c r="D165" s="6" t="s">
        <v>62</v>
      </c>
      <c r="E165" s="6" t="s">
        <v>63</v>
      </c>
      <c r="F165" s="6" t="s">
        <v>47</v>
      </c>
      <c r="G165" s="6">
        <v>49</v>
      </c>
      <c r="H165" s="6">
        <v>29.52</v>
      </c>
      <c r="I165" s="6">
        <v>1446.48</v>
      </c>
      <c r="J165" s="6">
        <v>104.7</v>
      </c>
      <c r="K165" s="6">
        <v>361.78</v>
      </c>
      <c r="L165" s="6" t="s">
        <v>48</v>
      </c>
      <c r="M165" s="6" t="s">
        <v>41</v>
      </c>
      <c r="N165" s="6" t="s">
        <v>98</v>
      </c>
      <c r="P165" t="str">
        <f t="shared" si="6"/>
        <v>John</v>
      </c>
      <c r="Q165" t="str">
        <f t="shared" si="7"/>
        <v>Brown</v>
      </c>
      <c r="R165" t="str">
        <f t="shared" si="8"/>
        <v>JoBr165</v>
      </c>
    </row>
    <row r="166" spans="1:18" x14ac:dyDescent="0.3">
      <c r="A166" s="6" t="s">
        <v>463</v>
      </c>
      <c r="B166" s="6" t="s">
        <v>464</v>
      </c>
      <c r="C166" s="6" t="s">
        <v>465</v>
      </c>
      <c r="D166" s="6" t="s">
        <v>141</v>
      </c>
      <c r="E166" s="6" t="s">
        <v>63</v>
      </c>
      <c r="F166" s="6" t="s">
        <v>47</v>
      </c>
      <c r="G166" s="6">
        <v>10</v>
      </c>
      <c r="H166" s="6">
        <v>26.73</v>
      </c>
      <c r="I166" s="6">
        <v>267.3</v>
      </c>
      <c r="J166" s="6">
        <v>10.210000000000001</v>
      </c>
      <c r="K166" s="6">
        <v>57.09</v>
      </c>
      <c r="L166" s="6" t="s">
        <v>48</v>
      </c>
      <c r="M166" s="6" t="s">
        <v>41</v>
      </c>
      <c r="N166" s="6" t="s">
        <v>142</v>
      </c>
      <c r="P166" t="str">
        <f t="shared" si="6"/>
        <v>David</v>
      </c>
      <c r="Q166" t="str">
        <f t="shared" si="7"/>
        <v>Martinez</v>
      </c>
      <c r="R166" t="str">
        <f t="shared" si="8"/>
        <v>DaMa166</v>
      </c>
    </row>
    <row r="167" spans="1:18" x14ac:dyDescent="0.3">
      <c r="A167" s="6" t="s">
        <v>466</v>
      </c>
      <c r="B167" s="6" t="s">
        <v>467</v>
      </c>
      <c r="C167" s="6" t="s">
        <v>85</v>
      </c>
      <c r="D167" s="6" t="s">
        <v>31</v>
      </c>
      <c r="E167" s="6" t="s">
        <v>46</v>
      </c>
      <c r="F167" s="6" t="s">
        <v>47</v>
      </c>
      <c r="G167" s="6">
        <v>10</v>
      </c>
      <c r="H167" s="6">
        <v>54.45</v>
      </c>
      <c r="I167" s="6">
        <v>544.5</v>
      </c>
      <c r="J167" s="6">
        <v>16.59</v>
      </c>
      <c r="K167" s="6">
        <v>207.91</v>
      </c>
      <c r="L167" s="6" t="s">
        <v>24</v>
      </c>
      <c r="M167" s="6" t="s">
        <v>25</v>
      </c>
      <c r="N167" s="6" t="s">
        <v>35</v>
      </c>
      <c r="P167" t="str">
        <f t="shared" si="6"/>
        <v>Laura</v>
      </c>
      <c r="Q167" t="str">
        <f t="shared" si="7"/>
        <v>Martinez</v>
      </c>
      <c r="R167" t="str">
        <f t="shared" si="8"/>
        <v>LaMa167</v>
      </c>
    </row>
    <row r="168" spans="1:18" x14ac:dyDescent="0.3">
      <c r="A168" s="6" t="s">
        <v>468</v>
      </c>
      <c r="B168" s="6" t="s">
        <v>469</v>
      </c>
      <c r="C168" s="6" t="s">
        <v>85</v>
      </c>
      <c r="D168" s="6" t="s">
        <v>70</v>
      </c>
      <c r="E168" s="6" t="s">
        <v>32</v>
      </c>
      <c r="F168" s="6" t="s">
        <v>23</v>
      </c>
      <c r="G168" s="6">
        <v>46</v>
      </c>
      <c r="H168" s="6">
        <v>30.06</v>
      </c>
      <c r="I168" s="6">
        <v>1382.76</v>
      </c>
      <c r="J168" s="6">
        <v>77.17</v>
      </c>
      <c r="K168" s="6">
        <v>477.59</v>
      </c>
      <c r="L168" s="6" t="s">
        <v>33</v>
      </c>
      <c r="M168" s="6" t="s">
        <v>34</v>
      </c>
      <c r="N168" s="6" t="s">
        <v>76</v>
      </c>
      <c r="P168" t="str">
        <f t="shared" si="6"/>
        <v>Laura</v>
      </c>
      <c r="Q168" t="str">
        <f t="shared" si="7"/>
        <v>Martinez</v>
      </c>
      <c r="R168" t="str">
        <f t="shared" si="8"/>
        <v>LaMa168</v>
      </c>
    </row>
    <row r="169" spans="1:18" x14ac:dyDescent="0.3">
      <c r="A169" s="6" t="s">
        <v>470</v>
      </c>
      <c r="B169" s="6" t="s">
        <v>118</v>
      </c>
      <c r="C169" s="6" t="s">
        <v>471</v>
      </c>
      <c r="D169" s="6" t="s">
        <v>62</v>
      </c>
      <c r="E169" s="6" t="s">
        <v>81</v>
      </c>
      <c r="F169" s="6" t="s">
        <v>68</v>
      </c>
      <c r="G169" s="6">
        <v>25</v>
      </c>
      <c r="H169" s="6">
        <v>21.52</v>
      </c>
      <c r="I169" s="6">
        <v>538</v>
      </c>
      <c r="J169" s="6">
        <v>26.73</v>
      </c>
      <c r="K169" s="6">
        <v>123.77</v>
      </c>
      <c r="L169" s="6" t="s">
        <v>33</v>
      </c>
      <c r="M169" s="6" t="s">
        <v>25</v>
      </c>
      <c r="N169" s="6" t="s">
        <v>98</v>
      </c>
      <c r="P169" t="str">
        <f t="shared" si="6"/>
        <v>Emily</v>
      </c>
      <c r="Q169" t="str">
        <f t="shared" si="7"/>
        <v>Johnson</v>
      </c>
      <c r="R169" t="str">
        <f t="shared" si="8"/>
        <v>EmJo169</v>
      </c>
    </row>
    <row r="170" spans="1:18" x14ac:dyDescent="0.3">
      <c r="A170" s="6" t="s">
        <v>472</v>
      </c>
      <c r="B170" s="6" t="s">
        <v>473</v>
      </c>
      <c r="C170" s="6" t="s">
        <v>334</v>
      </c>
      <c r="D170" s="6" t="s">
        <v>70</v>
      </c>
      <c r="E170" s="6" t="s">
        <v>32</v>
      </c>
      <c r="F170" s="6" t="s">
        <v>23</v>
      </c>
      <c r="G170" s="6">
        <v>5</v>
      </c>
      <c r="H170" s="6">
        <v>26.25</v>
      </c>
      <c r="I170" s="6">
        <v>131.25</v>
      </c>
      <c r="J170" s="6">
        <v>3.35</v>
      </c>
      <c r="K170" s="6">
        <v>37.9</v>
      </c>
      <c r="L170" s="6" t="s">
        <v>33</v>
      </c>
      <c r="M170" s="6" t="s">
        <v>34</v>
      </c>
      <c r="N170" s="6" t="s">
        <v>76</v>
      </c>
      <c r="P170" t="str">
        <f t="shared" si="6"/>
        <v>Emma</v>
      </c>
      <c r="Q170" t="str">
        <f t="shared" si="7"/>
        <v>Garcia</v>
      </c>
      <c r="R170" t="str">
        <f t="shared" si="8"/>
        <v>EmGa170</v>
      </c>
    </row>
    <row r="171" spans="1:18" x14ac:dyDescent="0.3">
      <c r="A171" s="6" t="s">
        <v>474</v>
      </c>
      <c r="B171" s="6" t="s">
        <v>281</v>
      </c>
      <c r="C171" s="6" t="s">
        <v>475</v>
      </c>
      <c r="D171" s="6" t="s">
        <v>31</v>
      </c>
      <c r="E171" s="6" t="s">
        <v>74</v>
      </c>
      <c r="F171" s="6" t="s">
        <v>75</v>
      </c>
      <c r="G171" s="6">
        <v>10</v>
      </c>
      <c r="H171" s="6">
        <v>31.48</v>
      </c>
      <c r="I171" s="6">
        <v>314.8</v>
      </c>
      <c r="J171" s="6">
        <v>10.23</v>
      </c>
      <c r="K171" s="6">
        <v>54.57</v>
      </c>
      <c r="L171" s="6" t="s">
        <v>48</v>
      </c>
      <c r="M171" s="6" t="s">
        <v>41</v>
      </c>
      <c r="N171" s="6" t="s">
        <v>35</v>
      </c>
      <c r="P171" t="str">
        <f t="shared" si="6"/>
        <v>John</v>
      </c>
      <c r="Q171" t="str">
        <f t="shared" si="7"/>
        <v>Garcia</v>
      </c>
      <c r="R171" t="str">
        <f t="shared" si="8"/>
        <v>JoGa171</v>
      </c>
    </row>
    <row r="172" spans="1:18" x14ac:dyDescent="0.3">
      <c r="A172" s="6" t="s">
        <v>476</v>
      </c>
      <c r="B172" s="6" t="s">
        <v>477</v>
      </c>
      <c r="C172" s="6" t="s">
        <v>177</v>
      </c>
      <c r="D172" s="6" t="s">
        <v>45</v>
      </c>
      <c r="E172" s="6" t="s">
        <v>63</v>
      </c>
      <c r="F172" s="6" t="s">
        <v>47</v>
      </c>
      <c r="G172" s="6">
        <v>21</v>
      </c>
      <c r="H172" s="6">
        <v>30.91</v>
      </c>
      <c r="I172" s="6">
        <v>649.11</v>
      </c>
      <c r="J172" s="6">
        <v>38.42</v>
      </c>
      <c r="K172" s="6">
        <v>190.69</v>
      </c>
      <c r="L172" s="6" t="s">
        <v>33</v>
      </c>
      <c r="M172" s="6" t="s">
        <v>41</v>
      </c>
      <c r="N172" s="6" t="s">
        <v>49</v>
      </c>
      <c r="P172" t="str">
        <f t="shared" si="6"/>
        <v>Sophia</v>
      </c>
      <c r="Q172" t="str">
        <f t="shared" si="7"/>
        <v>Smith</v>
      </c>
      <c r="R172" t="str">
        <f t="shared" si="8"/>
        <v>SoSm172</v>
      </c>
    </row>
    <row r="173" spans="1:18" x14ac:dyDescent="0.3">
      <c r="A173" s="6" t="s">
        <v>478</v>
      </c>
      <c r="B173" s="6" t="s">
        <v>479</v>
      </c>
      <c r="C173" s="6" t="s">
        <v>480</v>
      </c>
      <c r="D173" s="6" t="s">
        <v>116</v>
      </c>
      <c r="E173" s="6" t="s">
        <v>86</v>
      </c>
      <c r="F173" s="6" t="s">
        <v>47</v>
      </c>
      <c r="G173" s="6">
        <v>29</v>
      </c>
      <c r="H173" s="6">
        <v>18.47</v>
      </c>
      <c r="I173" s="6">
        <v>535.63</v>
      </c>
      <c r="J173" s="6">
        <v>13.21</v>
      </c>
      <c r="K173" s="6">
        <v>152.66999999999999</v>
      </c>
      <c r="L173" s="6" t="s">
        <v>24</v>
      </c>
      <c r="M173" s="6" t="s">
        <v>25</v>
      </c>
      <c r="N173" s="6" t="s">
        <v>76</v>
      </c>
      <c r="P173" t="str">
        <f t="shared" si="6"/>
        <v>Emily</v>
      </c>
      <c r="Q173" t="str">
        <f t="shared" si="7"/>
        <v>Jones</v>
      </c>
      <c r="R173" t="str">
        <f t="shared" si="8"/>
        <v>EmJo173</v>
      </c>
    </row>
    <row r="174" spans="1:18" x14ac:dyDescent="0.3">
      <c r="A174" s="6" t="s">
        <v>481</v>
      </c>
      <c r="B174" s="6" t="s">
        <v>482</v>
      </c>
      <c r="C174" s="6" t="s">
        <v>185</v>
      </c>
      <c r="D174" s="6" t="s">
        <v>62</v>
      </c>
      <c r="E174" s="6" t="s">
        <v>22</v>
      </c>
      <c r="F174" s="6" t="s">
        <v>23</v>
      </c>
      <c r="G174" s="6">
        <v>36</v>
      </c>
      <c r="H174" s="6">
        <v>44.79</v>
      </c>
      <c r="I174" s="6">
        <v>1612.44</v>
      </c>
      <c r="J174" s="6">
        <v>68.599999999999994</v>
      </c>
      <c r="K174" s="6">
        <v>283.83999999999997</v>
      </c>
      <c r="L174" s="6" t="s">
        <v>48</v>
      </c>
      <c r="M174" s="6" t="s">
        <v>34</v>
      </c>
      <c r="N174" s="6" t="s">
        <v>98</v>
      </c>
      <c r="P174" t="str">
        <f t="shared" si="6"/>
        <v>Laura</v>
      </c>
      <c r="Q174" t="str">
        <f t="shared" si="7"/>
        <v>Williams</v>
      </c>
      <c r="R174" t="str">
        <f t="shared" si="8"/>
        <v>LaWi174</v>
      </c>
    </row>
    <row r="175" spans="1:18" x14ac:dyDescent="0.3">
      <c r="A175" s="6" t="s">
        <v>483</v>
      </c>
      <c r="B175" s="6" t="s">
        <v>484</v>
      </c>
      <c r="C175" s="6" t="s">
        <v>485</v>
      </c>
      <c r="D175" s="6" t="s">
        <v>45</v>
      </c>
      <c r="E175" s="6" t="s">
        <v>81</v>
      </c>
      <c r="F175" s="6" t="s">
        <v>68</v>
      </c>
      <c r="G175" s="6">
        <v>3</v>
      </c>
      <c r="H175" s="6">
        <v>18.86</v>
      </c>
      <c r="I175" s="6">
        <v>56.58</v>
      </c>
      <c r="J175" s="6">
        <v>2.61</v>
      </c>
      <c r="K175" s="6">
        <v>7.47</v>
      </c>
      <c r="L175" s="6" t="s">
        <v>33</v>
      </c>
      <c r="M175" s="6" t="s">
        <v>41</v>
      </c>
      <c r="N175" s="6" t="s">
        <v>49</v>
      </c>
      <c r="P175" t="str">
        <f t="shared" si="6"/>
        <v>James</v>
      </c>
      <c r="Q175" t="str">
        <f t="shared" si="7"/>
        <v>Miller</v>
      </c>
      <c r="R175" t="str">
        <f t="shared" si="8"/>
        <v>JaMi175</v>
      </c>
    </row>
    <row r="176" spans="1:18" x14ac:dyDescent="0.3">
      <c r="A176" s="6" t="s">
        <v>486</v>
      </c>
      <c r="B176" s="6" t="s">
        <v>311</v>
      </c>
      <c r="C176" s="6" t="s">
        <v>66</v>
      </c>
      <c r="D176" s="6" t="s">
        <v>51</v>
      </c>
      <c r="E176" s="6" t="s">
        <v>137</v>
      </c>
      <c r="F176" s="6" t="s">
        <v>68</v>
      </c>
      <c r="G176" s="6">
        <v>10</v>
      </c>
      <c r="H176" s="6">
        <v>45.86</v>
      </c>
      <c r="I176" s="6">
        <v>458.6</v>
      </c>
      <c r="J176" s="6">
        <v>14.4</v>
      </c>
      <c r="K176" s="6">
        <v>164.2</v>
      </c>
      <c r="L176" s="6" t="s">
        <v>48</v>
      </c>
      <c r="M176" s="6" t="s">
        <v>25</v>
      </c>
      <c r="N176" s="6" t="s">
        <v>76</v>
      </c>
      <c r="P176" t="str">
        <f t="shared" si="6"/>
        <v>Emma</v>
      </c>
      <c r="Q176" t="str">
        <f t="shared" si="7"/>
        <v>Hernandez</v>
      </c>
      <c r="R176" t="str">
        <f t="shared" si="8"/>
        <v>EmHe176</v>
      </c>
    </row>
    <row r="177" spans="1:18" x14ac:dyDescent="0.3">
      <c r="A177" s="6" t="s">
        <v>487</v>
      </c>
      <c r="B177" s="6" t="s">
        <v>488</v>
      </c>
      <c r="C177" s="6" t="s">
        <v>485</v>
      </c>
      <c r="D177" s="6" t="s">
        <v>37</v>
      </c>
      <c r="E177" s="6" t="s">
        <v>32</v>
      </c>
      <c r="F177" s="6" t="s">
        <v>23</v>
      </c>
      <c r="G177" s="6">
        <v>1</v>
      </c>
      <c r="H177" s="6">
        <v>24.64</v>
      </c>
      <c r="I177" s="6">
        <v>24.64</v>
      </c>
      <c r="J177" s="6">
        <v>0.65</v>
      </c>
      <c r="K177" s="6">
        <v>5.99</v>
      </c>
      <c r="L177" s="6" t="s">
        <v>48</v>
      </c>
      <c r="M177" s="6" t="s">
        <v>34</v>
      </c>
      <c r="N177" s="6" t="s">
        <v>35</v>
      </c>
      <c r="P177" t="str">
        <f t="shared" si="6"/>
        <v>James</v>
      </c>
      <c r="Q177" t="str">
        <f t="shared" si="7"/>
        <v>Miller</v>
      </c>
      <c r="R177" t="str">
        <f t="shared" si="8"/>
        <v>JaMi177</v>
      </c>
    </row>
    <row r="178" spans="1:18" x14ac:dyDescent="0.3">
      <c r="A178" s="6" t="s">
        <v>489</v>
      </c>
      <c r="B178" s="6" t="s">
        <v>347</v>
      </c>
      <c r="C178" s="6" t="s">
        <v>246</v>
      </c>
      <c r="D178" s="6" t="s">
        <v>37</v>
      </c>
      <c r="E178" s="6" t="s">
        <v>81</v>
      </c>
      <c r="F178" s="6" t="s">
        <v>68</v>
      </c>
      <c r="G178" s="6">
        <v>49</v>
      </c>
      <c r="H178" s="6">
        <v>22.8</v>
      </c>
      <c r="I178" s="6">
        <v>1117.2</v>
      </c>
      <c r="J178" s="6">
        <v>51.06</v>
      </c>
      <c r="K178" s="6">
        <v>306.64</v>
      </c>
      <c r="L178" s="6" t="s">
        <v>24</v>
      </c>
      <c r="M178" s="6" t="s">
        <v>34</v>
      </c>
      <c r="N178" s="6" t="s">
        <v>35</v>
      </c>
      <c r="P178" t="str">
        <f t="shared" si="6"/>
        <v>Michael</v>
      </c>
      <c r="Q178" t="str">
        <f t="shared" si="7"/>
        <v>Williams</v>
      </c>
      <c r="R178" t="str">
        <f t="shared" si="8"/>
        <v>MiWi178</v>
      </c>
    </row>
    <row r="179" spans="1:18" x14ac:dyDescent="0.3">
      <c r="A179" s="6" t="s">
        <v>490</v>
      </c>
      <c r="B179" s="6" t="s">
        <v>491</v>
      </c>
      <c r="C179" s="6" t="s">
        <v>307</v>
      </c>
      <c r="D179" s="6" t="s">
        <v>62</v>
      </c>
      <c r="E179" s="6" t="s">
        <v>22</v>
      </c>
      <c r="F179" s="6" t="s">
        <v>23</v>
      </c>
      <c r="G179" s="6">
        <v>32</v>
      </c>
      <c r="H179" s="6">
        <v>44.5</v>
      </c>
      <c r="I179" s="6">
        <v>1424</v>
      </c>
      <c r="J179" s="6">
        <v>43.92</v>
      </c>
      <c r="K179" s="6">
        <v>260.08</v>
      </c>
      <c r="L179" s="6" t="s">
        <v>48</v>
      </c>
      <c r="M179" s="6" t="s">
        <v>34</v>
      </c>
      <c r="N179" s="6" t="s">
        <v>98</v>
      </c>
      <c r="P179" t="str">
        <f t="shared" si="6"/>
        <v>Laura</v>
      </c>
      <c r="Q179" t="str">
        <f t="shared" si="7"/>
        <v>Hernandez</v>
      </c>
      <c r="R179" t="str">
        <f t="shared" si="8"/>
        <v>LaHe179</v>
      </c>
    </row>
    <row r="180" spans="1:18" x14ac:dyDescent="0.3">
      <c r="A180" s="6" t="s">
        <v>492</v>
      </c>
      <c r="B180" s="6" t="s">
        <v>493</v>
      </c>
      <c r="C180" s="6" t="s">
        <v>331</v>
      </c>
      <c r="D180" s="6" t="s">
        <v>45</v>
      </c>
      <c r="E180" s="6" t="s">
        <v>22</v>
      </c>
      <c r="F180" s="6" t="s">
        <v>23</v>
      </c>
      <c r="G180" s="6">
        <v>43</v>
      </c>
      <c r="H180" s="6">
        <v>55.74</v>
      </c>
      <c r="I180" s="6">
        <v>2396.8200000000002</v>
      </c>
      <c r="J180" s="6">
        <v>63.85</v>
      </c>
      <c r="K180" s="6">
        <v>827.97</v>
      </c>
      <c r="L180" s="6" t="s">
        <v>33</v>
      </c>
      <c r="M180" s="6" t="s">
        <v>41</v>
      </c>
      <c r="N180" s="6" t="s">
        <v>49</v>
      </c>
      <c r="P180" t="str">
        <f t="shared" si="6"/>
        <v>James</v>
      </c>
      <c r="Q180" t="str">
        <f t="shared" si="7"/>
        <v>Williams</v>
      </c>
      <c r="R180" t="str">
        <f t="shared" si="8"/>
        <v>JaWi180</v>
      </c>
    </row>
    <row r="181" spans="1:18" x14ac:dyDescent="0.3">
      <c r="A181" s="6" t="s">
        <v>494</v>
      </c>
      <c r="B181" s="6" t="s">
        <v>495</v>
      </c>
      <c r="C181" s="6" t="s">
        <v>170</v>
      </c>
      <c r="D181" s="6" t="s">
        <v>116</v>
      </c>
      <c r="E181" s="6" t="s">
        <v>81</v>
      </c>
      <c r="F181" s="6" t="s">
        <v>68</v>
      </c>
      <c r="G181" s="6">
        <v>19</v>
      </c>
      <c r="H181" s="6">
        <v>25.78</v>
      </c>
      <c r="I181" s="6">
        <v>489.82</v>
      </c>
      <c r="J181" s="6">
        <v>28.4</v>
      </c>
      <c r="K181" s="6">
        <v>166.92</v>
      </c>
      <c r="L181" s="6" t="s">
        <v>48</v>
      </c>
      <c r="M181" s="6" t="s">
        <v>34</v>
      </c>
      <c r="N181" s="6" t="s">
        <v>76</v>
      </c>
      <c r="P181" t="str">
        <f t="shared" si="6"/>
        <v>Laura</v>
      </c>
      <c r="Q181" t="str">
        <f t="shared" si="7"/>
        <v>Miller</v>
      </c>
      <c r="R181" t="str">
        <f t="shared" si="8"/>
        <v>LaMi181</v>
      </c>
    </row>
    <row r="182" spans="1:18" x14ac:dyDescent="0.3">
      <c r="A182" s="6" t="s">
        <v>496</v>
      </c>
      <c r="B182" s="6" t="s">
        <v>497</v>
      </c>
      <c r="C182" s="6" t="s">
        <v>391</v>
      </c>
      <c r="D182" s="6" t="s">
        <v>62</v>
      </c>
      <c r="E182" s="6" t="s">
        <v>32</v>
      </c>
      <c r="F182" s="6" t="s">
        <v>23</v>
      </c>
      <c r="G182" s="6">
        <v>43</v>
      </c>
      <c r="H182" s="6">
        <v>30.43</v>
      </c>
      <c r="I182" s="6">
        <v>1308.49</v>
      </c>
      <c r="J182" s="6">
        <v>35.340000000000003</v>
      </c>
      <c r="K182" s="6">
        <v>499.15</v>
      </c>
      <c r="L182" s="6" t="s">
        <v>33</v>
      </c>
      <c r="M182" s="6" t="s">
        <v>34</v>
      </c>
      <c r="N182" s="6" t="s">
        <v>98</v>
      </c>
      <c r="P182" t="str">
        <f t="shared" si="6"/>
        <v>John</v>
      </c>
      <c r="Q182" t="str">
        <f t="shared" si="7"/>
        <v>Martinez</v>
      </c>
      <c r="R182" t="str">
        <f t="shared" si="8"/>
        <v>JoMa182</v>
      </c>
    </row>
    <row r="183" spans="1:18" x14ac:dyDescent="0.3">
      <c r="A183" s="6" t="s">
        <v>498</v>
      </c>
      <c r="B183" s="6" t="s">
        <v>454</v>
      </c>
      <c r="C183" s="6" t="s">
        <v>499</v>
      </c>
      <c r="D183" s="6" t="s">
        <v>171</v>
      </c>
      <c r="E183" s="6" t="s">
        <v>81</v>
      </c>
      <c r="F183" s="6" t="s">
        <v>68</v>
      </c>
      <c r="G183" s="6">
        <v>17</v>
      </c>
      <c r="H183" s="6">
        <v>18.71</v>
      </c>
      <c r="I183" s="6">
        <v>318.07</v>
      </c>
      <c r="J183" s="6">
        <v>22.03</v>
      </c>
      <c r="K183" s="6">
        <v>32.54</v>
      </c>
      <c r="L183" s="6" t="s">
        <v>48</v>
      </c>
      <c r="M183" s="6" t="s">
        <v>25</v>
      </c>
      <c r="N183" s="6" t="s">
        <v>35</v>
      </c>
      <c r="P183" t="str">
        <f t="shared" si="6"/>
        <v>Sarah</v>
      </c>
      <c r="Q183" t="str">
        <f t="shared" si="7"/>
        <v>Hernandez</v>
      </c>
      <c r="R183" t="str">
        <f t="shared" si="8"/>
        <v>SaHe183</v>
      </c>
    </row>
    <row r="184" spans="1:18" x14ac:dyDescent="0.3">
      <c r="A184" s="6" t="s">
        <v>500</v>
      </c>
      <c r="B184" s="6" t="s">
        <v>268</v>
      </c>
      <c r="C184" s="6" t="s">
        <v>54</v>
      </c>
      <c r="D184" s="6" t="s">
        <v>51</v>
      </c>
      <c r="E184" s="6" t="s">
        <v>81</v>
      </c>
      <c r="F184" s="6" t="s">
        <v>68</v>
      </c>
      <c r="G184" s="6">
        <v>44</v>
      </c>
      <c r="H184" s="6">
        <v>23.87</v>
      </c>
      <c r="I184" s="6">
        <v>1050.28</v>
      </c>
      <c r="J184" s="6">
        <v>33.51</v>
      </c>
      <c r="K184" s="6">
        <v>334.77</v>
      </c>
      <c r="L184" s="6" t="s">
        <v>24</v>
      </c>
      <c r="M184" s="6" t="s">
        <v>34</v>
      </c>
      <c r="N184" s="6" t="s">
        <v>76</v>
      </c>
      <c r="P184" t="str">
        <f t="shared" si="6"/>
        <v>Emma</v>
      </c>
      <c r="Q184" t="str">
        <f t="shared" si="7"/>
        <v>Johnson</v>
      </c>
      <c r="R184" t="str">
        <f t="shared" si="8"/>
        <v>EmJo184</v>
      </c>
    </row>
    <row r="185" spans="1:18" x14ac:dyDescent="0.3">
      <c r="A185" s="6" t="s">
        <v>501</v>
      </c>
      <c r="B185" s="6" t="s">
        <v>502</v>
      </c>
      <c r="C185" s="6" t="s">
        <v>194</v>
      </c>
      <c r="D185" s="6" t="s">
        <v>206</v>
      </c>
      <c r="E185" s="6" t="s">
        <v>46</v>
      </c>
      <c r="F185" s="6" t="s">
        <v>47</v>
      </c>
      <c r="G185" s="6">
        <v>12</v>
      </c>
      <c r="H185" s="6">
        <v>42.91</v>
      </c>
      <c r="I185" s="6">
        <v>514.91999999999996</v>
      </c>
      <c r="J185" s="6">
        <v>15.18</v>
      </c>
      <c r="K185" s="6">
        <v>115.74</v>
      </c>
      <c r="L185" s="6" t="s">
        <v>48</v>
      </c>
      <c r="M185" s="6" t="s">
        <v>41</v>
      </c>
      <c r="N185" s="6" t="s">
        <v>207</v>
      </c>
      <c r="P185" t="str">
        <f t="shared" si="6"/>
        <v>Sarah</v>
      </c>
      <c r="Q185" t="str">
        <f t="shared" si="7"/>
        <v>Martinez</v>
      </c>
      <c r="R185" t="str">
        <f t="shared" si="8"/>
        <v>SaMa185</v>
      </c>
    </row>
    <row r="186" spans="1:18" x14ac:dyDescent="0.3">
      <c r="A186" s="6" t="s">
        <v>503</v>
      </c>
      <c r="B186" s="6" t="s">
        <v>504</v>
      </c>
      <c r="C186" s="6" t="s">
        <v>505</v>
      </c>
      <c r="D186" s="6" t="s">
        <v>70</v>
      </c>
      <c r="E186" s="6" t="s">
        <v>56</v>
      </c>
      <c r="F186" s="6" t="s">
        <v>57</v>
      </c>
      <c r="G186" s="6">
        <v>21</v>
      </c>
      <c r="H186" s="6">
        <v>50.49</v>
      </c>
      <c r="I186" s="6">
        <v>1060.29</v>
      </c>
      <c r="J186" s="6">
        <v>32.340000000000003</v>
      </c>
      <c r="K186" s="6">
        <v>187.95</v>
      </c>
      <c r="L186" s="6" t="s">
        <v>48</v>
      </c>
      <c r="M186" s="6" t="s">
        <v>25</v>
      </c>
      <c r="N186" s="6" t="s">
        <v>76</v>
      </c>
      <c r="P186" t="str">
        <f t="shared" si="6"/>
        <v>Daniel</v>
      </c>
      <c r="Q186" t="str">
        <f t="shared" si="7"/>
        <v>Davis</v>
      </c>
      <c r="R186" t="str">
        <f t="shared" si="8"/>
        <v>DaDa186</v>
      </c>
    </row>
    <row r="187" spans="1:18" x14ac:dyDescent="0.3">
      <c r="A187" s="6" t="s">
        <v>506</v>
      </c>
      <c r="B187" s="6" t="s">
        <v>454</v>
      </c>
      <c r="C187" s="6" t="s">
        <v>307</v>
      </c>
      <c r="D187" s="6" t="s">
        <v>37</v>
      </c>
      <c r="E187" s="6" t="s">
        <v>22</v>
      </c>
      <c r="F187" s="6" t="s">
        <v>23</v>
      </c>
      <c r="G187" s="6">
        <v>41</v>
      </c>
      <c r="H187" s="6">
        <v>43.18</v>
      </c>
      <c r="I187" s="6">
        <v>1770.38</v>
      </c>
      <c r="J187" s="6">
        <v>128.4</v>
      </c>
      <c r="K187" s="6">
        <v>206.98</v>
      </c>
      <c r="L187" s="6" t="s">
        <v>33</v>
      </c>
      <c r="M187" s="6" t="s">
        <v>41</v>
      </c>
      <c r="N187" s="6" t="s">
        <v>35</v>
      </c>
      <c r="P187" t="str">
        <f t="shared" si="6"/>
        <v>Laura</v>
      </c>
      <c r="Q187" t="str">
        <f t="shared" si="7"/>
        <v>Hernandez</v>
      </c>
      <c r="R187" t="str">
        <f t="shared" si="8"/>
        <v>LaHe187</v>
      </c>
    </row>
    <row r="188" spans="1:18" x14ac:dyDescent="0.3">
      <c r="A188" s="6" t="s">
        <v>507</v>
      </c>
      <c r="B188" s="6" t="s">
        <v>508</v>
      </c>
      <c r="C188" s="6" t="s">
        <v>162</v>
      </c>
      <c r="D188" s="6" t="s">
        <v>206</v>
      </c>
      <c r="E188" s="6" t="s">
        <v>86</v>
      </c>
      <c r="F188" s="6" t="s">
        <v>47</v>
      </c>
      <c r="G188" s="6">
        <v>37</v>
      </c>
      <c r="H188" s="6">
        <v>19.8</v>
      </c>
      <c r="I188" s="6">
        <v>732.6</v>
      </c>
      <c r="J188" s="6">
        <v>54.68</v>
      </c>
      <c r="K188" s="6">
        <v>206.17</v>
      </c>
      <c r="L188" s="6" t="s">
        <v>24</v>
      </c>
      <c r="M188" s="6" t="s">
        <v>34</v>
      </c>
      <c r="N188" s="6" t="s">
        <v>207</v>
      </c>
      <c r="P188" t="str">
        <f t="shared" si="6"/>
        <v>Laura</v>
      </c>
      <c r="Q188" t="str">
        <f t="shared" si="7"/>
        <v>Jones</v>
      </c>
      <c r="R188" t="str">
        <f t="shared" si="8"/>
        <v>LaJo188</v>
      </c>
    </row>
    <row r="189" spans="1:18" x14ac:dyDescent="0.3">
      <c r="A189" s="6" t="s">
        <v>509</v>
      </c>
      <c r="B189" s="6" t="s">
        <v>510</v>
      </c>
      <c r="C189" s="6" t="s">
        <v>511</v>
      </c>
      <c r="D189" s="6" t="s">
        <v>62</v>
      </c>
      <c r="E189" s="6" t="s">
        <v>86</v>
      </c>
      <c r="F189" s="6" t="s">
        <v>47</v>
      </c>
      <c r="G189" s="6">
        <v>4</v>
      </c>
      <c r="H189" s="6">
        <v>18.059999999999999</v>
      </c>
      <c r="I189" s="6">
        <v>72.239999999999995</v>
      </c>
      <c r="J189" s="6">
        <v>4.66</v>
      </c>
      <c r="K189" s="6">
        <v>16.579999999999998</v>
      </c>
      <c r="L189" s="6" t="s">
        <v>24</v>
      </c>
      <c r="M189" s="6" t="s">
        <v>25</v>
      </c>
      <c r="N189" s="6" t="s">
        <v>98</v>
      </c>
      <c r="P189" t="str">
        <f t="shared" si="6"/>
        <v>Emma</v>
      </c>
      <c r="Q189" t="str">
        <f t="shared" si="7"/>
        <v>Miller</v>
      </c>
      <c r="R189" t="str">
        <f t="shared" si="8"/>
        <v>EmMi189</v>
      </c>
    </row>
    <row r="190" spans="1:18" x14ac:dyDescent="0.3">
      <c r="A190" s="6" t="s">
        <v>512</v>
      </c>
      <c r="B190" s="6" t="s">
        <v>412</v>
      </c>
      <c r="C190" s="6" t="s">
        <v>391</v>
      </c>
      <c r="D190" s="6" t="s">
        <v>21</v>
      </c>
      <c r="E190" s="6" t="s">
        <v>22</v>
      </c>
      <c r="F190" s="6" t="s">
        <v>23</v>
      </c>
      <c r="G190" s="6">
        <v>40</v>
      </c>
      <c r="H190" s="6">
        <v>55.59</v>
      </c>
      <c r="I190" s="6">
        <v>2223.6</v>
      </c>
      <c r="J190" s="6">
        <v>74.569999999999993</v>
      </c>
      <c r="K190" s="6">
        <v>749.03</v>
      </c>
      <c r="L190" s="6" t="s">
        <v>24</v>
      </c>
      <c r="M190" s="6" t="s">
        <v>25</v>
      </c>
      <c r="N190" s="6" t="s">
        <v>98</v>
      </c>
      <c r="P190" t="str">
        <f t="shared" si="6"/>
        <v>John</v>
      </c>
      <c r="Q190" t="str">
        <f t="shared" si="7"/>
        <v>Martinez</v>
      </c>
      <c r="R190" t="str">
        <f t="shared" si="8"/>
        <v>JoMa190</v>
      </c>
    </row>
    <row r="191" spans="1:18" x14ac:dyDescent="0.3">
      <c r="A191" s="6" t="s">
        <v>513</v>
      </c>
      <c r="B191" s="6" t="s">
        <v>327</v>
      </c>
      <c r="C191" s="6" t="s">
        <v>20</v>
      </c>
      <c r="D191" s="6" t="s">
        <v>127</v>
      </c>
      <c r="E191" s="6" t="s">
        <v>74</v>
      </c>
      <c r="F191" s="6" t="s">
        <v>75</v>
      </c>
      <c r="G191" s="6">
        <v>5</v>
      </c>
      <c r="H191" s="6">
        <v>31.58</v>
      </c>
      <c r="I191" s="6">
        <v>157.9</v>
      </c>
      <c r="J191" s="6">
        <v>3.73</v>
      </c>
      <c r="K191" s="6">
        <v>29.17</v>
      </c>
      <c r="L191" s="6" t="s">
        <v>24</v>
      </c>
      <c r="M191" s="6" t="s">
        <v>34</v>
      </c>
      <c r="N191" s="6" t="s">
        <v>76</v>
      </c>
      <c r="P191" t="str">
        <f t="shared" si="6"/>
        <v>Emily</v>
      </c>
      <c r="Q191" t="str">
        <f t="shared" si="7"/>
        <v>Smith</v>
      </c>
      <c r="R191" t="str">
        <f t="shared" si="8"/>
        <v>EmSm191</v>
      </c>
    </row>
    <row r="192" spans="1:18" x14ac:dyDescent="0.3">
      <c r="A192" s="6" t="s">
        <v>514</v>
      </c>
      <c r="B192" s="6" t="s">
        <v>515</v>
      </c>
      <c r="C192" s="6" t="s">
        <v>188</v>
      </c>
      <c r="D192" s="6" t="s">
        <v>55</v>
      </c>
      <c r="E192" s="6" t="s">
        <v>32</v>
      </c>
      <c r="F192" s="6" t="s">
        <v>23</v>
      </c>
      <c r="G192" s="6">
        <v>50</v>
      </c>
      <c r="H192" s="6">
        <v>26.67</v>
      </c>
      <c r="I192" s="6">
        <v>1333.5</v>
      </c>
      <c r="J192" s="6">
        <v>80.150000000000006</v>
      </c>
      <c r="K192" s="6">
        <v>353.35</v>
      </c>
      <c r="L192" s="6" t="s">
        <v>48</v>
      </c>
      <c r="M192" s="6" t="s">
        <v>25</v>
      </c>
      <c r="N192" s="6" t="s">
        <v>98</v>
      </c>
      <c r="P192" t="str">
        <f t="shared" si="6"/>
        <v>David</v>
      </c>
      <c r="Q192" t="str">
        <f t="shared" si="7"/>
        <v>Miller</v>
      </c>
      <c r="R192" t="str">
        <f t="shared" si="8"/>
        <v>DaMi192</v>
      </c>
    </row>
    <row r="193" spans="1:18" x14ac:dyDescent="0.3">
      <c r="A193" s="6" t="s">
        <v>516</v>
      </c>
      <c r="B193" s="6" t="s">
        <v>517</v>
      </c>
      <c r="C193" s="6" t="s">
        <v>352</v>
      </c>
      <c r="D193" s="6" t="s">
        <v>116</v>
      </c>
      <c r="E193" s="6" t="s">
        <v>81</v>
      </c>
      <c r="F193" s="6" t="s">
        <v>68</v>
      </c>
      <c r="G193" s="6">
        <v>17</v>
      </c>
      <c r="H193" s="6">
        <v>20.68</v>
      </c>
      <c r="I193" s="6">
        <v>351.56</v>
      </c>
      <c r="J193" s="6">
        <v>18.47</v>
      </c>
      <c r="K193" s="6">
        <v>69.59</v>
      </c>
      <c r="L193" s="6" t="s">
        <v>48</v>
      </c>
      <c r="M193" s="6" t="s">
        <v>34</v>
      </c>
      <c r="N193" s="6" t="s">
        <v>76</v>
      </c>
      <c r="P193" t="str">
        <f t="shared" si="6"/>
        <v>David</v>
      </c>
      <c r="Q193" t="str">
        <f t="shared" si="7"/>
        <v>Johnson</v>
      </c>
      <c r="R193" t="str">
        <f t="shared" si="8"/>
        <v>DaJo193</v>
      </c>
    </row>
    <row r="194" spans="1:18" x14ac:dyDescent="0.3">
      <c r="A194" s="6" t="s">
        <v>518</v>
      </c>
      <c r="B194" s="6" t="s">
        <v>259</v>
      </c>
      <c r="C194" s="6" t="s">
        <v>440</v>
      </c>
      <c r="D194" s="6" t="s">
        <v>141</v>
      </c>
      <c r="E194" s="6" t="s">
        <v>22</v>
      </c>
      <c r="F194" s="6" t="s">
        <v>23</v>
      </c>
      <c r="G194" s="6">
        <v>29</v>
      </c>
      <c r="H194" s="6">
        <v>55.19</v>
      </c>
      <c r="I194" s="6">
        <v>1600.51</v>
      </c>
      <c r="J194" s="6">
        <v>103.06</v>
      </c>
      <c r="K194" s="6">
        <v>482.45</v>
      </c>
      <c r="L194" s="6" t="s">
        <v>24</v>
      </c>
      <c r="M194" s="6" t="s">
        <v>41</v>
      </c>
      <c r="N194" s="6" t="s">
        <v>142</v>
      </c>
      <c r="P194" t="str">
        <f t="shared" si="6"/>
        <v>Sophia</v>
      </c>
      <c r="Q194" t="str">
        <f t="shared" si="7"/>
        <v>Davis</v>
      </c>
      <c r="R194" t="str">
        <f t="shared" si="8"/>
        <v>SoDa194</v>
      </c>
    </row>
    <row r="195" spans="1:18" x14ac:dyDescent="0.3">
      <c r="A195" s="6" t="s">
        <v>519</v>
      </c>
      <c r="B195" s="6" t="s">
        <v>520</v>
      </c>
      <c r="C195" s="6" t="s">
        <v>521</v>
      </c>
      <c r="D195" s="6" t="s">
        <v>116</v>
      </c>
      <c r="E195" s="6" t="s">
        <v>22</v>
      </c>
      <c r="F195" s="6" t="s">
        <v>23</v>
      </c>
      <c r="G195" s="6">
        <v>34</v>
      </c>
      <c r="H195" s="6">
        <v>61.62</v>
      </c>
      <c r="I195" s="6">
        <v>2095.08</v>
      </c>
      <c r="J195" s="6">
        <v>80.13</v>
      </c>
      <c r="K195" s="6">
        <v>824.95</v>
      </c>
      <c r="L195" s="6" t="s">
        <v>33</v>
      </c>
      <c r="M195" s="6" t="s">
        <v>25</v>
      </c>
      <c r="N195" s="6" t="s">
        <v>76</v>
      </c>
      <c r="P195" t="str">
        <f t="shared" si="6"/>
        <v>Daniel</v>
      </c>
      <c r="Q195" t="str">
        <f t="shared" si="7"/>
        <v>Garcia</v>
      </c>
      <c r="R195" t="str">
        <f t="shared" si="8"/>
        <v>DaGa195</v>
      </c>
    </row>
    <row r="196" spans="1:18" x14ac:dyDescent="0.3">
      <c r="A196" s="6" t="s">
        <v>522</v>
      </c>
      <c r="B196" s="6" t="s">
        <v>306</v>
      </c>
      <c r="C196" s="6" t="s">
        <v>277</v>
      </c>
      <c r="D196" s="6" t="s">
        <v>62</v>
      </c>
      <c r="E196" s="6" t="s">
        <v>67</v>
      </c>
      <c r="F196" s="6" t="s">
        <v>68</v>
      </c>
      <c r="G196" s="6">
        <v>10</v>
      </c>
      <c r="H196" s="6">
        <v>40.03</v>
      </c>
      <c r="I196" s="6">
        <v>400.3</v>
      </c>
      <c r="J196" s="6">
        <v>25.8</v>
      </c>
      <c r="K196" s="6">
        <v>149.5</v>
      </c>
      <c r="L196" s="6" t="s">
        <v>48</v>
      </c>
      <c r="M196" s="6" t="s">
        <v>25</v>
      </c>
      <c r="N196" s="6" t="s">
        <v>98</v>
      </c>
      <c r="P196" t="str">
        <f t="shared" si="6"/>
        <v>Michael</v>
      </c>
      <c r="Q196" t="str">
        <f t="shared" si="7"/>
        <v>Garcia</v>
      </c>
      <c r="R196" t="str">
        <f t="shared" si="8"/>
        <v>MiGa196</v>
      </c>
    </row>
    <row r="197" spans="1:18" x14ac:dyDescent="0.3">
      <c r="A197" s="6" t="s">
        <v>523</v>
      </c>
      <c r="B197" s="6" t="s">
        <v>524</v>
      </c>
      <c r="C197" s="6" t="s">
        <v>134</v>
      </c>
      <c r="D197" s="6" t="s">
        <v>123</v>
      </c>
      <c r="E197" s="6" t="s">
        <v>63</v>
      </c>
      <c r="F197" s="6" t="s">
        <v>47</v>
      </c>
      <c r="G197" s="6">
        <v>23</v>
      </c>
      <c r="H197" s="6">
        <v>31.3</v>
      </c>
      <c r="I197" s="6">
        <v>719.9</v>
      </c>
      <c r="J197" s="6">
        <v>47.88</v>
      </c>
      <c r="K197" s="6">
        <v>212.02</v>
      </c>
      <c r="L197" s="6" t="s">
        <v>33</v>
      </c>
      <c r="M197" s="6" t="s">
        <v>34</v>
      </c>
      <c r="N197" s="6" t="s">
        <v>76</v>
      </c>
      <c r="P197" t="str">
        <f t="shared" si="6"/>
        <v>Sarah</v>
      </c>
      <c r="Q197" t="str">
        <f t="shared" si="7"/>
        <v>Smith</v>
      </c>
      <c r="R197" t="str">
        <f t="shared" si="8"/>
        <v>SaSm197</v>
      </c>
    </row>
    <row r="198" spans="1:18" x14ac:dyDescent="0.3">
      <c r="A198" s="6" t="s">
        <v>525</v>
      </c>
      <c r="B198" s="6" t="s">
        <v>105</v>
      </c>
      <c r="C198" s="6" t="s">
        <v>148</v>
      </c>
      <c r="D198" s="6" t="s">
        <v>62</v>
      </c>
      <c r="E198" s="6" t="s">
        <v>22</v>
      </c>
      <c r="F198" s="6" t="s">
        <v>23</v>
      </c>
      <c r="G198" s="6">
        <v>37</v>
      </c>
      <c r="H198" s="6">
        <v>50.39</v>
      </c>
      <c r="I198" s="6">
        <v>1864.43</v>
      </c>
      <c r="J198" s="6">
        <v>60.06</v>
      </c>
      <c r="K198" s="6">
        <v>509.37</v>
      </c>
      <c r="L198" s="6" t="s">
        <v>33</v>
      </c>
      <c r="M198" s="6" t="s">
        <v>34</v>
      </c>
      <c r="N198" s="6" t="s">
        <v>98</v>
      </c>
      <c r="P198" t="str">
        <f t="shared" si="6"/>
        <v>Sarah</v>
      </c>
      <c r="Q198" t="str">
        <f t="shared" si="7"/>
        <v>Johnson</v>
      </c>
      <c r="R198" t="str">
        <f t="shared" si="8"/>
        <v>SaJo198</v>
      </c>
    </row>
    <row r="199" spans="1:18" x14ac:dyDescent="0.3">
      <c r="A199" s="6" t="s">
        <v>526</v>
      </c>
      <c r="B199" s="6" t="s">
        <v>527</v>
      </c>
      <c r="C199" s="6" t="s">
        <v>442</v>
      </c>
      <c r="D199" s="6" t="s">
        <v>21</v>
      </c>
      <c r="E199" s="6" t="s">
        <v>86</v>
      </c>
      <c r="F199" s="6" t="s">
        <v>47</v>
      </c>
      <c r="G199" s="6">
        <v>38</v>
      </c>
      <c r="H199" s="6">
        <v>16.97</v>
      </c>
      <c r="I199" s="6">
        <v>644.86</v>
      </c>
      <c r="J199" s="6">
        <v>40</v>
      </c>
      <c r="K199" s="6">
        <v>120.36</v>
      </c>
      <c r="L199" s="6" t="s">
        <v>48</v>
      </c>
      <c r="M199" s="6" t="s">
        <v>25</v>
      </c>
      <c r="N199" s="6" t="s">
        <v>98</v>
      </c>
      <c r="P199" t="str">
        <f t="shared" ref="P199:P262" si="9">TRIM(MID(C199,FIND(",",C199)+1,LEN(C199)))</f>
        <v>Daniel</v>
      </c>
      <c r="Q199" t="str">
        <f t="shared" ref="Q199:Q262" si="10">LEFT(C199,FIND(",",C199)-1)</f>
        <v>Jones</v>
      </c>
      <c r="R199" t="str">
        <f t="shared" ref="R199:R262" si="11">LEFT(P199,2)&amp;LEFT(Q199,2)&amp;ROW()</f>
        <v>DaJo199</v>
      </c>
    </row>
    <row r="200" spans="1:18" x14ac:dyDescent="0.3">
      <c r="A200" s="6" t="s">
        <v>528</v>
      </c>
      <c r="B200" s="6" t="s">
        <v>408</v>
      </c>
      <c r="C200" s="6" t="s">
        <v>328</v>
      </c>
      <c r="D200" s="6" t="s">
        <v>141</v>
      </c>
      <c r="E200" s="6" t="s">
        <v>63</v>
      </c>
      <c r="F200" s="6" t="s">
        <v>47</v>
      </c>
      <c r="G200" s="6">
        <v>2</v>
      </c>
      <c r="H200" s="6">
        <v>35.92</v>
      </c>
      <c r="I200" s="6">
        <v>71.84</v>
      </c>
      <c r="J200" s="6">
        <v>2.34</v>
      </c>
      <c r="K200" s="6">
        <v>29.5</v>
      </c>
      <c r="L200" s="6" t="s">
        <v>48</v>
      </c>
      <c r="M200" s="6" t="s">
        <v>34</v>
      </c>
      <c r="N200" s="6" t="s">
        <v>142</v>
      </c>
      <c r="P200" t="str">
        <f t="shared" si="9"/>
        <v>Sarah</v>
      </c>
      <c r="Q200" t="str">
        <f t="shared" si="10"/>
        <v>Miller</v>
      </c>
      <c r="R200" t="str">
        <f t="shared" si="11"/>
        <v>SaMi200</v>
      </c>
    </row>
    <row r="201" spans="1:18" x14ac:dyDescent="0.3">
      <c r="A201" s="6" t="s">
        <v>529</v>
      </c>
      <c r="B201" s="6" t="s">
        <v>530</v>
      </c>
      <c r="C201" s="6" t="s">
        <v>85</v>
      </c>
      <c r="D201" s="6" t="s">
        <v>45</v>
      </c>
      <c r="E201" s="6" t="s">
        <v>63</v>
      </c>
      <c r="F201" s="6" t="s">
        <v>47</v>
      </c>
      <c r="G201" s="6">
        <v>48</v>
      </c>
      <c r="H201" s="6">
        <v>31.87</v>
      </c>
      <c r="I201" s="6">
        <v>1529.76</v>
      </c>
      <c r="J201" s="6">
        <v>89.85</v>
      </c>
      <c r="K201" s="6">
        <v>479.91</v>
      </c>
      <c r="L201" s="6" t="s">
        <v>48</v>
      </c>
      <c r="M201" s="6" t="s">
        <v>25</v>
      </c>
      <c r="N201" s="6" t="s">
        <v>49</v>
      </c>
      <c r="P201" t="str">
        <f t="shared" si="9"/>
        <v>Laura</v>
      </c>
      <c r="Q201" t="str">
        <f t="shared" si="10"/>
        <v>Martinez</v>
      </c>
      <c r="R201" t="str">
        <f t="shared" si="11"/>
        <v>LaMa201</v>
      </c>
    </row>
    <row r="202" spans="1:18" x14ac:dyDescent="0.3">
      <c r="A202" s="6" t="s">
        <v>531</v>
      </c>
      <c r="B202" s="6" t="s">
        <v>532</v>
      </c>
      <c r="C202" s="6" t="s">
        <v>352</v>
      </c>
      <c r="D202" s="6" t="s">
        <v>206</v>
      </c>
      <c r="E202" s="6" t="s">
        <v>56</v>
      </c>
      <c r="F202" s="6" t="s">
        <v>57</v>
      </c>
      <c r="G202" s="6">
        <v>46</v>
      </c>
      <c r="H202" s="6">
        <v>70</v>
      </c>
      <c r="I202" s="6">
        <v>3220</v>
      </c>
      <c r="J202" s="6">
        <v>160.11000000000001</v>
      </c>
      <c r="K202" s="6">
        <v>1219.8900000000001</v>
      </c>
      <c r="L202" s="6" t="s">
        <v>33</v>
      </c>
      <c r="M202" s="6" t="s">
        <v>34</v>
      </c>
      <c r="N202" s="6" t="s">
        <v>207</v>
      </c>
      <c r="P202" t="str">
        <f t="shared" si="9"/>
        <v>David</v>
      </c>
      <c r="Q202" t="str">
        <f t="shared" si="10"/>
        <v>Johnson</v>
      </c>
      <c r="R202" t="str">
        <f t="shared" si="11"/>
        <v>DaJo202</v>
      </c>
    </row>
    <row r="203" spans="1:18" x14ac:dyDescent="0.3">
      <c r="A203" s="6" t="s">
        <v>533</v>
      </c>
      <c r="B203" s="6" t="s">
        <v>534</v>
      </c>
      <c r="C203" s="6" t="s">
        <v>480</v>
      </c>
      <c r="D203" s="6" t="s">
        <v>116</v>
      </c>
      <c r="E203" s="6" t="s">
        <v>22</v>
      </c>
      <c r="F203" s="6" t="s">
        <v>23</v>
      </c>
      <c r="G203" s="6">
        <v>45</v>
      </c>
      <c r="H203" s="6">
        <v>57.7</v>
      </c>
      <c r="I203" s="6">
        <v>2596.5</v>
      </c>
      <c r="J203" s="6">
        <v>102.52</v>
      </c>
      <c r="K203" s="6">
        <v>918.98</v>
      </c>
      <c r="L203" s="6" t="s">
        <v>33</v>
      </c>
      <c r="M203" s="6" t="s">
        <v>25</v>
      </c>
      <c r="N203" s="6" t="s">
        <v>76</v>
      </c>
      <c r="P203" t="str">
        <f t="shared" si="9"/>
        <v>Emily</v>
      </c>
      <c r="Q203" t="str">
        <f t="shared" si="10"/>
        <v>Jones</v>
      </c>
      <c r="R203" t="str">
        <f t="shared" si="11"/>
        <v>EmJo203</v>
      </c>
    </row>
    <row r="204" spans="1:18" x14ac:dyDescent="0.3">
      <c r="A204" s="6" t="s">
        <v>535</v>
      </c>
      <c r="B204" s="6" t="s">
        <v>536</v>
      </c>
      <c r="C204" s="6" t="s">
        <v>191</v>
      </c>
      <c r="D204" s="6" t="s">
        <v>127</v>
      </c>
      <c r="E204" s="6" t="s">
        <v>86</v>
      </c>
      <c r="F204" s="6" t="s">
        <v>47</v>
      </c>
      <c r="G204" s="6">
        <v>23</v>
      </c>
      <c r="H204" s="6">
        <v>20.23</v>
      </c>
      <c r="I204" s="6">
        <v>465.29</v>
      </c>
      <c r="J204" s="6">
        <v>17.29</v>
      </c>
      <c r="K204" s="6">
        <v>154.75</v>
      </c>
      <c r="L204" s="6" t="s">
        <v>48</v>
      </c>
      <c r="M204" s="6" t="s">
        <v>25</v>
      </c>
      <c r="N204" s="6" t="s">
        <v>76</v>
      </c>
      <c r="P204" t="str">
        <f t="shared" si="9"/>
        <v>Michael</v>
      </c>
      <c r="Q204" t="str">
        <f t="shared" si="10"/>
        <v>Smith</v>
      </c>
      <c r="R204" t="str">
        <f t="shared" si="11"/>
        <v>MiSm204</v>
      </c>
    </row>
    <row r="205" spans="1:18" x14ac:dyDescent="0.3">
      <c r="A205" s="6" t="s">
        <v>537</v>
      </c>
      <c r="B205" s="6" t="s">
        <v>224</v>
      </c>
      <c r="C205" s="6" t="s">
        <v>194</v>
      </c>
      <c r="D205" s="6" t="s">
        <v>37</v>
      </c>
      <c r="E205" s="6" t="s">
        <v>32</v>
      </c>
      <c r="F205" s="6" t="s">
        <v>23</v>
      </c>
      <c r="G205" s="6">
        <v>10</v>
      </c>
      <c r="H205" s="6">
        <v>22.96</v>
      </c>
      <c r="I205" s="6">
        <v>229.6</v>
      </c>
      <c r="J205" s="6">
        <v>18.260000000000002</v>
      </c>
      <c r="K205" s="6">
        <v>31.34</v>
      </c>
      <c r="L205" s="6" t="s">
        <v>24</v>
      </c>
      <c r="M205" s="6" t="s">
        <v>41</v>
      </c>
      <c r="N205" s="6" t="s">
        <v>35</v>
      </c>
      <c r="P205" t="str">
        <f t="shared" si="9"/>
        <v>Sarah</v>
      </c>
      <c r="Q205" t="str">
        <f t="shared" si="10"/>
        <v>Martinez</v>
      </c>
      <c r="R205" t="str">
        <f t="shared" si="11"/>
        <v>SaMa205</v>
      </c>
    </row>
    <row r="206" spans="1:18" x14ac:dyDescent="0.3">
      <c r="A206" s="6" t="s">
        <v>538</v>
      </c>
      <c r="B206" s="6" t="s">
        <v>493</v>
      </c>
      <c r="C206" s="6" t="s">
        <v>539</v>
      </c>
      <c r="D206" s="6" t="s">
        <v>45</v>
      </c>
      <c r="E206" s="6" t="s">
        <v>22</v>
      </c>
      <c r="F206" s="6" t="s">
        <v>23</v>
      </c>
      <c r="G206" s="6">
        <v>40</v>
      </c>
      <c r="H206" s="6">
        <v>54.84</v>
      </c>
      <c r="I206" s="6">
        <v>2193.6</v>
      </c>
      <c r="J206" s="6">
        <v>89.26</v>
      </c>
      <c r="K206" s="6">
        <v>704.34</v>
      </c>
      <c r="L206" s="6" t="s">
        <v>33</v>
      </c>
      <c r="M206" s="6" t="s">
        <v>25</v>
      </c>
      <c r="N206" s="6" t="s">
        <v>49</v>
      </c>
      <c r="P206" t="str">
        <f t="shared" si="9"/>
        <v>Sarah</v>
      </c>
      <c r="Q206" t="str">
        <f t="shared" si="10"/>
        <v>Jones</v>
      </c>
      <c r="R206" t="str">
        <f t="shared" si="11"/>
        <v>SaJo206</v>
      </c>
    </row>
    <row r="207" spans="1:18" x14ac:dyDescent="0.3">
      <c r="A207" s="6" t="s">
        <v>540</v>
      </c>
      <c r="B207" s="6" t="s">
        <v>541</v>
      </c>
      <c r="C207" s="6" t="s">
        <v>266</v>
      </c>
      <c r="D207" s="6" t="s">
        <v>116</v>
      </c>
      <c r="E207" s="6" t="s">
        <v>74</v>
      </c>
      <c r="F207" s="6" t="s">
        <v>75</v>
      </c>
      <c r="G207" s="6">
        <v>7</v>
      </c>
      <c r="H207" s="6">
        <v>36.43</v>
      </c>
      <c r="I207" s="6">
        <v>255.01</v>
      </c>
      <c r="J207" s="6">
        <v>6.3</v>
      </c>
      <c r="K207" s="6">
        <v>73.709999999999994</v>
      </c>
      <c r="L207" s="6" t="s">
        <v>24</v>
      </c>
      <c r="M207" s="6" t="s">
        <v>34</v>
      </c>
      <c r="N207" s="6" t="s">
        <v>76</v>
      </c>
      <c r="P207" t="str">
        <f t="shared" si="9"/>
        <v>Daniel</v>
      </c>
      <c r="Q207" t="str">
        <f t="shared" si="10"/>
        <v>Brown</v>
      </c>
      <c r="R207" t="str">
        <f t="shared" si="11"/>
        <v>DaBr207</v>
      </c>
    </row>
    <row r="208" spans="1:18" x14ac:dyDescent="0.3">
      <c r="A208" s="6" t="s">
        <v>542</v>
      </c>
      <c r="B208" s="6" t="s">
        <v>543</v>
      </c>
      <c r="C208" s="6" t="s">
        <v>328</v>
      </c>
      <c r="D208" s="6" t="s">
        <v>62</v>
      </c>
      <c r="E208" s="6" t="s">
        <v>86</v>
      </c>
      <c r="F208" s="6" t="s">
        <v>47</v>
      </c>
      <c r="G208" s="6">
        <v>39</v>
      </c>
      <c r="H208" s="6">
        <v>19.48</v>
      </c>
      <c r="I208" s="6">
        <v>759.72</v>
      </c>
      <c r="J208" s="6">
        <v>40.090000000000003</v>
      </c>
      <c r="K208" s="6">
        <v>222.38</v>
      </c>
      <c r="L208" s="6" t="s">
        <v>48</v>
      </c>
      <c r="M208" s="6" t="s">
        <v>34</v>
      </c>
      <c r="N208" s="6" t="s">
        <v>98</v>
      </c>
      <c r="P208" t="str">
        <f t="shared" si="9"/>
        <v>Sarah</v>
      </c>
      <c r="Q208" t="str">
        <f t="shared" si="10"/>
        <v>Miller</v>
      </c>
      <c r="R208" t="str">
        <f t="shared" si="11"/>
        <v>SaMi208</v>
      </c>
    </row>
    <row r="209" spans="1:18" x14ac:dyDescent="0.3">
      <c r="A209" s="6" t="s">
        <v>544</v>
      </c>
      <c r="B209" s="6" t="s">
        <v>444</v>
      </c>
      <c r="C209" s="6" t="s">
        <v>428</v>
      </c>
      <c r="D209" s="6" t="s">
        <v>141</v>
      </c>
      <c r="E209" s="6" t="s">
        <v>67</v>
      </c>
      <c r="F209" s="6" t="s">
        <v>68</v>
      </c>
      <c r="G209" s="6">
        <v>35</v>
      </c>
      <c r="H209" s="6">
        <v>38.83</v>
      </c>
      <c r="I209" s="6">
        <v>1359.05</v>
      </c>
      <c r="J209" s="6">
        <v>93.92</v>
      </c>
      <c r="K209" s="6">
        <v>477.63</v>
      </c>
      <c r="L209" s="6" t="s">
        <v>48</v>
      </c>
      <c r="M209" s="6" t="s">
        <v>34</v>
      </c>
      <c r="N209" s="6" t="s">
        <v>142</v>
      </c>
      <c r="P209" t="str">
        <f t="shared" si="9"/>
        <v>James</v>
      </c>
      <c r="Q209" t="str">
        <f t="shared" si="10"/>
        <v>Brown</v>
      </c>
      <c r="R209" t="str">
        <f t="shared" si="11"/>
        <v>JaBr209</v>
      </c>
    </row>
    <row r="210" spans="1:18" x14ac:dyDescent="0.3">
      <c r="A210" s="6" t="s">
        <v>545</v>
      </c>
      <c r="B210" s="6" t="s">
        <v>404</v>
      </c>
      <c r="C210" s="6" t="s">
        <v>232</v>
      </c>
      <c r="D210" s="6" t="s">
        <v>51</v>
      </c>
      <c r="E210" s="6" t="s">
        <v>63</v>
      </c>
      <c r="F210" s="6" t="s">
        <v>47</v>
      </c>
      <c r="G210" s="6">
        <v>39</v>
      </c>
      <c r="H210" s="6">
        <v>32.76</v>
      </c>
      <c r="I210" s="6">
        <v>1277.6400000000001</v>
      </c>
      <c r="J210" s="6">
        <v>35.81</v>
      </c>
      <c r="K210" s="6">
        <v>461.83</v>
      </c>
      <c r="L210" s="6" t="s">
        <v>33</v>
      </c>
      <c r="M210" s="6" t="s">
        <v>41</v>
      </c>
      <c r="N210" s="6" t="s">
        <v>76</v>
      </c>
      <c r="P210" t="str">
        <f t="shared" si="9"/>
        <v>Daniel</v>
      </c>
      <c r="Q210" t="str">
        <f t="shared" si="10"/>
        <v>Johnson</v>
      </c>
      <c r="R210" t="str">
        <f t="shared" si="11"/>
        <v>DaJo210</v>
      </c>
    </row>
    <row r="211" spans="1:18" x14ac:dyDescent="0.3">
      <c r="A211" s="6" t="s">
        <v>546</v>
      </c>
      <c r="B211" s="6" t="s">
        <v>547</v>
      </c>
      <c r="C211" s="6" t="s">
        <v>301</v>
      </c>
      <c r="D211" s="6" t="s">
        <v>21</v>
      </c>
      <c r="E211" s="6" t="s">
        <v>46</v>
      </c>
      <c r="F211" s="6" t="s">
        <v>47</v>
      </c>
      <c r="G211" s="6">
        <v>8</v>
      </c>
      <c r="H211" s="6">
        <v>39.869999999999997</v>
      </c>
      <c r="I211" s="6">
        <v>318.95999999999998</v>
      </c>
      <c r="J211" s="6">
        <v>15.95</v>
      </c>
      <c r="K211" s="6">
        <v>47.01</v>
      </c>
      <c r="L211" s="6" t="s">
        <v>48</v>
      </c>
      <c r="M211" s="6" t="s">
        <v>41</v>
      </c>
      <c r="N211" s="6" t="s">
        <v>98</v>
      </c>
      <c r="P211" t="str">
        <f t="shared" si="9"/>
        <v>Emma</v>
      </c>
      <c r="Q211" t="str">
        <f t="shared" si="10"/>
        <v>Davis</v>
      </c>
      <c r="R211" t="str">
        <f t="shared" si="11"/>
        <v>EmDa211</v>
      </c>
    </row>
    <row r="212" spans="1:18" x14ac:dyDescent="0.3">
      <c r="A212" s="6" t="s">
        <v>548</v>
      </c>
      <c r="B212" s="6" t="s">
        <v>153</v>
      </c>
      <c r="C212" s="6" t="s">
        <v>417</v>
      </c>
      <c r="D212" s="6" t="s">
        <v>123</v>
      </c>
      <c r="E212" s="6" t="s">
        <v>56</v>
      </c>
      <c r="F212" s="6" t="s">
        <v>57</v>
      </c>
      <c r="G212" s="6">
        <v>10</v>
      </c>
      <c r="H212" s="6">
        <v>63.1</v>
      </c>
      <c r="I212" s="6">
        <v>631</v>
      </c>
      <c r="J212" s="6">
        <v>26.93</v>
      </c>
      <c r="K212" s="6">
        <v>204.07</v>
      </c>
      <c r="L212" s="6" t="s">
        <v>33</v>
      </c>
      <c r="M212" s="6" t="s">
        <v>34</v>
      </c>
      <c r="N212" s="6" t="s">
        <v>76</v>
      </c>
      <c r="P212" t="str">
        <f t="shared" si="9"/>
        <v>Emily</v>
      </c>
      <c r="Q212" t="str">
        <f t="shared" si="10"/>
        <v>Brown</v>
      </c>
      <c r="R212" t="str">
        <f t="shared" si="11"/>
        <v>EmBr212</v>
      </c>
    </row>
    <row r="213" spans="1:18" x14ac:dyDescent="0.3">
      <c r="A213" s="6" t="s">
        <v>549</v>
      </c>
      <c r="B213" s="6" t="s">
        <v>550</v>
      </c>
      <c r="C213" s="6" t="s">
        <v>162</v>
      </c>
      <c r="D213" s="6" t="s">
        <v>241</v>
      </c>
      <c r="E213" s="6" t="s">
        <v>46</v>
      </c>
      <c r="F213" s="6" t="s">
        <v>47</v>
      </c>
      <c r="G213" s="6">
        <v>3</v>
      </c>
      <c r="H213" s="6">
        <v>55.1</v>
      </c>
      <c r="I213" s="6">
        <v>165.3</v>
      </c>
      <c r="J213" s="6">
        <v>9.17</v>
      </c>
      <c r="K213" s="6">
        <v>60.13</v>
      </c>
      <c r="L213" s="6" t="s">
        <v>24</v>
      </c>
      <c r="M213" s="6" t="s">
        <v>25</v>
      </c>
      <c r="N213" s="6" t="s">
        <v>35</v>
      </c>
      <c r="P213" t="str">
        <f t="shared" si="9"/>
        <v>Laura</v>
      </c>
      <c r="Q213" t="str">
        <f t="shared" si="10"/>
        <v>Jones</v>
      </c>
      <c r="R213" t="str">
        <f t="shared" si="11"/>
        <v>LaJo213</v>
      </c>
    </row>
    <row r="214" spans="1:18" x14ac:dyDescent="0.3">
      <c r="A214" s="6" t="s">
        <v>551</v>
      </c>
      <c r="B214" s="6" t="s">
        <v>552</v>
      </c>
      <c r="C214" s="6" t="s">
        <v>119</v>
      </c>
      <c r="D214" s="6" t="s">
        <v>70</v>
      </c>
      <c r="E214" s="6" t="s">
        <v>81</v>
      </c>
      <c r="F214" s="6" t="s">
        <v>68</v>
      </c>
      <c r="G214" s="6">
        <v>26</v>
      </c>
      <c r="H214" s="6">
        <v>19.809999999999999</v>
      </c>
      <c r="I214" s="6">
        <v>515.05999999999995</v>
      </c>
      <c r="J214" s="6">
        <v>10.3</v>
      </c>
      <c r="K214" s="6">
        <v>101.76</v>
      </c>
      <c r="L214" s="6" t="s">
        <v>48</v>
      </c>
      <c r="M214" s="6" t="s">
        <v>34</v>
      </c>
      <c r="N214" s="6" t="s">
        <v>76</v>
      </c>
      <c r="P214" t="str">
        <f t="shared" si="9"/>
        <v>Emma</v>
      </c>
      <c r="Q214" t="str">
        <f t="shared" si="10"/>
        <v>Smith</v>
      </c>
      <c r="R214" t="str">
        <f t="shared" si="11"/>
        <v>EmSm214</v>
      </c>
    </row>
    <row r="215" spans="1:18" x14ac:dyDescent="0.3">
      <c r="A215" s="6" t="s">
        <v>553</v>
      </c>
      <c r="B215" s="6" t="s">
        <v>554</v>
      </c>
      <c r="C215" s="6" t="s">
        <v>174</v>
      </c>
      <c r="D215" s="6" t="s">
        <v>123</v>
      </c>
      <c r="E215" s="6" t="s">
        <v>56</v>
      </c>
      <c r="F215" s="6" t="s">
        <v>57</v>
      </c>
      <c r="G215" s="6">
        <v>17</v>
      </c>
      <c r="H215" s="6">
        <v>53.34</v>
      </c>
      <c r="I215" s="6">
        <v>906.78</v>
      </c>
      <c r="J215" s="6">
        <v>30.6</v>
      </c>
      <c r="K215" s="6">
        <v>196.18</v>
      </c>
      <c r="L215" s="6" t="s">
        <v>24</v>
      </c>
      <c r="M215" s="6" t="s">
        <v>34</v>
      </c>
      <c r="N215" s="6" t="s">
        <v>76</v>
      </c>
      <c r="P215" t="str">
        <f t="shared" si="9"/>
        <v>Sophia</v>
      </c>
      <c r="Q215" t="str">
        <f t="shared" si="10"/>
        <v>Garcia</v>
      </c>
      <c r="R215" t="str">
        <f t="shared" si="11"/>
        <v>SoGa215</v>
      </c>
    </row>
    <row r="216" spans="1:18" x14ac:dyDescent="0.3">
      <c r="A216" s="6" t="s">
        <v>555</v>
      </c>
      <c r="B216" s="6" t="s">
        <v>556</v>
      </c>
      <c r="C216" s="6" t="s">
        <v>151</v>
      </c>
      <c r="D216" s="6" t="s">
        <v>51</v>
      </c>
      <c r="E216" s="6" t="s">
        <v>63</v>
      </c>
      <c r="F216" s="6" t="s">
        <v>47</v>
      </c>
      <c r="G216" s="6">
        <v>17</v>
      </c>
      <c r="H216" s="6">
        <v>28.23</v>
      </c>
      <c r="I216" s="6">
        <v>479.91</v>
      </c>
      <c r="J216" s="6">
        <v>31.88</v>
      </c>
      <c r="K216" s="6">
        <v>108.03</v>
      </c>
      <c r="L216" s="6" t="s">
        <v>33</v>
      </c>
      <c r="M216" s="6" t="s">
        <v>25</v>
      </c>
      <c r="N216" s="6" t="s">
        <v>76</v>
      </c>
      <c r="P216" t="str">
        <f t="shared" si="9"/>
        <v>Sophia</v>
      </c>
      <c r="Q216" t="str">
        <f t="shared" si="10"/>
        <v>Hernandez</v>
      </c>
      <c r="R216" t="str">
        <f t="shared" si="11"/>
        <v>SoHe216</v>
      </c>
    </row>
    <row r="217" spans="1:18" x14ac:dyDescent="0.3">
      <c r="A217" s="6" t="s">
        <v>557</v>
      </c>
      <c r="B217" s="6" t="s">
        <v>558</v>
      </c>
      <c r="C217" s="6" t="s">
        <v>559</v>
      </c>
      <c r="D217" s="6" t="s">
        <v>241</v>
      </c>
      <c r="E217" s="6" t="s">
        <v>32</v>
      </c>
      <c r="F217" s="6" t="s">
        <v>23</v>
      </c>
      <c r="G217" s="6">
        <v>42</v>
      </c>
      <c r="H217" s="6">
        <v>25.26</v>
      </c>
      <c r="I217" s="6">
        <v>1060.92</v>
      </c>
      <c r="J217" s="6">
        <v>77.05</v>
      </c>
      <c r="K217" s="6">
        <v>227.87</v>
      </c>
      <c r="L217" s="6" t="s">
        <v>24</v>
      </c>
      <c r="M217" s="6" t="s">
        <v>41</v>
      </c>
      <c r="N217" s="6" t="s">
        <v>35</v>
      </c>
      <c r="P217" t="str">
        <f t="shared" si="9"/>
        <v>David</v>
      </c>
      <c r="Q217" t="str">
        <f t="shared" si="10"/>
        <v>Brown</v>
      </c>
      <c r="R217" t="str">
        <f t="shared" si="11"/>
        <v>DaBr217</v>
      </c>
    </row>
    <row r="218" spans="1:18" x14ac:dyDescent="0.3">
      <c r="A218" s="6" t="s">
        <v>560</v>
      </c>
      <c r="B218" s="6" t="s">
        <v>561</v>
      </c>
      <c r="C218" s="6" t="s">
        <v>238</v>
      </c>
      <c r="D218" s="6" t="s">
        <v>70</v>
      </c>
      <c r="E218" s="6" t="s">
        <v>32</v>
      </c>
      <c r="F218" s="6" t="s">
        <v>23</v>
      </c>
      <c r="G218" s="6">
        <v>2</v>
      </c>
      <c r="H218" s="6">
        <v>27.27</v>
      </c>
      <c r="I218" s="6">
        <v>54.54</v>
      </c>
      <c r="J218" s="6">
        <v>1.45</v>
      </c>
      <c r="K218" s="6">
        <v>17.09</v>
      </c>
      <c r="L218" s="6" t="s">
        <v>24</v>
      </c>
      <c r="M218" s="6" t="s">
        <v>41</v>
      </c>
      <c r="N218" s="6" t="s">
        <v>76</v>
      </c>
      <c r="P218" t="str">
        <f t="shared" si="9"/>
        <v>Sarah</v>
      </c>
      <c r="Q218" t="str">
        <f t="shared" si="10"/>
        <v>Garcia</v>
      </c>
      <c r="R218" t="str">
        <f t="shared" si="11"/>
        <v>SaGa218</v>
      </c>
    </row>
    <row r="219" spans="1:18" x14ac:dyDescent="0.3">
      <c r="A219" s="6" t="s">
        <v>562</v>
      </c>
      <c r="B219" s="6" t="s">
        <v>563</v>
      </c>
      <c r="C219" s="6" t="s">
        <v>369</v>
      </c>
      <c r="D219" s="6" t="s">
        <v>123</v>
      </c>
      <c r="E219" s="6" t="s">
        <v>137</v>
      </c>
      <c r="F219" s="6" t="s">
        <v>68</v>
      </c>
      <c r="G219" s="6">
        <v>48</v>
      </c>
      <c r="H219" s="6">
        <v>44.95</v>
      </c>
      <c r="I219" s="6">
        <v>2157.6</v>
      </c>
      <c r="J219" s="6">
        <v>148.41</v>
      </c>
      <c r="K219" s="6">
        <v>665.19</v>
      </c>
      <c r="L219" s="6" t="s">
        <v>24</v>
      </c>
      <c r="M219" s="6" t="s">
        <v>25</v>
      </c>
      <c r="N219" s="6" t="s">
        <v>76</v>
      </c>
      <c r="P219" t="str">
        <f t="shared" si="9"/>
        <v>Emily</v>
      </c>
      <c r="Q219" t="str">
        <f t="shared" si="10"/>
        <v>Martinez</v>
      </c>
      <c r="R219" t="str">
        <f t="shared" si="11"/>
        <v>EmMa219</v>
      </c>
    </row>
    <row r="220" spans="1:18" x14ac:dyDescent="0.3">
      <c r="A220" s="6" t="s">
        <v>564</v>
      </c>
      <c r="B220" s="6" t="s">
        <v>400</v>
      </c>
      <c r="C220" s="6" t="s">
        <v>559</v>
      </c>
      <c r="D220" s="6" t="s">
        <v>116</v>
      </c>
      <c r="E220" s="6" t="s">
        <v>63</v>
      </c>
      <c r="F220" s="6" t="s">
        <v>47</v>
      </c>
      <c r="G220" s="6">
        <v>23</v>
      </c>
      <c r="H220" s="6">
        <v>28.6</v>
      </c>
      <c r="I220" s="6">
        <v>657.8</v>
      </c>
      <c r="J220" s="6">
        <v>13.36</v>
      </c>
      <c r="K220" s="6">
        <v>184.44</v>
      </c>
      <c r="L220" s="6" t="s">
        <v>24</v>
      </c>
      <c r="M220" s="6" t="s">
        <v>41</v>
      </c>
      <c r="N220" s="6" t="s">
        <v>76</v>
      </c>
      <c r="P220" t="str">
        <f t="shared" si="9"/>
        <v>David</v>
      </c>
      <c r="Q220" t="str">
        <f t="shared" si="10"/>
        <v>Brown</v>
      </c>
      <c r="R220" t="str">
        <f t="shared" si="11"/>
        <v>DaBr220</v>
      </c>
    </row>
    <row r="221" spans="1:18" x14ac:dyDescent="0.3">
      <c r="A221" s="6" t="s">
        <v>565</v>
      </c>
      <c r="B221" s="6" t="s">
        <v>309</v>
      </c>
      <c r="C221" s="6" t="s">
        <v>174</v>
      </c>
      <c r="D221" s="6" t="s">
        <v>171</v>
      </c>
      <c r="E221" s="6" t="s">
        <v>81</v>
      </c>
      <c r="F221" s="6" t="s">
        <v>68</v>
      </c>
      <c r="G221" s="6">
        <v>18</v>
      </c>
      <c r="H221" s="6">
        <v>26.1</v>
      </c>
      <c r="I221" s="6">
        <v>469.8</v>
      </c>
      <c r="J221" s="6">
        <v>19.52</v>
      </c>
      <c r="K221" s="6">
        <v>171.28</v>
      </c>
      <c r="L221" s="6" t="s">
        <v>48</v>
      </c>
      <c r="M221" s="6" t="s">
        <v>25</v>
      </c>
      <c r="N221" s="6" t="s">
        <v>35</v>
      </c>
      <c r="P221" t="str">
        <f t="shared" si="9"/>
        <v>Sophia</v>
      </c>
      <c r="Q221" t="str">
        <f t="shared" si="10"/>
        <v>Garcia</v>
      </c>
      <c r="R221" t="str">
        <f t="shared" si="11"/>
        <v>SoGa221</v>
      </c>
    </row>
    <row r="222" spans="1:18" x14ac:dyDescent="0.3">
      <c r="A222" s="6" t="s">
        <v>566</v>
      </c>
      <c r="B222" s="6" t="s">
        <v>567</v>
      </c>
      <c r="C222" s="6" t="s">
        <v>568</v>
      </c>
      <c r="D222" s="6" t="s">
        <v>62</v>
      </c>
      <c r="E222" s="6" t="s">
        <v>137</v>
      </c>
      <c r="F222" s="6" t="s">
        <v>68</v>
      </c>
      <c r="G222" s="6">
        <v>21</v>
      </c>
      <c r="H222" s="6">
        <v>37.450000000000003</v>
      </c>
      <c r="I222" s="6">
        <v>786.45</v>
      </c>
      <c r="J222" s="6">
        <v>62.4</v>
      </c>
      <c r="K222" s="6">
        <v>136.05000000000001</v>
      </c>
      <c r="L222" s="6" t="s">
        <v>24</v>
      </c>
      <c r="M222" s="6" t="s">
        <v>41</v>
      </c>
      <c r="N222" s="6" t="s">
        <v>98</v>
      </c>
      <c r="P222" t="str">
        <f t="shared" si="9"/>
        <v>John</v>
      </c>
      <c r="Q222" t="str">
        <f t="shared" si="10"/>
        <v>Johnson</v>
      </c>
      <c r="R222" t="str">
        <f t="shared" si="11"/>
        <v>JoJo222</v>
      </c>
    </row>
    <row r="223" spans="1:18" x14ac:dyDescent="0.3">
      <c r="A223" s="6" t="s">
        <v>569</v>
      </c>
      <c r="B223" s="6" t="s">
        <v>570</v>
      </c>
      <c r="C223" s="6" t="s">
        <v>511</v>
      </c>
      <c r="D223" s="6" t="s">
        <v>116</v>
      </c>
      <c r="E223" s="6" t="s">
        <v>63</v>
      </c>
      <c r="F223" s="6" t="s">
        <v>47</v>
      </c>
      <c r="G223" s="6">
        <v>25</v>
      </c>
      <c r="H223" s="6">
        <v>28.54</v>
      </c>
      <c r="I223" s="6">
        <v>713.5</v>
      </c>
      <c r="J223" s="6">
        <v>50.38</v>
      </c>
      <c r="K223" s="6">
        <v>163.12</v>
      </c>
      <c r="L223" s="6" t="s">
        <v>24</v>
      </c>
      <c r="M223" s="6" t="s">
        <v>25</v>
      </c>
      <c r="N223" s="6" t="s">
        <v>76</v>
      </c>
      <c r="P223" t="str">
        <f t="shared" si="9"/>
        <v>Emma</v>
      </c>
      <c r="Q223" t="str">
        <f t="shared" si="10"/>
        <v>Miller</v>
      </c>
      <c r="R223" t="str">
        <f t="shared" si="11"/>
        <v>EmMi223</v>
      </c>
    </row>
    <row r="224" spans="1:18" x14ac:dyDescent="0.3">
      <c r="A224" s="6" t="s">
        <v>571</v>
      </c>
      <c r="B224" s="6" t="s">
        <v>303</v>
      </c>
      <c r="C224" s="6" t="s">
        <v>182</v>
      </c>
      <c r="D224" s="6" t="s">
        <v>21</v>
      </c>
      <c r="E224" s="6" t="s">
        <v>74</v>
      </c>
      <c r="F224" s="6" t="s">
        <v>75</v>
      </c>
      <c r="G224" s="6">
        <v>11</v>
      </c>
      <c r="H224" s="6">
        <v>38.07</v>
      </c>
      <c r="I224" s="6">
        <v>418.77</v>
      </c>
      <c r="J224" s="6">
        <v>29.02</v>
      </c>
      <c r="K224" s="6">
        <v>114.75</v>
      </c>
      <c r="L224" s="6" t="s">
        <v>33</v>
      </c>
      <c r="M224" s="6" t="s">
        <v>25</v>
      </c>
      <c r="N224" s="6" t="s">
        <v>98</v>
      </c>
      <c r="P224" t="str">
        <f t="shared" si="9"/>
        <v>John</v>
      </c>
      <c r="Q224" t="str">
        <f t="shared" si="10"/>
        <v>Hernandez</v>
      </c>
      <c r="R224" t="str">
        <f t="shared" si="11"/>
        <v>JoHe224</v>
      </c>
    </row>
    <row r="225" spans="1:18" x14ac:dyDescent="0.3">
      <c r="A225" s="6" t="s">
        <v>572</v>
      </c>
      <c r="B225" s="6" t="s">
        <v>573</v>
      </c>
      <c r="C225" s="6" t="s">
        <v>574</v>
      </c>
      <c r="D225" s="6" t="s">
        <v>55</v>
      </c>
      <c r="E225" s="6" t="s">
        <v>81</v>
      </c>
      <c r="F225" s="6" t="s">
        <v>68</v>
      </c>
      <c r="G225" s="6">
        <v>18</v>
      </c>
      <c r="H225" s="6">
        <v>19.32</v>
      </c>
      <c r="I225" s="6">
        <v>347.76</v>
      </c>
      <c r="J225" s="6">
        <v>21.34</v>
      </c>
      <c r="K225" s="6">
        <v>47.42</v>
      </c>
      <c r="L225" s="6" t="s">
        <v>33</v>
      </c>
      <c r="M225" s="6" t="s">
        <v>25</v>
      </c>
      <c r="N225" s="6" t="s">
        <v>98</v>
      </c>
      <c r="P225" t="str">
        <f t="shared" si="9"/>
        <v>Sophia</v>
      </c>
      <c r="Q225" t="str">
        <f t="shared" si="10"/>
        <v>Brown</v>
      </c>
      <c r="R225" t="str">
        <f t="shared" si="11"/>
        <v>SoBr225</v>
      </c>
    </row>
    <row r="226" spans="1:18" x14ac:dyDescent="0.3">
      <c r="A226" s="6" t="s">
        <v>575</v>
      </c>
      <c r="B226" s="6" t="s">
        <v>281</v>
      </c>
      <c r="C226" s="6" t="s">
        <v>110</v>
      </c>
      <c r="D226" s="6" t="s">
        <v>31</v>
      </c>
      <c r="E226" s="6" t="s">
        <v>137</v>
      </c>
      <c r="F226" s="6" t="s">
        <v>68</v>
      </c>
      <c r="G226" s="6">
        <v>42</v>
      </c>
      <c r="H226" s="6">
        <v>50.02</v>
      </c>
      <c r="I226" s="6">
        <v>2100.84</v>
      </c>
      <c r="J226" s="6">
        <v>89.65</v>
      </c>
      <c r="K226" s="6">
        <v>835.19</v>
      </c>
      <c r="L226" s="6" t="s">
        <v>33</v>
      </c>
      <c r="M226" s="6" t="s">
        <v>34</v>
      </c>
      <c r="N226" s="6" t="s">
        <v>35</v>
      </c>
      <c r="P226" t="str">
        <f t="shared" si="9"/>
        <v>James</v>
      </c>
      <c r="Q226" t="str">
        <f t="shared" si="10"/>
        <v>Martinez</v>
      </c>
      <c r="R226" t="str">
        <f t="shared" si="11"/>
        <v>JaMa226</v>
      </c>
    </row>
    <row r="227" spans="1:18" x14ac:dyDescent="0.3">
      <c r="A227" s="6" t="s">
        <v>576</v>
      </c>
      <c r="B227" s="6" t="s">
        <v>577</v>
      </c>
      <c r="C227" s="6" t="s">
        <v>410</v>
      </c>
      <c r="D227" s="6" t="s">
        <v>206</v>
      </c>
      <c r="E227" s="6" t="s">
        <v>137</v>
      </c>
      <c r="F227" s="6" t="s">
        <v>68</v>
      </c>
      <c r="G227" s="6">
        <v>13</v>
      </c>
      <c r="H227" s="6">
        <v>49.39</v>
      </c>
      <c r="I227" s="6">
        <v>642.07000000000005</v>
      </c>
      <c r="J227" s="6">
        <v>38.32</v>
      </c>
      <c r="K227" s="6">
        <v>239.75</v>
      </c>
      <c r="L227" s="6" t="s">
        <v>33</v>
      </c>
      <c r="M227" s="6" t="s">
        <v>25</v>
      </c>
      <c r="N227" s="6" t="s">
        <v>207</v>
      </c>
      <c r="P227" t="str">
        <f t="shared" si="9"/>
        <v>James</v>
      </c>
      <c r="Q227" t="str">
        <f t="shared" si="10"/>
        <v>Smith</v>
      </c>
      <c r="R227" t="str">
        <f t="shared" si="11"/>
        <v>JaSm227</v>
      </c>
    </row>
    <row r="228" spans="1:18" x14ac:dyDescent="0.3">
      <c r="A228" s="6" t="s">
        <v>578</v>
      </c>
      <c r="B228" s="6" t="s">
        <v>579</v>
      </c>
      <c r="C228" s="6" t="s">
        <v>188</v>
      </c>
      <c r="D228" s="6" t="s">
        <v>31</v>
      </c>
      <c r="E228" s="6" t="s">
        <v>32</v>
      </c>
      <c r="F228" s="6" t="s">
        <v>23</v>
      </c>
      <c r="G228" s="6">
        <v>15</v>
      </c>
      <c r="H228" s="6">
        <v>22.86</v>
      </c>
      <c r="I228" s="6">
        <v>342.9</v>
      </c>
      <c r="J228" s="6">
        <v>27.16</v>
      </c>
      <c r="K228" s="6">
        <v>45.74</v>
      </c>
      <c r="L228" s="6" t="s">
        <v>48</v>
      </c>
      <c r="M228" s="6" t="s">
        <v>41</v>
      </c>
      <c r="N228" s="6" t="s">
        <v>35</v>
      </c>
      <c r="P228" t="str">
        <f t="shared" si="9"/>
        <v>David</v>
      </c>
      <c r="Q228" t="str">
        <f t="shared" si="10"/>
        <v>Miller</v>
      </c>
      <c r="R228" t="str">
        <f t="shared" si="11"/>
        <v>DaMi228</v>
      </c>
    </row>
    <row r="229" spans="1:18" x14ac:dyDescent="0.3">
      <c r="A229" s="6" t="s">
        <v>580</v>
      </c>
      <c r="B229" s="6" t="s">
        <v>581</v>
      </c>
      <c r="C229" s="6" t="s">
        <v>568</v>
      </c>
      <c r="D229" s="6" t="s">
        <v>70</v>
      </c>
      <c r="E229" s="6" t="s">
        <v>74</v>
      </c>
      <c r="F229" s="6" t="s">
        <v>75</v>
      </c>
      <c r="G229" s="6">
        <v>37</v>
      </c>
      <c r="H229" s="6">
        <v>37.270000000000003</v>
      </c>
      <c r="I229" s="6">
        <v>1378.99</v>
      </c>
      <c r="J229" s="6">
        <v>92.92</v>
      </c>
      <c r="K229" s="6">
        <v>361.07</v>
      </c>
      <c r="L229" s="6" t="s">
        <v>24</v>
      </c>
      <c r="M229" s="6" t="s">
        <v>25</v>
      </c>
      <c r="N229" s="6" t="s">
        <v>76</v>
      </c>
      <c r="P229" t="str">
        <f t="shared" si="9"/>
        <v>John</v>
      </c>
      <c r="Q229" t="str">
        <f t="shared" si="10"/>
        <v>Johnson</v>
      </c>
      <c r="R229" t="str">
        <f t="shared" si="11"/>
        <v>JoJo229</v>
      </c>
    </row>
    <row r="230" spans="1:18" x14ac:dyDescent="0.3">
      <c r="A230" s="6" t="s">
        <v>582</v>
      </c>
      <c r="B230" s="6" t="s">
        <v>583</v>
      </c>
      <c r="C230" s="6" t="s">
        <v>61</v>
      </c>
      <c r="D230" s="6" t="s">
        <v>171</v>
      </c>
      <c r="E230" s="6" t="s">
        <v>22</v>
      </c>
      <c r="F230" s="6" t="s">
        <v>23</v>
      </c>
      <c r="G230" s="6">
        <v>49</v>
      </c>
      <c r="H230" s="6">
        <v>54.05</v>
      </c>
      <c r="I230" s="6">
        <v>2648.45</v>
      </c>
      <c r="J230" s="6">
        <v>66.8</v>
      </c>
      <c r="K230" s="6">
        <v>866.65</v>
      </c>
      <c r="L230" s="6" t="s">
        <v>48</v>
      </c>
      <c r="M230" s="6" t="s">
        <v>25</v>
      </c>
      <c r="N230" s="6" t="s">
        <v>35</v>
      </c>
      <c r="P230" t="str">
        <f t="shared" si="9"/>
        <v>Michael</v>
      </c>
      <c r="Q230" t="str">
        <f t="shared" si="10"/>
        <v>Johnson</v>
      </c>
      <c r="R230" t="str">
        <f t="shared" si="11"/>
        <v>MiJo230</v>
      </c>
    </row>
    <row r="231" spans="1:18" x14ac:dyDescent="0.3">
      <c r="A231" s="6" t="s">
        <v>584</v>
      </c>
      <c r="B231" s="6" t="s">
        <v>585</v>
      </c>
      <c r="C231" s="6" t="s">
        <v>586</v>
      </c>
      <c r="D231" s="6" t="s">
        <v>31</v>
      </c>
      <c r="E231" s="6" t="s">
        <v>86</v>
      </c>
      <c r="F231" s="6" t="s">
        <v>47</v>
      </c>
      <c r="G231" s="6">
        <v>33</v>
      </c>
      <c r="H231" s="6">
        <v>20.059999999999999</v>
      </c>
      <c r="I231" s="6">
        <v>661.98</v>
      </c>
      <c r="J231" s="6">
        <v>50.02</v>
      </c>
      <c r="K231" s="6">
        <v>191.21</v>
      </c>
      <c r="L231" s="6" t="s">
        <v>48</v>
      </c>
      <c r="M231" s="6" t="s">
        <v>34</v>
      </c>
      <c r="N231" s="6" t="s">
        <v>35</v>
      </c>
      <c r="P231" t="str">
        <f t="shared" si="9"/>
        <v>Emma</v>
      </c>
      <c r="Q231" t="str">
        <f t="shared" si="10"/>
        <v>Jones</v>
      </c>
      <c r="R231" t="str">
        <f t="shared" si="11"/>
        <v>EmJo231</v>
      </c>
    </row>
    <row r="232" spans="1:18" x14ac:dyDescent="0.3">
      <c r="A232" s="6" t="s">
        <v>587</v>
      </c>
      <c r="B232" s="6" t="s">
        <v>588</v>
      </c>
      <c r="C232" s="6" t="s">
        <v>328</v>
      </c>
      <c r="D232" s="6" t="s">
        <v>241</v>
      </c>
      <c r="E232" s="6" t="s">
        <v>137</v>
      </c>
      <c r="F232" s="6" t="s">
        <v>68</v>
      </c>
      <c r="G232" s="6">
        <v>49</v>
      </c>
      <c r="H232" s="6">
        <v>35.68</v>
      </c>
      <c r="I232" s="6">
        <v>1748.32</v>
      </c>
      <c r="J232" s="6">
        <v>124.47</v>
      </c>
      <c r="K232" s="6">
        <v>251.85</v>
      </c>
      <c r="L232" s="6" t="s">
        <v>48</v>
      </c>
      <c r="M232" s="6" t="s">
        <v>41</v>
      </c>
      <c r="N232" s="6" t="s">
        <v>35</v>
      </c>
      <c r="P232" t="str">
        <f t="shared" si="9"/>
        <v>Sarah</v>
      </c>
      <c r="Q232" t="str">
        <f t="shared" si="10"/>
        <v>Miller</v>
      </c>
      <c r="R232" t="str">
        <f t="shared" si="11"/>
        <v>SaMi232</v>
      </c>
    </row>
    <row r="233" spans="1:18" x14ac:dyDescent="0.3">
      <c r="A233" s="6" t="s">
        <v>589</v>
      </c>
      <c r="B233" s="6" t="s">
        <v>590</v>
      </c>
      <c r="C233" s="6" t="s">
        <v>40</v>
      </c>
      <c r="D233" s="6" t="s">
        <v>70</v>
      </c>
      <c r="E233" s="6" t="s">
        <v>74</v>
      </c>
      <c r="F233" s="6" t="s">
        <v>75</v>
      </c>
      <c r="G233" s="6">
        <v>23</v>
      </c>
      <c r="H233" s="6">
        <v>30.89</v>
      </c>
      <c r="I233" s="6">
        <v>710.47</v>
      </c>
      <c r="J233" s="6">
        <v>18.739999999999998</v>
      </c>
      <c r="K233" s="6">
        <v>116.73</v>
      </c>
      <c r="L233" s="6" t="s">
        <v>33</v>
      </c>
      <c r="M233" s="6" t="s">
        <v>25</v>
      </c>
      <c r="N233" s="6" t="s">
        <v>76</v>
      </c>
      <c r="P233" t="str">
        <f t="shared" si="9"/>
        <v>John</v>
      </c>
      <c r="Q233" t="str">
        <f t="shared" si="10"/>
        <v>Davis</v>
      </c>
      <c r="R233" t="str">
        <f t="shared" si="11"/>
        <v>JoDa233</v>
      </c>
    </row>
    <row r="234" spans="1:18" x14ac:dyDescent="0.3">
      <c r="A234" s="6" t="s">
        <v>591</v>
      </c>
      <c r="B234" s="6" t="s">
        <v>101</v>
      </c>
      <c r="C234" s="6" t="s">
        <v>44</v>
      </c>
      <c r="D234" s="6" t="s">
        <v>171</v>
      </c>
      <c r="E234" s="6" t="s">
        <v>22</v>
      </c>
      <c r="F234" s="6" t="s">
        <v>23</v>
      </c>
      <c r="G234" s="6">
        <v>14</v>
      </c>
      <c r="H234" s="6">
        <v>59.6</v>
      </c>
      <c r="I234" s="6">
        <v>834.4</v>
      </c>
      <c r="J234" s="6">
        <v>19.11</v>
      </c>
      <c r="K234" s="6">
        <v>325.29000000000002</v>
      </c>
      <c r="L234" s="6" t="s">
        <v>33</v>
      </c>
      <c r="M234" s="6" t="s">
        <v>34</v>
      </c>
      <c r="N234" s="6" t="s">
        <v>35</v>
      </c>
      <c r="P234" t="str">
        <f t="shared" si="9"/>
        <v>Daniel</v>
      </c>
      <c r="Q234" t="str">
        <f t="shared" si="10"/>
        <v>Miller</v>
      </c>
      <c r="R234" t="str">
        <f t="shared" si="11"/>
        <v>DaMi234</v>
      </c>
    </row>
    <row r="235" spans="1:18" x14ac:dyDescent="0.3">
      <c r="A235" s="6" t="s">
        <v>592</v>
      </c>
      <c r="B235" s="6" t="s">
        <v>314</v>
      </c>
      <c r="C235" s="6" t="s">
        <v>480</v>
      </c>
      <c r="D235" s="6" t="s">
        <v>241</v>
      </c>
      <c r="E235" s="6" t="s">
        <v>67</v>
      </c>
      <c r="F235" s="6" t="s">
        <v>68</v>
      </c>
      <c r="G235" s="6">
        <v>3</v>
      </c>
      <c r="H235" s="6">
        <v>28.36</v>
      </c>
      <c r="I235" s="6">
        <v>85.08</v>
      </c>
      <c r="J235" s="6">
        <v>4.46</v>
      </c>
      <c r="K235" s="6">
        <v>13.12</v>
      </c>
      <c r="L235" s="6" t="s">
        <v>24</v>
      </c>
      <c r="M235" s="6" t="s">
        <v>34</v>
      </c>
      <c r="N235" s="6" t="s">
        <v>35</v>
      </c>
      <c r="P235" t="str">
        <f t="shared" si="9"/>
        <v>Emily</v>
      </c>
      <c r="Q235" t="str">
        <f t="shared" si="10"/>
        <v>Jones</v>
      </c>
      <c r="R235" t="str">
        <f t="shared" si="11"/>
        <v>EmJo235</v>
      </c>
    </row>
    <row r="236" spans="1:18" x14ac:dyDescent="0.3">
      <c r="A236" s="6" t="s">
        <v>593</v>
      </c>
      <c r="B236" s="6" t="s">
        <v>398</v>
      </c>
      <c r="C236" s="6" t="s">
        <v>216</v>
      </c>
      <c r="D236" s="6" t="s">
        <v>241</v>
      </c>
      <c r="E236" s="6" t="s">
        <v>86</v>
      </c>
      <c r="F236" s="6" t="s">
        <v>47</v>
      </c>
      <c r="G236" s="6">
        <v>28</v>
      </c>
      <c r="H236" s="6">
        <v>22.13</v>
      </c>
      <c r="I236" s="6">
        <v>619.64</v>
      </c>
      <c r="J236" s="6">
        <v>17.2</v>
      </c>
      <c r="K236" s="6">
        <v>245.44</v>
      </c>
      <c r="L236" s="6" t="s">
        <v>33</v>
      </c>
      <c r="M236" s="6" t="s">
        <v>41</v>
      </c>
      <c r="N236" s="6" t="s">
        <v>35</v>
      </c>
      <c r="P236" t="str">
        <f t="shared" si="9"/>
        <v>Daniel</v>
      </c>
      <c r="Q236" t="str">
        <f t="shared" si="10"/>
        <v>Smith</v>
      </c>
      <c r="R236" t="str">
        <f t="shared" si="11"/>
        <v>DaSm236</v>
      </c>
    </row>
    <row r="237" spans="1:18" x14ac:dyDescent="0.3">
      <c r="A237" s="6" t="s">
        <v>594</v>
      </c>
      <c r="B237" s="6" t="s">
        <v>388</v>
      </c>
      <c r="C237" s="6" t="s">
        <v>372</v>
      </c>
      <c r="D237" s="6" t="s">
        <v>21</v>
      </c>
      <c r="E237" s="6" t="s">
        <v>32</v>
      </c>
      <c r="F237" s="6" t="s">
        <v>23</v>
      </c>
      <c r="G237" s="6">
        <v>28</v>
      </c>
      <c r="H237" s="6">
        <v>27.62</v>
      </c>
      <c r="I237" s="6">
        <v>773.36</v>
      </c>
      <c r="J237" s="6">
        <v>29.88</v>
      </c>
      <c r="K237" s="6">
        <v>239.48</v>
      </c>
      <c r="L237" s="6" t="s">
        <v>24</v>
      </c>
      <c r="M237" s="6" t="s">
        <v>25</v>
      </c>
      <c r="N237" s="6" t="s">
        <v>98</v>
      </c>
      <c r="P237" t="str">
        <f t="shared" si="9"/>
        <v>Daniel</v>
      </c>
      <c r="Q237" t="str">
        <f t="shared" si="10"/>
        <v>Hernandez</v>
      </c>
      <c r="R237" t="str">
        <f t="shared" si="11"/>
        <v>DaHe237</v>
      </c>
    </row>
    <row r="238" spans="1:18" x14ac:dyDescent="0.3">
      <c r="A238" s="6" t="s">
        <v>595</v>
      </c>
      <c r="B238" s="6" t="s">
        <v>596</v>
      </c>
      <c r="C238" s="6" t="s">
        <v>194</v>
      </c>
      <c r="D238" s="6" t="s">
        <v>55</v>
      </c>
      <c r="E238" s="6" t="s">
        <v>74</v>
      </c>
      <c r="F238" s="6" t="s">
        <v>75</v>
      </c>
      <c r="G238" s="6">
        <v>40</v>
      </c>
      <c r="H238" s="6">
        <v>34.229999999999997</v>
      </c>
      <c r="I238" s="6">
        <v>1369.2</v>
      </c>
      <c r="J238" s="6">
        <v>78.03</v>
      </c>
      <c r="K238" s="6">
        <v>291.17</v>
      </c>
      <c r="L238" s="6" t="s">
        <v>24</v>
      </c>
      <c r="M238" s="6" t="s">
        <v>25</v>
      </c>
      <c r="N238" s="6" t="s">
        <v>98</v>
      </c>
      <c r="P238" t="str">
        <f t="shared" si="9"/>
        <v>Sarah</v>
      </c>
      <c r="Q238" t="str">
        <f t="shared" si="10"/>
        <v>Martinez</v>
      </c>
      <c r="R238" t="str">
        <f t="shared" si="11"/>
        <v>SaMa238</v>
      </c>
    </row>
    <row r="239" spans="1:18" x14ac:dyDescent="0.3">
      <c r="A239" s="6" t="s">
        <v>597</v>
      </c>
      <c r="B239" s="6" t="s">
        <v>598</v>
      </c>
      <c r="C239" s="6" t="s">
        <v>285</v>
      </c>
      <c r="D239" s="6" t="s">
        <v>127</v>
      </c>
      <c r="E239" s="6" t="s">
        <v>56</v>
      </c>
      <c r="F239" s="6" t="s">
        <v>57</v>
      </c>
      <c r="G239" s="6">
        <v>9</v>
      </c>
      <c r="H239" s="6">
        <v>52.2</v>
      </c>
      <c r="I239" s="6">
        <v>469.8</v>
      </c>
      <c r="J239" s="6">
        <v>31.5</v>
      </c>
      <c r="K239" s="6">
        <v>78.3</v>
      </c>
      <c r="L239" s="6" t="s">
        <v>48</v>
      </c>
      <c r="M239" s="6" t="s">
        <v>41</v>
      </c>
      <c r="N239" s="6" t="s">
        <v>76</v>
      </c>
      <c r="P239" t="str">
        <f t="shared" si="9"/>
        <v>Sophia</v>
      </c>
      <c r="Q239" t="str">
        <f t="shared" si="10"/>
        <v>Miller</v>
      </c>
      <c r="R239" t="str">
        <f t="shared" si="11"/>
        <v>SoMi239</v>
      </c>
    </row>
    <row r="240" spans="1:18" x14ac:dyDescent="0.3">
      <c r="A240" s="6" t="s">
        <v>599</v>
      </c>
      <c r="B240" s="6" t="s">
        <v>205</v>
      </c>
      <c r="C240" s="6" t="s">
        <v>372</v>
      </c>
      <c r="D240" s="6" t="s">
        <v>171</v>
      </c>
      <c r="E240" s="6" t="s">
        <v>74</v>
      </c>
      <c r="F240" s="6" t="s">
        <v>75</v>
      </c>
      <c r="G240" s="6">
        <v>31</v>
      </c>
      <c r="H240" s="6">
        <v>43.54</v>
      </c>
      <c r="I240" s="6">
        <v>1349.74</v>
      </c>
      <c r="J240" s="6">
        <v>99.86</v>
      </c>
      <c r="K240" s="6">
        <v>474.88</v>
      </c>
      <c r="L240" s="6" t="s">
        <v>24</v>
      </c>
      <c r="M240" s="6" t="s">
        <v>34</v>
      </c>
      <c r="N240" s="6" t="s">
        <v>35</v>
      </c>
      <c r="P240" t="str">
        <f t="shared" si="9"/>
        <v>Daniel</v>
      </c>
      <c r="Q240" t="str">
        <f t="shared" si="10"/>
        <v>Hernandez</v>
      </c>
      <c r="R240" t="str">
        <f t="shared" si="11"/>
        <v>DaHe240</v>
      </c>
    </row>
    <row r="241" spans="1:18" x14ac:dyDescent="0.3">
      <c r="A241" s="6" t="s">
        <v>600</v>
      </c>
      <c r="B241" s="6" t="s">
        <v>479</v>
      </c>
      <c r="C241" s="6" t="s">
        <v>185</v>
      </c>
      <c r="D241" s="6" t="s">
        <v>123</v>
      </c>
      <c r="E241" s="6" t="s">
        <v>81</v>
      </c>
      <c r="F241" s="6" t="s">
        <v>68</v>
      </c>
      <c r="G241" s="6">
        <v>31</v>
      </c>
      <c r="H241" s="6">
        <v>18.63</v>
      </c>
      <c r="I241" s="6">
        <v>577.53</v>
      </c>
      <c r="J241" s="6">
        <v>36.65</v>
      </c>
      <c r="K241" s="6">
        <v>60.38</v>
      </c>
      <c r="L241" s="6" t="s">
        <v>48</v>
      </c>
      <c r="M241" s="6" t="s">
        <v>25</v>
      </c>
      <c r="N241" s="6" t="s">
        <v>76</v>
      </c>
      <c r="P241" t="str">
        <f t="shared" si="9"/>
        <v>Laura</v>
      </c>
      <c r="Q241" t="str">
        <f t="shared" si="10"/>
        <v>Williams</v>
      </c>
      <c r="R241" t="str">
        <f t="shared" si="11"/>
        <v>LaWi241</v>
      </c>
    </row>
    <row r="242" spans="1:18" x14ac:dyDescent="0.3">
      <c r="A242" s="6" t="s">
        <v>601</v>
      </c>
      <c r="B242" s="6" t="s">
        <v>602</v>
      </c>
      <c r="C242" s="6" t="s">
        <v>442</v>
      </c>
      <c r="D242" s="6" t="s">
        <v>127</v>
      </c>
      <c r="E242" s="6" t="s">
        <v>63</v>
      </c>
      <c r="F242" s="6" t="s">
        <v>47</v>
      </c>
      <c r="G242" s="6">
        <v>38</v>
      </c>
      <c r="H242" s="6">
        <v>27.28</v>
      </c>
      <c r="I242" s="6">
        <v>1036.6400000000001</v>
      </c>
      <c r="J242" s="6">
        <v>38.770000000000003</v>
      </c>
      <c r="K242" s="6">
        <v>237.87</v>
      </c>
      <c r="L242" s="6" t="s">
        <v>24</v>
      </c>
      <c r="M242" s="6" t="s">
        <v>41</v>
      </c>
      <c r="N242" s="6" t="s">
        <v>76</v>
      </c>
      <c r="P242" t="str">
        <f t="shared" si="9"/>
        <v>Daniel</v>
      </c>
      <c r="Q242" t="str">
        <f t="shared" si="10"/>
        <v>Jones</v>
      </c>
      <c r="R242" t="str">
        <f t="shared" si="11"/>
        <v>DaJo242</v>
      </c>
    </row>
    <row r="243" spans="1:18" x14ac:dyDescent="0.3">
      <c r="A243" s="6" t="s">
        <v>603</v>
      </c>
      <c r="B243" s="6" t="s">
        <v>482</v>
      </c>
      <c r="C243" s="6" t="s">
        <v>328</v>
      </c>
      <c r="D243" s="6" t="s">
        <v>45</v>
      </c>
      <c r="E243" s="6" t="s">
        <v>32</v>
      </c>
      <c r="F243" s="6" t="s">
        <v>23</v>
      </c>
      <c r="G243" s="6">
        <v>50</v>
      </c>
      <c r="H243" s="6">
        <v>30.97</v>
      </c>
      <c r="I243" s="6">
        <v>1548.5</v>
      </c>
      <c r="J243" s="6">
        <v>82.09</v>
      </c>
      <c r="K243" s="6">
        <v>566.41</v>
      </c>
      <c r="L243" s="6" t="s">
        <v>33</v>
      </c>
      <c r="M243" s="6" t="s">
        <v>34</v>
      </c>
      <c r="N243" s="6" t="s">
        <v>49</v>
      </c>
      <c r="P243" t="str">
        <f t="shared" si="9"/>
        <v>Sarah</v>
      </c>
      <c r="Q243" t="str">
        <f t="shared" si="10"/>
        <v>Miller</v>
      </c>
      <c r="R243" t="str">
        <f t="shared" si="11"/>
        <v>SaMi243</v>
      </c>
    </row>
    <row r="244" spans="1:18" x14ac:dyDescent="0.3">
      <c r="A244" s="6" t="s">
        <v>604</v>
      </c>
      <c r="B244" s="6" t="s">
        <v>118</v>
      </c>
      <c r="C244" s="6" t="s">
        <v>126</v>
      </c>
      <c r="D244" s="6" t="s">
        <v>127</v>
      </c>
      <c r="E244" s="6" t="s">
        <v>56</v>
      </c>
      <c r="F244" s="6" t="s">
        <v>57</v>
      </c>
      <c r="G244" s="6">
        <v>17</v>
      </c>
      <c r="H244" s="6">
        <v>60.91</v>
      </c>
      <c r="I244" s="6">
        <v>1035.47</v>
      </c>
      <c r="J244" s="6">
        <v>54.09</v>
      </c>
      <c r="K244" s="6">
        <v>301.38</v>
      </c>
      <c r="L244" s="6" t="s">
        <v>48</v>
      </c>
      <c r="M244" s="6" t="s">
        <v>25</v>
      </c>
      <c r="N244" s="6" t="s">
        <v>76</v>
      </c>
      <c r="P244" t="str">
        <f t="shared" si="9"/>
        <v>David</v>
      </c>
      <c r="Q244" t="str">
        <f t="shared" si="10"/>
        <v>Williams</v>
      </c>
      <c r="R244" t="str">
        <f t="shared" si="11"/>
        <v>DaWi244</v>
      </c>
    </row>
    <row r="245" spans="1:18" x14ac:dyDescent="0.3">
      <c r="A245" s="6" t="s">
        <v>605</v>
      </c>
      <c r="B245" s="6" t="s">
        <v>606</v>
      </c>
      <c r="C245" s="6" t="s">
        <v>437</v>
      </c>
      <c r="D245" s="6" t="s">
        <v>51</v>
      </c>
      <c r="E245" s="6" t="s">
        <v>63</v>
      </c>
      <c r="F245" s="6" t="s">
        <v>47</v>
      </c>
      <c r="G245" s="6">
        <v>25</v>
      </c>
      <c r="H245" s="6">
        <v>31.15</v>
      </c>
      <c r="I245" s="6">
        <v>778.75</v>
      </c>
      <c r="J245" s="6">
        <v>47.45</v>
      </c>
      <c r="K245" s="6">
        <v>231.3</v>
      </c>
      <c r="L245" s="6" t="s">
        <v>24</v>
      </c>
      <c r="M245" s="6" t="s">
        <v>41</v>
      </c>
      <c r="N245" s="6" t="s">
        <v>76</v>
      </c>
      <c r="P245" t="str">
        <f t="shared" si="9"/>
        <v>Sophia</v>
      </c>
      <c r="Q245" t="str">
        <f t="shared" si="10"/>
        <v>Johnson</v>
      </c>
      <c r="R245" t="str">
        <f t="shared" si="11"/>
        <v>SoJo245</v>
      </c>
    </row>
    <row r="246" spans="1:18" x14ac:dyDescent="0.3">
      <c r="A246" s="6" t="s">
        <v>607</v>
      </c>
      <c r="B246" s="6" t="s">
        <v>608</v>
      </c>
      <c r="C246" s="6" t="s">
        <v>462</v>
      </c>
      <c r="D246" s="6" t="s">
        <v>171</v>
      </c>
      <c r="E246" s="6" t="s">
        <v>32</v>
      </c>
      <c r="F246" s="6" t="s">
        <v>23</v>
      </c>
      <c r="G246" s="6">
        <v>30</v>
      </c>
      <c r="H246" s="6">
        <v>31.12</v>
      </c>
      <c r="I246" s="6">
        <v>933.6</v>
      </c>
      <c r="J246" s="6">
        <v>50.88</v>
      </c>
      <c r="K246" s="6">
        <v>342.72</v>
      </c>
      <c r="L246" s="6" t="s">
        <v>33</v>
      </c>
      <c r="M246" s="6" t="s">
        <v>34</v>
      </c>
      <c r="N246" s="6" t="s">
        <v>35</v>
      </c>
      <c r="P246" t="str">
        <f t="shared" si="9"/>
        <v>John</v>
      </c>
      <c r="Q246" t="str">
        <f t="shared" si="10"/>
        <v>Brown</v>
      </c>
      <c r="R246" t="str">
        <f t="shared" si="11"/>
        <v>JoBr246</v>
      </c>
    </row>
    <row r="247" spans="1:18" x14ac:dyDescent="0.3">
      <c r="A247" s="6" t="s">
        <v>609</v>
      </c>
      <c r="B247" s="6" t="s">
        <v>610</v>
      </c>
      <c r="C247" s="6" t="s">
        <v>182</v>
      </c>
      <c r="D247" s="6" t="s">
        <v>62</v>
      </c>
      <c r="E247" s="6" t="s">
        <v>81</v>
      </c>
      <c r="F247" s="6" t="s">
        <v>68</v>
      </c>
      <c r="G247" s="6">
        <v>17</v>
      </c>
      <c r="H247" s="6">
        <v>19.64</v>
      </c>
      <c r="I247" s="6">
        <v>333.88</v>
      </c>
      <c r="J247" s="6">
        <v>22.23</v>
      </c>
      <c r="K247" s="6">
        <v>48.15</v>
      </c>
      <c r="L247" s="6" t="s">
        <v>48</v>
      </c>
      <c r="M247" s="6" t="s">
        <v>41</v>
      </c>
      <c r="N247" s="6" t="s">
        <v>98</v>
      </c>
      <c r="P247" t="str">
        <f t="shared" si="9"/>
        <v>John</v>
      </c>
      <c r="Q247" t="str">
        <f t="shared" si="10"/>
        <v>Hernandez</v>
      </c>
      <c r="R247" t="str">
        <f t="shared" si="11"/>
        <v>JoHe247</v>
      </c>
    </row>
    <row r="248" spans="1:18" x14ac:dyDescent="0.3">
      <c r="A248" s="6" t="s">
        <v>611</v>
      </c>
      <c r="B248" s="6" t="s">
        <v>612</v>
      </c>
      <c r="C248" s="6" t="s">
        <v>613</v>
      </c>
      <c r="D248" s="6" t="s">
        <v>21</v>
      </c>
      <c r="E248" s="6" t="s">
        <v>46</v>
      </c>
      <c r="F248" s="6" t="s">
        <v>47</v>
      </c>
      <c r="G248" s="6">
        <v>37</v>
      </c>
      <c r="H248" s="6">
        <v>57.35</v>
      </c>
      <c r="I248" s="6">
        <v>2121.9499999999998</v>
      </c>
      <c r="J248" s="6">
        <v>147.38999999999999</v>
      </c>
      <c r="K248" s="6">
        <v>790.56</v>
      </c>
      <c r="L248" s="6" t="s">
        <v>24</v>
      </c>
      <c r="M248" s="6" t="s">
        <v>25</v>
      </c>
      <c r="N248" s="6" t="s">
        <v>98</v>
      </c>
      <c r="P248" t="str">
        <f t="shared" si="9"/>
        <v>Laura</v>
      </c>
      <c r="Q248" t="str">
        <f t="shared" si="10"/>
        <v>Johnson</v>
      </c>
      <c r="R248" t="str">
        <f t="shared" si="11"/>
        <v>LaJo248</v>
      </c>
    </row>
    <row r="249" spans="1:18" x14ac:dyDescent="0.3">
      <c r="A249" s="6" t="s">
        <v>614</v>
      </c>
      <c r="B249" s="6" t="s">
        <v>615</v>
      </c>
      <c r="C249" s="6" t="s">
        <v>20</v>
      </c>
      <c r="D249" s="6" t="s">
        <v>37</v>
      </c>
      <c r="E249" s="6" t="s">
        <v>22</v>
      </c>
      <c r="F249" s="6" t="s">
        <v>23</v>
      </c>
      <c r="G249" s="6">
        <v>45</v>
      </c>
      <c r="H249" s="6">
        <v>42.6</v>
      </c>
      <c r="I249" s="6">
        <v>1917</v>
      </c>
      <c r="J249" s="6">
        <v>104.27</v>
      </c>
      <c r="K249" s="6">
        <v>237.73</v>
      </c>
      <c r="L249" s="6" t="s">
        <v>33</v>
      </c>
      <c r="M249" s="6" t="s">
        <v>41</v>
      </c>
      <c r="N249" s="6" t="s">
        <v>35</v>
      </c>
      <c r="P249" t="str">
        <f t="shared" si="9"/>
        <v>Emily</v>
      </c>
      <c r="Q249" t="str">
        <f t="shared" si="10"/>
        <v>Smith</v>
      </c>
      <c r="R249" t="str">
        <f t="shared" si="11"/>
        <v>EmSm249</v>
      </c>
    </row>
    <row r="250" spans="1:18" x14ac:dyDescent="0.3">
      <c r="A250" s="6" t="s">
        <v>616</v>
      </c>
      <c r="B250" s="6" t="s">
        <v>617</v>
      </c>
      <c r="C250" s="6" t="s">
        <v>165</v>
      </c>
      <c r="D250" s="6" t="s">
        <v>31</v>
      </c>
      <c r="E250" s="6" t="s">
        <v>63</v>
      </c>
      <c r="F250" s="6" t="s">
        <v>47</v>
      </c>
      <c r="G250" s="6">
        <v>25</v>
      </c>
      <c r="H250" s="6">
        <v>31.82</v>
      </c>
      <c r="I250" s="6">
        <v>795.5</v>
      </c>
      <c r="J250" s="6">
        <v>37.33</v>
      </c>
      <c r="K250" s="6">
        <v>258.17</v>
      </c>
      <c r="L250" s="6" t="s">
        <v>24</v>
      </c>
      <c r="M250" s="6" t="s">
        <v>34</v>
      </c>
      <c r="N250" s="6" t="s">
        <v>35</v>
      </c>
      <c r="P250" t="str">
        <f t="shared" si="9"/>
        <v>Michael</v>
      </c>
      <c r="Q250" t="str">
        <f t="shared" si="10"/>
        <v>Brown</v>
      </c>
      <c r="R250" t="str">
        <f t="shared" si="11"/>
        <v>MiBr250</v>
      </c>
    </row>
    <row r="251" spans="1:18" x14ac:dyDescent="0.3">
      <c r="A251" s="6" t="s">
        <v>618</v>
      </c>
      <c r="B251" s="6" t="s">
        <v>105</v>
      </c>
      <c r="C251" s="6" t="s">
        <v>200</v>
      </c>
      <c r="D251" s="6" t="s">
        <v>70</v>
      </c>
      <c r="E251" s="6" t="s">
        <v>74</v>
      </c>
      <c r="F251" s="6" t="s">
        <v>75</v>
      </c>
      <c r="G251" s="6">
        <v>17</v>
      </c>
      <c r="H251" s="6">
        <v>36.270000000000003</v>
      </c>
      <c r="I251" s="6">
        <v>616.59</v>
      </c>
      <c r="J251" s="6">
        <v>22.76</v>
      </c>
      <c r="K251" s="6">
        <v>168.83</v>
      </c>
      <c r="L251" s="6" t="s">
        <v>48</v>
      </c>
      <c r="M251" s="6" t="s">
        <v>25</v>
      </c>
      <c r="N251" s="6" t="s">
        <v>76</v>
      </c>
      <c r="P251" t="str">
        <f t="shared" si="9"/>
        <v>Emma</v>
      </c>
      <c r="Q251" t="str">
        <f t="shared" si="10"/>
        <v>Williams</v>
      </c>
      <c r="R251" t="str">
        <f t="shared" si="11"/>
        <v>EmWi251</v>
      </c>
    </row>
    <row r="252" spans="1:18" x14ac:dyDescent="0.3">
      <c r="A252" s="6" t="s">
        <v>619</v>
      </c>
      <c r="B252" s="6" t="s">
        <v>620</v>
      </c>
      <c r="C252" s="6" t="s">
        <v>334</v>
      </c>
      <c r="D252" s="6" t="s">
        <v>123</v>
      </c>
      <c r="E252" s="6" t="s">
        <v>32</v>
      </c>
      <c r="F252" s="6" t="s">
        <v>23</v>
      </c>
      <c r="G252" s="6">
        <v>4</v>
      </c>
      <c r="H252" s="6">
        <v>27.01</v>
      </c>
      <c r="I252" s="6">
        <v>108.04</v>
      </c>
      <c r="J252" s="6">
        <v>4.7300000000000004</v>
      </c>
      <c r="K252" s="6">
        <v>31.31</v>
      </c>
      <c r="L252" s="6" t="s">
        <v>48</v>
      </c>
      <c r="M252" s="6" t="s">
        <v>41</v>
      </c>
      <c r="N252" s="6" t="s">
        <v>76</v>
      </c>
      <c r="P252" t="str">
        <f t="shared" si="9"/>
        <v>Emma</v>
      </c>
      <c r="Q252" t="str">
        <f t="shared" si="10"/>
        <v>Garcia</v>
      </c>
      <c r="R252" t="str">
        <f t="shared" si="11"/>
        <v>EmGa252</v>
      </c>
    </row>
    <row r="253" spans="1:18" x14ac:dyDescent="0.3">
      <c r="A253" s="6" t="s">
        <v>621</v>
      </c>
      <c r="B253" s="6" t="s">
        <v>173</v>
      </c>
      <c r="C253" s="6" t="s">
        <v>369</v>
      </c>
      <c r="D253" s="6" t="s">
        <v>62</v>
      </c>
      <c r="E253" s="6" t="s">
        <v>22</v>
      </c>
      <c r="F253" s="6" t="s">
        <v>23</v>
      </c>
      <c r="G253" s="6">
        <v>22</v>
      </c>
      <c r="H253" s="6">
        <v>57.6</v>
      </c>
      <c r="I253" s="6">
        <v>1267.2</v>
      </c>
      <c r="J253" s="6">
        <v>35.32</v>
      </c>
      <c r="K253" s="6">
        <v>461.88</v>
      </c>
      <c r="L253" s="6" t="s">
        <v>48</v>
      </c>
      <c r="M253" s="6" t="s">
        <v>25</v>
      </c>
      <c r="N253" s="6" t="s">
        <v>98</v>
      </c>
      <c r="P253" t="str">
        <f t="shared" si="9"/>
        <v>Emily</v>
      </c>
      <c r="Q253" t="str">
        <f t="shared" si="10"/>
        <v>Martinez</v>
      </c>
      <c r="R253" t="str">
        <f t="shared" si="11"/>
        <v>EmMa253</v>
      </c>
    </row>
    <row r="254" spans="1:18" x14ac:dyDescent="0.3">
      <c r="A254" s="6" t="s">
        <v>622</v>
      </c>
      <c r="B254" s="6" t="s">
        <v>623</v>
      </c>
      <c r="C254" s="6" t="s">
        <v>417</v>
      </c>
      <c r="D254" s="6" t="s">
        <v>241</v>
      </c>
      <c r="E254" s="6" t="s">
        <v>74</v>
      </c>
      <c r="F254" s="6" t="s">
        <v>75</v>
      </c>
      <c r="G254" s="6">
        <v>24</v>
      </c>
      <c r="H254" s="6">
        <v>43.34</v>
      </c>
      <c r="I254" s="6">
        <v>1040.1600000000001</v>
      </c>
      <c r="J254" s="6">
        <v>41.18</v>
      </c>
      <c r="K254" s="6">
        <v>398.98</v>
      </c>
      <c r="L254" s="6" t="s">
        <v>24</v>
      </c>
      <c r="M254" s="6" t="s">
        <v>41</v>
      </c>
      <c r="N254" s="6" t="s">
        <v>35</v>
      </c>
      <c r="P254" t="str">
        <f t="shared" si="9"/>
        <v>Emily</v>
      </c>
      <c r="Q254" t="str">
        <f t="shared" si="10"/>
        <v>Brown</v>
      </c>
      <c r="R254" t="str">
        <f t="shared" si="11"/>
        <v>EmBr254</v>
      </c>
    </row>
    <row r="255" spans="1:18" x14ac:dyDescent="0.3">
      <c r="A255" s="6" t="s">
        <v>624</v>
      </c>
      <c r="B255" s="6" t="s">
        <v>625</v>
      </c>
      <c r="C255" s="6" t="s">
        <v>266</v>
      </c>
      <c r="D255" s="6" t="s">
        <v>62</v>
      </c>
      <c r="E255" s="6" t="s">
        <v>56</v>
      </c>
      <c r="F255" s="6" t="s">
        <v>57</v>
      </c>
      <c r="G255" s="6">
        <v>37</v>
      </c>
      <c r="H255" s="6">
        <v>71.8</v>
      </c>
      <c r="I255" s="6">
        <v>2656.6</v>
      </c>
      <c r="J255" s="6">
        <v>60.3</v>
      </c>
      <c r="K255" s="6">
        <v>1116.3</v>
      </c>
      <c r="L255" s="6" t="s">
        <v>33</v>
      </c>
      <c r="M255" s="6" t="s">
        <v>25</v>
      </c>
      <c r="N255" s="6" t="s">
        <v>98</v>
      </c>
      <c r="P255" t="str">
        <f t="shared" si="9"/>
        <v>Daniel</v>
      </c>
      <c r="Q255" t="str">
        <f t="shared" si="10"/>
        <v>Brown</v>
      </c>
      <c r="R255" t="str">
        <f t="shared" si="11"/>
        <v>DaBr255</v>
      </c>
    </row>
    <row r="256" spans="1:18" x14ac:dyDescent="0.3">
      <c r="A256" s="6" t="s">
        <v>626</v>
      </c>
      <c r="B256" s="6" t="s">
        <v>627</v>
      </c>
      <c r="C256" s="6" t="s">
        <v>613</v>
      </c>
      <c r="D256" s="6" t="s">
        <v>123</v>
      </c>
      <c r="E256" s="6" t="s">
        <v>63</v>
      </c>
      <c r="F256" s="6" t="s">
        <v>47</v>
      </c>
      <c r="G256" s="6">
        <v>24</v>
      </c>
      <c r="H256" s="6">
        <v>29.11</v>
      </c>
      <c r="I256" s="6">
        <v>698.64</v>
      </c>
      <c r="J256" s="6">
        <v>53.99</v>
      </c>
      <c r="K256" s="6">
        <v>164.65</v>
      </c>
      <c r="L256" s="6" t="s">
        <v>48</v>
      </c>
      <c r="M256" s="6" t="s">
        <v>41</v>
      </c>
      <c r="N256" s="6" t="s">
        <v>76</v>
      </c>
      <c r="P256" t="str">
        <f t="shared" si="9"/>
        <v>Laura</v>
      </c>
      <c r="Q256" t="str">
        <f t="shared" si="10"/>
        <v>Johnson</v>
      </c>
      <c r="R256" t="str">
        <f t="shared" si="11"/>
        <v>LaJo256</v>
      </c>
    </row>
    <row r="257" spans="1:18" x14ac:dyDescent="0.3">
      <c r="A257" s="6" t="s">
        <v>628</v>
      </c>
      <c r="B257" s="6" t="s">
        <v>629</v>
      </c>
      <c r="C257" s="6" t="s">
        <v>630</v>
      </c>
      <c r="D257" s="6" t="s">
        <v>127</v>
      </c>
      <c r="E257" s="6" t="s">
        <v>67</v>
      </c>
      <c r="F257" s="6" t="s">
        <v>68</v>
      </c>
      <c r="G257" s="6">
        <v>6</v>
      </c>
      <c r="H257" s="6">
        <v>27.91</v>
      </c>
      <c r="I257" s="6">
        <v>167.46</v>
      </c>
      <c r="J257" s="6">
        <v>10.01</v>
      </c>
      <c r="K257" s="6">
        <v>22.45</v>
      </c>
      <c r="L257" s="6" t="s">
        <v>24</v>
      </c>
      <c r="M257" s="6" t="s">
        <v>25</v>
      </c>
      <c r="N257" s="6" t="s">
        <v>76</v>
      </c>
      <c r="P257" t="str">
        <f t="shared" si="9"/>
        <v>John</v>
      </c>
      <c r="Q257" t="str">
        <f t="shared" si="10"/>
        <v>Smith</v>
      </c>
      <c r="R257" t="str">
        <f t="shared" si="11"/>
        <v>JoSm257</v>
      </c>
    </row>
    <row r="258" spans="1:18" x14ac:dyDescent="0.3">
      <c r="A258" s="6" t="s">
        <v>631</v>
      </c>
      <c r="B258" s="6" t="s">
        <v>602</v>
      </c>
      <c r="C258" s="6" t="s">
        <v>44</v>
      </c>
      <c r="D258" s="6" t="s">
        <v>51</v>
      </c>
      <c r="E258" s="6" t="s">
        <v>67</v>
      </c>
      <c r="F258" s="6" t="s">
        <v>68</v>
      </c>
      <c r="G258" s="6">
        <v>28</v>
      </c>
      <c r="H258" s="6">
        <v>27.29</v>
      </c>
      <c r="I258" s="6">
        <v>764.12</v>
      </c>
      <c r="J258" s="6">
        <v>25.78</v>
      </c>
      <c r="K258" s="6">
        <v>108.34</v>
      </c>
      <c r="L258" s="6" t="s">
        <v>48</v>
      </c>
      <c r="M258" s="6" t="s">
        <v>25</v>
      </c>
      <c r="N258" s="6" t="s">
        <v>76</v>
      </c>
      <c r="P258" t="str">
        <f t="shared" si="9"/>
        <v>Daniel</v>
      </c>
      <c r="Q258" t="str">
        <f t="shared" si="10"/>
        <v>Miller</v>
      </c>
      <c r="R258" t="str">
        <f t="shared" si="11"/>
        <v>DaMi258</v>
      </c>
    </row>
    <row r="259" spans="1:18" x14ac:dyDescent="0.3">
      <c r="A259" s="6" t="s">
        <v>632</v>
      </c>
      <c r="B259" s="6" t="s">
        <v>633</v>
      </c>
      <c r="C259" s="6" t="s">
        <v>505</v>
      </c>
      <c r="D259" s="6" t="s">
        <v>62</v>
      </c>
      <c r="E259" s="6" t="s">
        <v>67</v>
      </c>
      <c r="F259" s="6" t="s">
        <v>68</v>
      </c>
      <c r="G259" s="6">
        <v>47</v>
      </c>
      <c r="H259" s="6">
        <v>35.880000000000003</v>
      </c>
      <c r="I259" s="6">
        <v>1686.36</v>
      </c>
      <c r="J259" s="6">
        <v>70.3</v>
      </c>
      <c r="K259" s="6">
        <v>558.55999999999995</v>
      </c>
      <c r="L259" s="6" t="s">
        <v>24</v>
      </c>
      <c r="M259" s="6" t="s">
        <v>34</v>
      </c>
      <c r="N259" s="6" t="s">
        <v>98</v>
      </c>
      <c r="P259" t="str">
        <f t="shared" si="9"/>
        <v>Daniel</v>
      </c>
      <c r="Q259" t="str">
        <f t="shared" si="10"/>
        <v>Davis</v>
      </c>
      <c r="R259" t="str">
        <f t="shared" si="11"/>
        <v>DaDa259</v>
      </c>
    </row>
    <row r="260" spans="1:18" x14ac:dyDescent="0.3">
      <c r="A260" s="6" t="s">
        <v>634</v>
      </c>
      <c r="B260" s="6" t="s">
        <v>617</v>
      </c>
      <c r="C260" s="6" t="s">
        <v>317</v>
      </c>
      <c r="D260" s="6" t="s">
        <v>171</v>
      </c>
      <c r="E260" s="6" t="s">
        <v>81</v>
      </c>
      <c r="F260" s="6" t="s">
        <v>68</v>
      </c>
      <c r="G260" s="6">
        <v>19</v>
      </c>
      <c r="H260" s="6">
        <v>27.47</v>
      </c>
      <c r="I260" s="6">
        <v>521.92999999999995</v>
      </c>
      <c r="J260" s="6">
        <v>31.29</v>
      </c>
      <c r="K260" s="6">
        <v>196.14</v>
      </c>
      <c r="L260" s="6" t="s">
        <v>33</v>
      </c>
      <c r="M260" s="6" t="s">
        <v>41</v>
      </c>
      <c r="N260" s="6" t="s">
        <v>35</v>
      </c>
      <c r="P260" t="str">
        <f t="shared" si="9"/>
        <v>Emily</v>
      </c>
      <c r="Q260" t="str">
        <f t="shared" si="10"/>
        <v>Davis</v>
      </c>
      <c r="R260" t="str">
        <f t="shared" si="11"/>
        <v>EmDa260</v>
      </c>
    </row>
    <row r="261" spans="1:18" x14ac:dyDescent="0.3">
      <c r="A261" s="6" t="s">
        <v>635</v>
      </c>
      <c r="B261" s="6" t="s">
        <v>294</v>
      </c>
      <c r="C261" s="6" t="s">
        <v>216</v>
      </c>
      <c r="D261" s="6" t="s">
        <v>206</v>
      </c>
      <c r="E261" s="6" t="s">
        <v>63</v>
      </c>
      <c r="F261" s="6" t="s">
        <v>47</v>
      </c>
      <c r="G261" s="6">
        <v>13</v>
      </c>
      <c r="H261" s="6">
        <v>29.26</v>
      </c>
      <c r="I261" s="6">
        <v>380.38</v>
      </c>
      <c r="J261" s="6">
        <v>9.4700000000000006</v>
      </c>
      <c r="K261" s="6">
        <v>110.91</v>
      </c>
      <c r="L261" s="6" t="s">
        <v>33</v>
      </c>
      <c r="M261" s="6" t="s">
        <v>41</v>
      </c>
      <c r="N261" s="6" t="s">
        <v>207</v>
      </c>
      <c r="P261" t="str">
        <f t="shared" si="9"/>
        <v>Daniel</v>
      </c>
      <c r="Q261" t="str">
        <f t="shared" si="10"/>
        <v>Smith</v>
      </c>
      <c r="R261" t="str">
        <f t="shared" si="11"/>
        <v>DaSm261</v>
      </c>
    </row>
    <row r="262" spans="1:18" x14ac:dyDescent="0.3">
      <c r="A262" s="6" t="s">
        <v>636</v>
      </c>
      <c r="B262" s="6" t="s">
        <v>598</v>
      </c>
      <c r="C262" s="6" t="s">
        <v>485</v>
      </c>
      <c r="D262" s="6" t="s">
        <v>241</v>
      </c>
      <c r="E262" s="6" t="s">
        <v>32</v>
      </c>
      <c r="F262" s="6" t="s">
        <v>23</v>
      </c>
      <c r="G262" s="6">
        <v>4</v>
      </c>
      <c r="H262" s="6">
        <v>26.17</v>
      </c>
      <c r="I262" s="6">
        <v>104.68</v>
      </c>
      <c r="J262" s="6">
        <v>6.33</v>
      </c>
      <c r="K262" s="6">
        <v>26.35</v>
      </c>
      <c r="L262" s="6" t="s">
        <v>24</v>
      </c>
      <c r="M262" s="6" t="s">
        <v>34</v>
      </c>
      <c r="N262" s="6" t="s">
        <v>35</v>
      </c>
      <c r="P262" t="str">
        <f t="shared" si="9"/>
        <v>James</v>
      </c>
      <c r="Q262" t="str">
        <f t="shared" si="10"/>
        <v>Miller</v>
      </c>
      <c r="R262" t="str">
        <f t="shared" si="11"/>
        <v>JaMi262</v>
      </c>
    </row>
    <row r="263" spans="1:18" x14ac:dyDescent="0.3">
      <c r="A263" s="6" t="s">
        <v>637</v>
      </c>
      <c r="B263" s="6" t="s">
        <v>638</v>
      </c>
      <c r="C263" s="6" t="s">
        <v>266</v>
      </c>
      <c r="D263" s="6" t="s">
        <v>241</v>
      </c>
      <c r="E263" s="6" t="s">
        <v>67</v>
      </c>
      <c r="F263" s="6" t="s">
        <v>68</v>
      </c>
      <c r="G263" s="6">
        <v>43</v>
      </c>
      <c r="H263" s="6">
        <v>37.32</v>
      </c>
      <c r="I263" s="6">
        <v>1604.76</v>
      </c>
      <c r="J263" s="6">
        <v>61.01</v>
      </c>
      <c r="K263" s="6">
        <v>576.25</v>
      </c>
      <c r="L263" s="6" t="s">
        <v>24</v>
      </c>
      <c r="M263" s="6" t="s">
        <v>34</v>
      </c>
      <c r="N263" s="6" t="s">
        <v>35</v>
      </c>
      <c r="P263" t="str">
        <f t="shared" ref="P263:P326" si="12">TRIM(MID(C263,FIND(",",C263)+1,LEN(C263)))</f>
        <v>Daniel</v>
      </c>
      <c r="Q263" t="str">
        <f t="shared" ref="Q263:Q326" si="13">LEFT(C263,FIND(",",C263)-1)</f>
        <v>Brown</v>
      </c>
      <c r="R263" t="str">
        <f t="shared" ref="R263:R326" si="14">LEFT(P263,2)&amp;LEFT(Q263,2)&amp;ROW()</f>
        <v>DaBr263</v>
      </c>
    </row>
    <row r="264" spans="1:18" x14ac:dyDescent="0.3">
      <c r="A264" s="6" t="s">
        <v>639</v>
      </c>
      <c r="B264" s="6" t="s">
        <v>640</v>
      </c>
      <c r="C264" s="6" t="s">
        <v>465</v>
      </c>
      <c r="D264" s="6" t="s">
        <v>141</v>
      </c>
      <c r="E264" s="6" t="s">
        <v>32</v>
      </c>
      <c r="F264" s="6" t="s">
        <v>23</v>
      </c>
      <c r="G264" s="6">
        <v>27</v>
      </c>
      <c r="H264" s="6">
        <v>23.05</v>
      </c>
      <c r="I264" s="6">
        <v>622.35</v>
      </c>
      <c r="J264" s="6">
        <v>20.440000000000001</v>
      </c>
      <c r="K264" s="6">
        <v>115.91</v>
      </c>
      <c r="L264" s="6" t="s">
        <v>48</v>
      </c>
      <c r="M264" s="6" t="s">
        <v>34</v>
      </c>
      <c r="N264" s="6" t="s">
        <v>142</v>
      </c>
      <c r="P264" t="str">
        <f t="shared" si="12"/>
        <v>David</v>
      </c>
      <c r="Q264" t="str">
        <f t="shared" si="13"/>
        <v>Martinez</v>
      </c>
      <c r="R264" t="str">
        <f t="shared" si="14"/>
        <v>DaMa264</v>
      </c>
    </row>
    <row r="265" spans="1:18" x14ac:dyDescent="0.3">
      <c r="A265" s="6" t="s">
        <v>641</v>
      </c>
      <c r="B265" s="6" t="s">
        <v>642</v>
      </c>
      <c r="C265" s="6" t="s">
        <v>643</v>
      </c>
      <c r="D265" s="6" t="s">
        <v>127</v>
      </c>
      <c r="E265" s="6" t="s">
        <v>86</v>
      </c>
      <c r="F265" s="6" t="s">
        <v>47</v>
      </c>
      <c r="G265" s="6">
        <v>38</v>
      </c>
      <c r="H265" s="6">
        <v>19.02</v>
      </c>
      <c r="I265" s="6">
        <v>722.76</v>
      </c>
      <c r="J265" s="6">
        <v>14.63</v>
      </c>
      <c r="K265" s="6">
        <v>223.63</v>
      </c>
      <c r="L265" s="6" t="s">
        <v>33</v>
      </c>
      <c r="M265" s="6" t="s">
        <v>34</v>
      </c>
      <c r="N265" s="6" t="s">
        <v>76</v>
      </c>
      <c r="P265" t="str">
        <f t="shared" si="12"/>
        <v>Sophia</v>
      </c>
      <c r="Q265" t="str">
        <f t="shared" si="13"/>
        <v>Williams</v>
      </c>
      <c r="R265" t="str">
        <f t="shared" si="14"/>
        <v>SoWi265</v>
      </c>
    </row>
    <row r="266" spans="1:18" x14ac:dyDescent="0.3">
      <c r="A266" s="6" t="s">
        <v>644</v>
      </c>
      <c r="B266" s="6" t="s">
        <v>645</v>
      </c>
      <c r="C266" s="6" t="s">
        <v>646</v>
      </c>
      <c r="D266" s="6" t="s">
        <v>55</v>
      </c>
      <c r="E266" s="6" t="s">
        <v>56</v>
      </c>
      <c r="F266" s="6" t="s">
        <v>57</v>
      </c>
      <c r="G266" s="6">
        <v>10</v>
      </c>
      <c r="H266" s="6">
        <v>70.94</v>
      </c>
      <c r="I266" s="6">
        <v>709.4</v>
      </c>
      <c r="J266" s="6">
        <v>18.64</v>
      </c>
      <c r="K266" s="6">
        <v>290.76</v>
      </c>
      <c r="L266" s="6" t="s">
        <v>33</v>
      </c>
      <c r="M266" s="6" t="s">
        <v>41</v>
      </c>
      <c r="N266" s="6" t="s">
        <v>98</v>
      </c>
      <c r="P266" t="str">
        <f t="shared" si="12"/>
        <v>James</v>
      </c>
      <c r="Q266" t="str">
        <f t="shared" si="13"/>
        <v>Garcia</v>
      </c>
      <c r="R266" t="str">
        <f t="shared" si="14"/>
        <v>JaGa266</v>
      </c>
    </row>
    <row r="267" spans="1:18" x14ac:dyDescent="0.3">
      <c r="A267" s="6" t="s">
        <v>647</v>
      </c>
      <c r="B267" s="6" t="s">
        <v>648</v>
      </c>
      <c r="C267" s="6" t="s">
        <v>442</v>
      </c>
      <c r="D267" s="6" t="s">
        <v>116</v>
      </c>
      <c r="E267" s="6" t="s">
        <v>74</v>
      </c>
      <c r="F267" s="6" t="s">
        <v>75</v>
      </c>
      <c r="G267" s="6">
        <v>17</v>
      </c>
      <c r="H267" s="6">
        <v>38.28</v>
      </c>
      <c r="I267" s="6">
        <v>650.76</v>
      </c>
      <c r="J267" s="6">
        <v>38.43</v>
      </c>
      <c r="K267" s="6">
        <v>187.33</v>
      </c>
      <c r="L267" s="6" t="s">
        <v>33</v>
      </c>
      <c r="M267" s="6" t="s">
        <v>41</v>
      </c>
      <c r="N267" s="6" t="s">
        <v>76</v>
      </c>
      <c r="P267" t="str">
        <f t="shared" si="12"/>
        <v>Daniel</v>
      </c>
      <c r="Q267" t="str">
        <f t="shared" si="13"/>
        <v>Jones</v>
      </c>
      <c r="R267" t="str">
        <f t="shared" si="14"/>
        <v>DaJo267</v>
      </c>
    </row>
    <row r="268" spans="1:18" x14ac:dyDescent="0.3">
      <c r="A268" s="6" t="s">
        <v>649</v>
      </c>
      <c r="B268" s="6" t="s">
        <v>650</v>
      </c>
      <c r="C268" s="6" t="s">
        <v>574</v>
      </c>
      <c r="D268" s="6" t="s">
        <v>21</v>
      </c>
      <c r="E268" s="6" t="s">
        <v>46</v>
      </c>
      <c r="F268" s="6" t="s">
        <v>47</v>
      </c>
      <c r="G268" s="6">
        <v>10</v>
      </c>
      <c r="H268" s="6">
        <v>38.799999999999997</v>
      </c>
      <c r="I268" s="6">
        <v>388</v>
      </c>
      <c r="J268" s="6">
        <v>16.39</v>
      </c>
      <c r="K268" s="6">
        <v>51.61</v>
      </c>
      <c r="L268" s="6" t="s">
        <v>48</v>
      </c>
      <c r="M268" s="6" t="s">
        <v>34</v>
      </c>
      <c r="N268" s="6" t="s">
        <v>98</v>
      </c>
      <c r="P268" t="str">
        <f t="shared" si="12"/>
        <v>Sophia</v>
      </c>
      <c r="Q268" t="str">
        <f t="shared" si="13"/>
        <v>Brown</v>
      </c>
      <c r="R268" t="str">
        <f t="shared" si="14"/>
        <v>SoBr268</v>
      </c>
    </row>
    <row r="269" spans="1:18" x14ac:dyDescent="0.3">
      <c r="A269" s="6" t="s">
        <v>651</v>
      </c>
      <c r="B269" s="6" t="s">
        <v>652</v>
      </c>
      <c r="C269" s="6" t="s">
        <v>266</v>
      </c>
      <c r="D269" s="6" t="s">
        <v>51</v>
      </c>
      <c r="E269" s="6" t="s">
        <v>74</v>
      </c>
      <c r="F269" s="6" t="s">
        <v>75</v>
      </c>
      <c r="G269" s="6">
        <v>3</v>
      </c>
      <c r="H269" s="6">
        <v>33.840000000000003</v>
      </c>
      <c r="I269" s="6">
        <v>101.52</v>
      </c>
      <c r="J269" s="6">
        <v>2.3199999999999998</v>
      </c>
      <c r="K269" s="6">
        <v>24.2</v>
      </c>
      <c r="L269" s="6" t="s">
        <v>48</v>
      </c>
      <c r="M269" s="6" t="s">
        <v>41</v>
      </c>
      <c r="N269" s="6" t="s">
        <v>76</v>
      </c>
      <c r="P269" t="str">
        <f t="shared" si="12"/>
        <v>Daniel</v>
      </c>
      <c r="Q269" t="str">
        <f t="shared" si="13"/>
        <v>Brown</v>
      </c>
      <c r="R269" t="str">
        <f t="shared" si="14"/>
        <v>DaBr269</v>
      </c>
    </row>
    <row r="270" spans="1:18" x14ac:dyDescent="0.3">
      <c r="A270" s="6" t="s">
        <v>653</v>
      </c>
      <c r="B270" s="6" t="s">
        <v>654</v>
      </c>
      <c r="C270" s="6" t="s">
        <v>317</v>
      </c>
      <c r="D270" s="6" t="s">
        <v>241</v>
      </c>
      <c r="E270" s="6" t="s">
        <v>81</v>
      </c>
      <c r="F270" s="6" t="s">
        <v>68</v>
      </c>
      <c r="G270" s="6">
        <v>20</v>
      </c>
      <c r="H270" s="6">
        <v>21.12</v>
      </c>
      <c r="I270" s="6">
        <v>422.4</v>
      </c>
      <c r="J270" s="6">
        <v>22.08</v>
      </c>
      <c r="K270" s="6">
        <v>90.32</v>
      </c>
      <c r="L270" s="6" t="s">
        <v>33</v>
      </c>
      <c r="M270" s="6" t="s">
        <v>41</v>
      </c>
      <c r="N270" s="6" t="s">
        <v>35</v>
      </c>
      <c r="P270" t="str">
        <f t="shared" si="12"/>
        <v>Emily</v>
      </c>
      <c r="Q270" t="str">
        <f t="shared" si="13"/>
        <v>Davis</v>
      </c>
      <c r="R270" t="str">
        <f t="shared" si="14"/>
        <v>EmDa270</v>
      </c>
    </row>
    <row r="271" spans="1:18" x14ac:dyDescent="0.3">
      <c r="A271" s="6" t="s">
        <v>655</v>
      </c>
      <c r="B271" s="6" t="s">
        <v>656</v>
      </c>
      <c r="C271" s="6" t="s">
        <v>440</v>
      </c>
      <c r="D271" s="6" t="s">
        <v>141</v>
      </c>
      <c r="E271" s="6" t="s">
        <v>22</v>
      </c>
      <c r="F271" s="6" t="s">
        <v>23</v>
      </c>
      <c r="G271" s="6">
        <v>1</v>
      </c>
      <c r="H271" s="6">
        <v>58.15</v>
      </c>
      <c r="I271" s="6">
        <v>58.15</v>
      </c>
      <c r="J271" s="6">
        <v>4.2</v>
      </c>
      <c r="K271" s="6">
        <v>18.95</v>
      </c>
      <c r="L271" s="6" t="s">
        <v>33</v>
      </c>
      <c r="M271" s="6" t="s">
        <v>34</v>
      </c>
      <c r="N271" s="6" t="s">
        <v>142</v>
      </c>
      <c r="P271" t="str">
        <f t="shared" si="12"/>
        <v>Sophia</v>
      </c>
      <c r="Q271" t="str">
        <f t="shared" si="13"/>
        <v>Davis</v>
      </c>
      <c r="R271" t="str">
        <f t="shared" si="14"/>
        <v>SoDa271</v>
      </c>
    </row>
    <row r="272" spans="1:18" x14ac:dyDescent="0.3">
      <c r="A272" s="6" t="s">
        <v>657</v>
      </c>
      <c r="B272" s="6" t="s">
        <v>658</v>
      </c>
      <c r="C272" s="6" t="s">
        <v>157</v>
      </c>
      <c r="D272" s="6" t="s">
        <v>45</v>
      </c>
      <c r="E272" s="6" t="s">
        <v>46</v>
      </c>
      <c r="F272" s="6" t="s">
        <v>47</v>
      </c>
      <c r="G272" s="6">
        <v>32</v>
      </c>
      <c r="H272" s="6">
        <v>45.96</v>
      </c>
      <c r="I272" s="6">
        <v>1470.72</v>
      </c>
      <c r="J272" s="6">
        <v>82.77</v>
      </c>
      <c r="K272" s="6">
        <v>363.95</v>
      </c>
      <c r="L272" s="6" t="s">
        <v>24</v>
      </c>
      <c r="M272" s="6" t="s">
        <v>34</v>
      </c>
      <c r="N272" s="6" t="s">
        <v>49</v>
      </c>
      <c r="P272" t="str">
        <f t="shared" si="12"/>
        <v>Michael</v>
      </c>
      <c r="Q272" t="str">
        <f t="shared" si="13"/>
        <v>Martinez</v>
      </c>
      <c r="R272" t="str">
        <f t="shared" si="14"/>
        <v>MiMa272</v>
      </c>
    </row>
    <row r="273" spans="1:18" x14ac:dyDescent="0.3">
      <c r="A273" s="6" t="s">
        <v>659</v>
      </c>
      <c r="B273" s="6" t="s">
        <v>660</v>
      </c>
      <c r="C273" s="6" t="s">
        <v>471</v>
      </c>
      <c r="D273" s="6" t="s">
        <v>37</v>
      </c>
      <c r="E273" s="6" t="s">
        <v>86</v>
      </c>
      <c r="F273" s="6" t="s">
        <v>47</v>
      </c>
      <c r="G273" s="6">
        <v>37</v>
      </c>
      <c r="H273" s="6">
        <v>16.82</v>
      </c>
      <c r="I273" s="6">
        <v>622.34</v>
      </c>
      <c r="J273" s="6">
        <v>32.9</v>
      </c>
      <c r="K273" s="6">
        <v>117.69</v>
      </c>
      <c r="L273" s="6" t="s">
        <v>48</v>
      </c>
      <c r="M273" s="6" t="s">
        <v>34</v>
      </c>
      <c r="N273" s="6" t="s">
        <v>35</v>
      </c>
      <c r="P273" t="str">
        <f t="shared" si="12"/>
        <v>Emily</v>
      </c>
      <c r="Q273" t="str">
        <f t="shared" si="13"/>
        <v>Johnson</v>
      </c>
      <c r="R273" t="str">
        <f t="shared" si="14"/>
        <v>EmJo273</v>
      </c>
    </row>
    <row r="274" spans="1:18" x14ac:dyDescent="0.3">
      <c r="A274" s="6" t="s">
        <v>661</v>
      </c>
      <c r="B274" s="6" t="s">
        <v>662</v>
      </c>
      <c r="C274" s="6" t="s">
        <v>66</v>
      </c>
      <c r="D274" s="6" t="s">
        <v>37</v>
      </c>
      <c r="E274" s="6" t="s">
        <v>46</v>
      </c>
      <c r="F274" s="6" t="s">
        <v>47</v>
      </c>
      <c r="G274" s="6">
        <v>18</v>
      </c>
      <c r="H274" s="6">
        <v>54.62</v>
      </c>
      <c r="I274" s="6">
        <v>983.16</v>
      </c>
      <c r="J274" s="6">
        <v>22.61</v>
      </c>
      <c r="K274" s="6">
        <v>384.55</v>
      </c>
      <c r="L274" s="6" t="s">
        <v>48</v>
      </c>
      <c r="M274" s="6" t="s">
        <v>34</v>
      </c>
      <c r="N274" s="6" t="s">
        <v>35</v>
      </c>
      <c r="P274" t="str">
        <f t="shared" si="12"/>
        <v>Emma</v>
      </c>
      <c r="Q274" t="str">
        <f t="shared" si="13"/>
        <v>Hernandez</v>
      </c>
      <c r="R274" t="str">
        <f t="shared" si="14"/>
        <v>EmHe274</v>
      </c>
    </row>
    <row r="275" spans="1:18" x14ac:dyDescent="0.3">
      <c r="A275" s="6" t="s">
        <v>663</v>
      </c>
      <c r="B275" s="6" t="s">
        <v>664</v>
      </c>
      <c r="C275" s="6" t="s">
        <v>170</v>
      </c>
      <c r="D275" s="6" t="s">
        <v>37</v>
      </c>
      <c r="E275" s="6" t="s">
        <v>86</v>
      </c>
      <c r="F275" s="6" t="s">
        <v>47</v>
      </c>
      <c r="G275" s="6">
        <v>30</v>
      </c>
      <c r="H275" s="6">
        <v>22.83</v>
      </c>
      <c r="I275" s="6">
        <v>684.9</v>
      </c>
      <c r="J275" s="6">
        <v>32.31</v>
      </c>
      <c r="K275" s="6">
        <v>270.08999999999997</v>
      </c>
      <c r="L275" s="6" t="s">
        <v>24</v>
      </c>
      <c r="M275" s="6" t="s">
        <v>34</v>
      </c>
      <c r="N275" s="6" t="s">
        <v>35</v>
      </c>
      <c r="P275" t="str">
        <f t="shared" si="12"/>
        <v>Laura</v>
      </c>
      <c r="Q275" t="str">
        <f t="shared" si="13"/>
        <v>Miller</v>
      </c>
      <c r="R275" t="str">
        <f t="shared" si="14"/>
        <v>LaMi275</v>
      </c>
    </row>
    <row r="276" spans="1:18" x14ac:dyDescent="0.3">
      <c r="A276" s="6" t="s">
        <v>665</v>
      </c>
      <c r="B276" s="6" t="s">
        <v>388</v>
      </c>
      <c r="C276" s="6" t="s">
        <v>666</v>
      </c>
      <c r="D276" s="6" t="s">
        <v>171</v>
      </c>
      <c r="E276" s="6" t="s">
        <v>46</v>
      </c>
      <c r="F276" s="6" t="s">
        <v>47</v>
      </c>
      <c r="G276" s="6">
        <v>39</v>
      </c>
      <c r="H276" s="6">
        <v>47.02</v>
      </c>
      <c r="I276" s="6">
        <v>1833.78</v>
      </c>
      <c r="J276" s="6">
        <v>50.01</v>
      </c>
      <c r="K276" s="6">
        <v>535.77</v>
      </c>
      <c r="L276" s="6" t="s">
        <v>48</v>
      </c>
      <c r="M276" s="6" t="s">
        <v>34</v>
      </c>
      <c r="N276" s="6" t="s">
        <v>35</v>
      </c>
      <c r="P276" t="str">
        <f t="shared" si="12"/>
        <v>Laura</v>
      </c>
      <c r="Q276" t="str">
        <f t="shared" si="13"/>
        <v>Smith</v>
      </c>
      <c r="R276" t="str">
        <f t="shared" si="14"/>
        <v>LaSm276</v>
      </c>
    </row>
    <row r="277" spans="1:18" x14ac:dyDescent="0.3">
      <c r="A277" s="6" t="s">
        <v>667</v>
      </c>
      <c r="B277" s="6" t="s">
        <v>668</v>
      </c>
      <c r="C277" s="6" t="s">
        <v>145</v>
      </c>
      <c r="D277" s="6" t="s">
        <v>21</v>
      </c>
      <c r="E277" s="6" t="s">
        <v>137</v>
      </c>
      <c r="F277" s="6" t="s">
        <v>68</v>
      </c>
      <c r="G277" s="6">
        <v>22</v>
      </c>
      <c r="H277" s="6">
        <v>43.32</v>
      </c>
      <c r="I277" s="6">
        <v>953.04</v>
      </c>
      <c r="J277" s="6">
        <v>71.3</v>
      </c>
      <c r="K277" s="6">
        <v>265.74</v>
      </c>
      <c r="L277" s="6" t="s">
        <v>33</v>
      </c>
      <c r="M277" s="6" t="s">
        <v>41</v>
      </c>
      <c r="N277" s="6" t="s">
        <v>98</v>
      </c>
      <c r="P277" t="str">
        <f t="shared" si="12"/>
        <v>David</v>
      </c>
      <c r="Q277" t="str">
        <f t="shared" si="13"/>
        <v>Davis</v>
      </c>
      <c r="R277" t="str">
        <f t="shared" si="14"/>
        <v>DaDa277</v>
      </c>
    </row>
    <row r="278" spans="1:18" x14ac:dyDescent="0.3">
      <c r="A278" s="6" t="s">
        <v>669</v>
      </c>
      <c r="B278" s="6" t="s">
        <v>670</v>
      </c>
      <c r="C278" s="6" t="s">
        <v>475</v>
      </c>
      <c r="D278" s="6" t="s">
        <v>127</v>
      </c>
      <c r="E278" s="6" t="s">
        <v>67</v>
      </c>
      <c r="F278" s="6" t="s">
        <v>68</v>
      </c>
      <c r="G278" s="6">
        <v>6</v>
      </c>
      <c r="H278" s="6">
        <v>31.69</v>
      </c>
      <c r="I278" s="6">
        <v>190.14</v>
      </c>
      <c r="J278" s="6">
        <v>12.52</v>
      </c>
      <c r="K278" s="6">
        <v>42.62</v>
      </c>
      <c r="L278" s="6" t="s">
        <v>48</v>
      </c>
      <c r="M278" s="6" t="s">
        <v>34</v>
      </c>
      <c r="N278" s="6" t="s">
        <v>76</v>
      </c>
      <c r="P278" t="str">
        <f t="shared" si="12"/>
        <v>John</v>
      </c>
      <c r="Q278" t="str">
        <f t="shared" si="13"/>
        <v>Garcia</v>
      </c>
      <c r="R278" t="str">
        <f t="shared" si="14"/>
        <v>JoGa278</v>
      </c>
    </row>
    <row r="279" spans="1:18" x14ac:dyDescent="0.3">
      <c r="A279" s="6" t="s">
        <v>671</v>
      </c>
      <c r="B279" s="6" t="s">
        <v>672</v>
      </c>
      <c r="C279" s="6" t="s">
        <v>317</v>
      </c>
      <c r="D279" s="6" t="s">
        <v>241</v>
      </c>
      <c r="E279" s="6" t="s">
        <v>22</v>
      </c>
      <c r="F279" s="6" t="s">
        <v>23</v>
      </c>
      <c r="G279" s="6">
        <v>19</v>
      </c>
      <c r="H279" s="6">
        <v>53.28</v>
      </c>
      <c r="I279" s="6">
        <v>1012.32</v>
      </c>
      <c r="J279" s="6">
        <v>27.24</v>
      </c>
      <c r="K279" s="6">
        <v>320.08</v>
      </c>
      <c r="L279" s="6" t="s">
        <v>48</v>
      </c>
      <c r="M279" s="6" t="s">
        <v>34</v>
      </c>
      <c r="N279" s="6" t="s">
        <v>35</v>
      </c>
      <c r="P279" t="str">
        <f t="shared" si="12"/>
        <v>Emily</v>
      </c>
      <c r="Q279" t="str">
        <f t="shared" si="13"/>
        <v>Davis</v>
      </c>
      <c r="R279" t="str">
        <f t="shared" si="14"/>
        <v>EmDa279</v>
      </c>
    </row>
    <row r="280" spans="1:18" x14ac:dyDescent="0.3">
      <c r="A280" s="6" t="s">
        <v>673</v>
      </c>
      <c r="B280" s="6" t="s">
        <v>530</v>
      </c>
      <c r="C280" s="6" t="s">
        <v>246</v>
      </c>
      <c r="D280" s="6" t="s">
        <v>21</v>
      </c>
      <c r="E280" s="6" t="s">
        <v>22</v>
      </c>
      <c r="F280" s="6" t="s">
        <v>23</v>
      </c>
      <c r="G280" s="6">
        <v>47</v>
      </c>
      <c r="H280" s="6">
        <v>47.53</v>
      </c>
      <c r="I280" s="6">
        <v>2233.91</v>
      </c>
      <c r="J280" s="6">
        <v>128.91</v>
      </c>
      <c r="K280" s="6">
        <v>460</v>
      </c>
      <c r="L280" s="6" t="s">
        <v>33</v>
      </c>
      <c r="M280" s="6" t="s">
        <v>25</v>
      </c>
      <c r="N280" s="6" t="s">
        <v>98</v>
      </c>
      <c r="P280" t="str">
        <f t="shared" si="12"/>
        <v>Michael</v>
      </c>
      <c r="Q280" t="str">
        <f t="shared" si="13"/>
        <v>Williams</v>
      </c>
      <c r="R280" t="str">
        <f t="shared" si="14"/>
        <v>MiWi280</v>
      </c>
    </row>
    <row r="281" spans="1:18" x14ac:dyDescent="0.3">
      <c r="A281" s="6" t="s">
        <v>674</v>
      </c>
      <c r="B281" s="6" t="s">
        <v>675</v>
      </c>
      <c r="C281" s="6" t="s">
        <v>455</v>
      </c>
      <c r="D281" s="6" t="s">
        <v>116</v>
      </c>
      <c r="E281" s="6" t="s">
        <v>63</v>
      </c>
      <c r="F281" s="6" t="s">
        <v>47</v>
      </c>
      <c r="G281" s="6">
        <v>12</v>
      </c>
      <c r="H281" s="6">
        <v>24.02</v>
      </c>
      <c r="I281" s="6">
        <v>288.24</v>
      </c>
      <c r="J281" s="6">
        <v>9.8000000000000007</v>
      </c>
      <c r="K281" s="6">
        <v>38.44</v>
      </c>
      <c r="L281" s="6" t="s">
        <v>24</v>
      </c>
      <c r="M281" s="6" t="s">
        <v>41</v>
      </c>
      <c r="N281" s="6" t="s">
        <v>76</v>
      </c>
      <c r="P281" t="str">
        <f t="shared" si="12"/>
        <v>Michael</v>
      </c>
      <c r="Q281" t="str">
        <f t="shared" si="13"/>
        <v>Hernandez</v>
      </c>
      <c r="R281" t="str">
        <f t="shared" si="14"/>
        <v>MiHe281</v>
      </c>
    </row>
    <row r="282" spans="1:18" x14ac:dyDescent="0.3">
      <c r="A282" s="6" t="s">
        <v>676</v>
      </c>
      <c r="B282" s="6" t="s">
        <v>577</v>
      </c>
      <c r="C282" s="6" t="s">
        <v>574</v>
      </c>
      <c r="D282" s="6" t="s">
        <v>116</v>
      </c>
      <c r="E282" s="6" t="s">
        <v>86</v>
      </c>
      <c r="F282" s="6" t="s">
        <v>47</v>
      </c>
      <c r="G282" s="6">
        <v>32</v>
      </c>
      <c r="H282" s="6">
        <v>15.64</v>
      </c>
      <c r="I282" s="6">
        <v>500.48</v>
      </c>
      <c r="J282" s="6">
        <v>24.69</v>
      </c>
      <c r="K282" s="6">
        <v>67.790000000000006</v>
      </c>
      <c r="L282" s="6" t="s">
        <v>48</v>
      </c>
      <c r="M282" s="6" t="s">
        <v>25</v>
      </c>
      <c r="N282" s="6" t="s">
        <v>76</v>
      </c>
      <c r="P282" t="str">
        <f t="shared" si="12"/>
        <v>Sophia</v>
      </c>
      <c r="Q282" t="str">
        <f t="shared" si="13"/>
        <v>Brown</v>
      </c>
      <c r="R282" t="str">
        <f t="shared" si="14"/>
        <v>SoBr282</v>
      </c>
    </row>
    <row r="283" spans="1:18" x14ac:dyDescent="0.3">
      <c r="A283" s="6" t="s">
        <v>677</v>
      </c>
      <c r="B283" s="6" t="s">
        <v>495</v>
      </c>
      <c r="C283" s="6" t="s">
        <v>381</v>
      </c>
      <c r="D283" s="6" t="s">
        <v>206</v>
      </c>
      <c r="E283" s="6" t="s">
        <v>46</v>
      </c>
      <c r="F283" s="6" t="s">
        <v>47</v>
      </c>
      <c r="G283" s="6">
        <v>22</v>
      </c>
      <c r="H283" s="6">
        <v>42.54</v>
      </c>
      <c r="I283" s="6">
        <v>935.88</v>
      </c>
      <c r="J283" s="6">
        <v>45.37</v>
      </c>
      <c r="K283" s="6">
        <v>186.51</v>
      </c>
      <c r="L283" s="6" t="s">
        <v>24</v>
      </c>
      <c r="M283" s="6" t="s">
        <v>41</v>
      </c>
      <c r="N283" s="6" t="s">
        <v>207</v>
      </c>
      <c r="P283" t="str">
        <f t="shared" si="12"/>
        <v>David</v>
      </c>
      <c r="Q283" t="str">
        <f t="shared" si="13"/>
        <v>Hernandez</v>
      </c>
      <c r="R283" t="str">
        <f t="shared" si="14"/>
        <v>DaHe283</v>
      </c>
    </row>
    <row r="284" spans="1:18" x14ac:dyDescent="0.3">
      <c r="A284" s="6" t="s">
        <v>678</v>
      </c>
      <c r="B284" s="6" t="s">
        <v>679</v>
      </c>
      <c r="C284" s="6" t="s">
        <v>499</v>
      </c>
      <c r="D284" s="6" t="s">
        <v>70</v>
      </c>
      <c r="E284" s="6" t="s">
        <v>74</v>
      </c>
      <c r="F284" s="6" t="s">
        <v>75</v>
      </c>
      <c r="G284" s="6">
        <v>37</v>
      </c>
      <c r="H284" s="6">
        <v>43.55</v>
      </c>
      <c r="I284" s="6">
        <v>1611.35</v>
      </c>
      <c r="J284" s="6">
        <v>67.78</v>
      </c>
      <c r="K284" s="6">
        <v>618.57000000000005</v>
      </c>
      <c r="L284" s="6" t="s">
        <v>33</v>
      </c>
      <c r="M284" s="6" t="s">
        <v>34</v>
      </c>
      <c r="N284" s="6" t="s">
        <v>76</v>
      </c>
      <c r="P284" t="str">
        <f t="shared" si="12"/>
        <v>Sarah</v>
      </c>
      <c r="Q284" t="str">
        <f t="shared" si="13"/>
        <v>Hernandez</v>
      </c>
      <c r="R284" t="str">
        <f t="shared" si="14"/>
        <v>SaHe284</v>
      </c>
    </row>
    <row r="285" spans="1:18" x14ac:dyDescent="0.3">
      <c r="A285" s="6" t="s">
        <v>680</v>
      </c>
      <c r="B285" s="6" t="s">
        <v>349</v>
      </c>
      <c r="C285" s="6" t="s">
        <v>182</v>
      </c>
      <c r="D285" s="6" t="s">
        <v>45</v>
      </c>
      <c r="E285" s="6" t="s">
        <v>81</v>
      </c>
      <c r="F285" s="6" t="s">
        <v>68</v>
      </c>
      <c r="G285" s="6">
        <v>42</v>
      </c>
      <c r="H285" s="6">
        <v>20.260000000000002</v>
      </c>
      <c r="I285" s="6">
        <v>850.92</v>
      </c>
      <c r="J285" s="6">
        <v>22.43</v>
      </c>
      <c r="K285" s="6">
        <v>177.49</v>
      </c>
      <c r="L285" s="6" t="s">
        <v>48</v>
      </c>
      <c r="M285" s="6" t="s">
        <v>41</v>
      </c>
      <c r="N285" s="6" t="s">
        <v>49</v>
      </c>
      <c r="P285" t="str">
        <f t="shared" si="12"/>
        <v>John</v>
      </c>
      <c r="Q285" t="str">
        <f t="shared" si="13"/>
        <v>Hernandez</v>
      </c>
      <c r="R285" t="str">
        <f t="shared" si="14"/>
        <v>JoHe285</v>
      </c>
    </row>
    <row r="286" spans="1:18" x14ac:dyDescent="0.3">
      <c r="A286" s="6" t="s">
        <v>681</v>
      </c>
      <c r="B286" s="6" t="s">
        <v>682</v>
      </c>
      <c r="C286" s="6" t="s">
        <v>113</v>
      </c>
      <c r="D286" s="6" t="s">
        <v>55</v>
      </c>
      <c r="E286" s="6" t="s">
        <v>32</v>
      </c>
      <c r="F286" s="6" t="s">
        <v>23</v>
      </c>
      <c r="G286" s="6">
        <v>43</v>
      </c>
      <c r="H286" s="6">
        <v>24.08</v>
      </c>
      <c r="I286" s="6">
        <v>1035.44</v>
      </c>
      <c r="J286" s="6">
        <v>35.07</v>
      </c>
      <c r="K286" s="6">
        <v>226.37</v>
      </c>
      <c r="L286" s="6" t="s">
        <v>33</v>
      </c>
      <c r="M286" s="6" t="s">
        <v>41</v>
      </c>
      <c r="N286" s="6" t="s">
        <v>98</v>
      </c>
      <c r="P286" t="str">
        <f t="shared" si="12"/>
        <v>James</v>
      </c>
      <c r="Q286" t="str">
        <f t="shared" si="13"/>
        <v>Davis</v>
      </c>
      <c r="R286" t="str">
        <f t="shared" si="14"/>
        <v>JaDa286</v>
      </c>
    </row>
    <row r="287" spans="1:18" x14ac:dyDescent="0.3">
      <c r="A287" s="6" t="s">
        <v>683</v>
      </c>
      <c r="B287" s="6" t="s">
        <v>366</v>
      </c>
      <c r="C287" s="6" t="s">
        <v>471</v>
      </c>
      <c r="D287" s="6" t="s">
        <v>241</v>
      </c>
      <c r="E287" s="6" t="s">
        <v>56</v>
      </c>
      <c r="F287" s="6" t="s">
        <v>57</v>
      </c>
      <c r="G287" s="6">
        <v>14</v>
      </c>
      <c r="H287" s="6">
        <v>69.010000000000005</v>
      </c>
      <c r="I287" s="6">
        <v>966.14</v>
      </c>
      <c r="J287" s="6">
        <v>32.67</v>
      </c>
      <c r="K287" s="6">
        <v>373.47</v>
      </c>
      <c r="L287" s="6" t="s">
        <v>33</v>
      </c>
      <c r="M287" s="6" t="s">
        <v>25</v>
      </c>
      <c r="N287" s="6" t="s">
        <v>35</v>
      </c>
      <c r="P287" t="str">
        <f t="shared" si="12"/>
        <v>Emily</v>
      </c>
      <c r="Q287" t="str">
        <f t="shared" si="13"/>
        <v>Johnson</v>
      </c>
      <c r="R287" t="str">
        <f t="shared" si="14"/>
        <v>EmJo287</v>
      </c>
    </row>
    <row r="288" spans="1:18" x14ac:dyDescent="0.3">
      <c r="A288" s="6" t="s">
        <v>684</v>
      </c>
      <c r="B288" s="6" t="s">
        <v>435</v>
      </c>
      <c r="C288" s="6" t="s">
        <v>188</v>
      </c>
      <c r="D288" s="6" t="s">
        <v>206</v>
      </c>
      <c r="E288" s="6" t="s">
        <v>63</v>
      </c>
      <c r="F288" s="6" t="s">
        <v>47</v>
      </c>
      <c r="G288" s="6">
        <v>29</v>
      </c>
      <c r="H288" s="6">
        <v>28.29</v>
      </c>
      <c r="I288" s="6">
        <v>820.41</v>
      </c>
      <c r="J288" s="6">
        <v>63.15</v>
      </c>
      <c r="K288" s="6">
        <v>177.26</v>
      </c>
      <c r="L288" s="6" t="s">
        <v>48</v>
      </c>
      <c r="M288" s="6" t="s">
        <v>41</v>
      </c>
      <c r="N288" s="6" t="s">
        <v>207</v>
      </c>
      <c r="P288" t="str">
        <f t="shared" si="12"/>
        <v>David</v>
      </c>
      <c r="Q288" t="str">
        <f t="shared" si="13"/>
        <v>Miller</v>
      </c>
      <c r="R288" t="str">
        <f t="shared" si="14"/>
        <v>DaMi288</v>
      </c>
    </row>
    <row r="289" spans="1:18" x14ac:dyDescent="0.3">
      <c r="A289" s="6" t="s">
        <v>685</v>
      </c>
      <c r="B289" s="6" t="s">
        <v>686</v>
      </c>
      <c r="C289" s="6" t="s">
        <v>352</v>
      </c>
      <c r="D289" s="6" t="s">
        <v>62</v>
      </c>
      <c r="E289" s="6" t="s">
        <v>81</v>
      </c>
      <c r="F289" s="6" t="s">
        <v>68</v>
      </c>
      <c r="G289" s="6">
        <v>29</v>
      </c>
      <c r="H289" s="6">
        <v>26.51</v>
      </c>
      <c r="I289" s="6">
        <v>768.79</v>
      </c>
      <c r="J289" s="6">
        <v>15.66</v>
      </c>
      <c r="K289" s="6">
        <v>303.63</v>
      </c>
      <c r="L289" s="6" t="s">
        <v>33</v>
      </c>
      <c r="M289" s="6" t="s">
        <v>25</v>
      </c>
      <c r="N289" s="6" t="s">
        <v>98</v>
      </c>
      <c r="P289" t="str">
        <f t="shared" si="12"/>
        <v>David</v>
      </c>
      <c r="Q289" t="str">
        <f t="shared" si="13"/>
        <v>Johnson</v>
      </c>
      <c r="R289" t="str">
        <f t="shared" si="14"/>
        <v>DaJo289</v>
      </c>
    </row>
    <row r="290" spans="1:18" x14ac:dyDescent="0.3">
      <c r="A290" s="6" t="s">
        <v>687</v>
      </c>
      <c r="B290" s="6" t="s">
        <v>688</v>
      </c>
      <c r="C290" s="6" t="s">
        <v>194</v>
      </c>
      <c r="D290" s="6" t="s">
        <v>55</v>
      </c>
      <c r="E290" s="6" t="s">
        <v>22</v>
      </c>
      <c r="F290" s="6" t="s">
        <v>23</v>
      </c>
      <c r="G290" s="6">
        <v>11</v>
      </c>
      <c r="H290" s="6">
        <v>58.07</v>
      </c>
      <c r="I290" s="6">
        <v>638.77</v>
      </c>
      <c r="J290" s="6">
        <v>43.89</v>
      </c>
      <c r="K290" s="6">
        <v>209.88</v>
      </c>
      <c r="L290" s="6" t="s">
        <v>24</v>
      </c>
      <c r="M290" s="6" t="s">
        <v>34</v>
      </c>
      <c r="N290" s="6" t="s">
        <v>98</v>
      </c>
      <c r="P290" t="str">
        <f t="shared" si="12"/>
        <v>Sarah</v>
      </c>
      <c r="Q290" t="str">
        <f t="shared" si="13"/>
        <v>Martinez</v>
      </c>
      <c r="R290" t="str">
        <f t="shared" si="14"/>
        <v>SaMa290</v>
      </c>
    </row>
    <row r="291" spans="1:18" x14ac:dyDescent="0.3">
      <c r="A291" s="6" t="s">
        <v>689</v>
      </c>
      <c r="B291" s="6" t="s">
        <v>536</v>
      </c>
      <c r="C291" s="6" t="s">
        <v>177</v>
      </c>
      <c r="D291" s="6" t="s">
        <v>31</v>
      </c>
      <c r="E291" s="6" t="s">
        <v>46</v>
      </c>
      <c r="F291" s="6" t="s">
        <v>47</v>
      </c>
      <c r="G291" s="6">
        <v>3</v>
      </c>
      <c r="H291" s="6">
        <v>48.76</v>
      </c>
      <c r="I291" s="6">
        <v>146.28</v>
      </c>
      <c r="J291" s="6">
        <v>10.45</v>
      </c>
      <c r="K291" s="6">
        <v>39.83</v>
      </c>
      <c r="L291" s="6" t="s">
        <v>48</v>
      </c>
      <c r="M291" s="6" t="s">
        <v>34</v>
      </c>
      <c r="N291" s="6" t="s">
        <v>35</v>
      </c>
      <c r="P291" t="str">
        <f t="shared" si="12"/>
        <v>Sophia</v>
      </c>
      <c r="Q291" t="str">
        <f t="shared" si="13"/>
        <v>Smith</v>
      </c>
      <c r="R291" t="str">
        <f t="shared" si="14"/>
        <v>SoSm291</v>
      </c>
    </row>
    <row r="292" spans="1:18" x14ac:dyDescent="0.3">
      <c r="A292" s="6" t="s">
        <v>690</v>
      </c>
      <c r="B292" s="6" t="s">
        <v>691</v>
      </c>
      <c r="C292" s="6" t="s">
        <v>257</v>
      </c>
      <c r="D292" s="6" t="s">
        <v>70</v>
      </c>
      <c r="E292" s="6" t="s">
        <v>63</v>
      </c>
      <c r="F292" s="6" t="s">
        <v>47</v>
      </c>
      <c r="G292" s="6">
        <v>49</v>
      </c>
      <c r="H292" s="6">
        <v>30.46</v>
      </c>
      <c r="I292" s="6">
        <v>1492.54</v>
      </c>
      <c r="J292" s="6">
        <v>51.82</v>
      </c>
      <c r="K292" s="6">
        <v>460.72</v>
      </c>
      <c r="L292" s="6" t="s">
        <v>33</v>
      </c>
      <c r="M292" s="6" t="s">
        <v>25</v>
      </c>
      <c r="N292" s="6" t="s">
        <v>76</v>
      </c>
      <c r="P292" t="str">
        <f t="shared" si="12"/>
        <v>Emily</v>
      </c>
      <c r="Q292" t="str">
        <f t="shared" si="13"/>
        <v>Williams</v>
      </c>
      <c r="R292" t="str">
        <f t="shared" si="14"/>
        <v>EmWi292</v>
      </c>
    </row>
    <row r="293" spans="1:18" x14ac:dyDescent="0.3">
      <c r="A293" s="6" t="s">
        <v>692</v>
      </c>
      <c r="B293" s="6" t="s">
        <v>131</v>
      </c>
      <c r="C293" s="6" t="s">
        <v>40</v>
      </c>
      <c r="D293" s="6" t="s">
        <v>51</v>
      </c>
      <c r="E293" s="6" t="s">
        <v>137</v>
      </c>
      <c r="F293" s="6" t="s">
        <v>68</v>
      </c>
      <c r="G293" s="6">
        <v>25</v>
      </c>
      <c r="H293" s="6">
        <v>35.21</v>
      </c>
      <c r="I293" s="6">
        <v>880.25</v>
      </c>
      <c r="J293" s="6">
        <v>39.799999999999997</v>
      </c>
      <c r="K293" s="6">
        <v>140.44999999999999</v>
      </c>
      <c r="L293" s="6" t="s">
        <v>48</v>
      </c>
      <c r="M293" s="6" t="s">
        <v>34</v>
      </c>
      <c r="N293" s="6" t="s">
        <v>76</v>
      </c>
      <c r="P293" t="str">
        <f t="shared" si="12"/>
        <v>John</v>
      </c>
      <c r="Q293" t="str">
        <f t="shared" si="13"/>
        <v>Davis</v>
      </c>
      <c r="R293" t="str">
        <f t="shared" si="14"/>
        <v>JoDa293</v>
      </c>
    </row>
    <row r="294" spans="1:18" x14ac:dyDescent="0.3">
      <c r="A294" s="6" t="s">
        <v>693</v>
      </c>
      <c r="B294" s="6" t="s">
        <v>694</v>
      </c>
      <c r="C294" s="6" t="s">
        <v>352</v>
      </c>
      <c r="D294" s="6" t="s">
        <v>21</v>
      </c>
      <c r="E294" s="6" t="s">
        <v>137</v>
      </c>
      <c r="F294" s="6" t="s">
        <v>68</v>
      </c>
      <c r="G294" s="6">
        <v>37</v>
      </c>
      <c r="H294" s="6">
        <v>44.82</v>
      </c>
      <c r="I294" s="6">
        <v>1658.34</v>
      </c>
      <c r="J294" s="6">
        <v>65.75</v>
      </c>
      <c r="K294" s="6">
        <v>556.59</v>
      </c>
      <c r="L294" s="6" t="s">
        <v>33</v>
      </c>
      <c r="M294" s="6" t="s">
        <v>34</v>
      </c>
      <c r="N294" s="6" t="s">
        <v>98</v>
      </c>
      <c r="P294" t="str">
        <f t="shared" si="12"/>
        <v>David</v>
      </c>
      <c r="Q294" t="str">
        <f t="shared" si="13"/>
        <v>Johnson</v>
      </c>
      <c r="R294" t="str">
        <f t="shared" si="14"/>
        <v>DaJo294</v>
      </c>
    </row>
    <row r="295" spans="1:18" x14ac:dyDescent="0.3">
      <c r="A295" s="6" t="s">
        <v>695</v>
      </c>
      <c r="B295" s="6" t="s">
        <v>696</v>
      </c>
      <c r="C295" s="6" t="s">
        <v>485</v>
      </c>
      <c r="D295" s="6" t="s">
        <v>241</v>
      </c>
      <c r="E295" s="6" t="s">
        <v>81</v>
      </c>
      <c r="F295" s="6" t="s">
        <v>68</v>
      </c>
      <c r="G295" s="6">
        <v>11</v>
      </c>
      <c r="H295" s="6">
        <v>18.75</v>
      </c>
      <c r="I295" s="6">
        <v>206.25</v>
      </c>
      <c r="J295" s="6">
        <v>11.67</v>
      </c>
      <c r="K295" s="6">
        <v>24.08</v>
      </c>
      <c r="L295" s="6" t="s">
        <v>24</v>
      </c>
      <c r="M295" s="6" t="s">
        <v>25</v>
      </c>
      <c r="N295" s="6" t="s">
        <v>35</v>
      </c>
      <c r="P295" t="str">
        <f t="shared" si="12"/>
        <v>James</v>
      </c>
      <c r="Q295" t="str">
        <f t="shared" si="13"/>
        <v>Miller</v>
      </c>
      <c r="R295" t="str">
        <f t="shared" si="14"/>
        <v>JaMi295</v>
      </c>
    </row>
    <row r="296" spans="1:18" x14ac:dyDescent="0.3">
      <c r="A296" s="6" t="s">
        <v>697</v>
      </c>
      <c r="B296" s="6" t="s">
        <v>488</v>
      </c>
      <c r="C296" s="6" t="s">
        <v>352</v>
      </c>
      <c r="D296" s="6" t="s">
        <v>45</v>
      </c>
      <c r="E296" s="6" t="s">
        <v>63</v>
      </c>
      <c r="F296" s="6" t="s">
        <v>47</v>
      </c>
      <c r="G296" s="6">
        <v>37</v>
      </c>
      <c r="H296" s="6">
        <v>31.66</v>
      </c>
      <c r="I296" s="6">
        <v>1171.42</v>
      </c>
      <c r="J296" s="6">
        <v>58.95</v>
      </c>
      <c r="K296" s="6">
        <v>372.47</v>
      </c>
      <c r="L296" s="6" t="s">
        <v>48</v>
      </c>
      <c r="M296" s="6" t="s">
        <v>25</v>
      </c>
      <c r="N296" s="6" t="s">
        <v>49</v>
      </c>
      <c r="P296" t="str">
        <f t="shared" si="12"/>
        <v>David</v>
      </c>
      <c r="Q296" t="str">
        <f t="shared" si="13"/>
        <v>Johnson</v>
      </c>
      <c r="R296" t="str">
        <f t="shared" si="14"/>
        <v>DaJo296</v>
      </c>
    </row>
    <row r="297" spans="1:18" x14ac:dyDescent="0.3">
      <c r="A297" s="6" t="s">
        <v>698</v>
      </c>
      <c r="B297" s="6" t="s">
        <v>699</v>
      </c>
      <c r="C297" s="6" t="s">
        <v>475</v>
      </c>
      <c r="D297" s="6" t="s">
        <v>31</v>
      </c>
      <c r="E297" s="6" t="s">
        <v>63</v>
      </c>
      <c r="F297" s="6" t="s">
        <v>47</v>
      </c>
      <c r="G297" s="6">
        <v>17</v>
      </c>
      <c r="H297" s="6">
        <v>32.74</v>
      </c>
      <c r="I297" s="6">
        <v>556.58000000000004</v>
      </c>
      <c r="J297" s="6">
        <v>14.68</v>
      </c>
      <c r="K297" s="6">
        <v>201.9</v>
      </c>
      <c r="L297" s="6" t="s">
        <v>33</v>
      </c>
      <c r="M297" s="6" t="s">
        <v>34</v>
      </c>
      <c r="N297" s="6" t="s">
        <v>35</v>
      </c>
      <c r="P297" t="str">
        <f t="shared" si="12"/>
        <v>John</v>
      </c>
      <c r="Q297" t="str">
        <f t="shared" si="13"/>
        <v>Garcia</v>
      </c>
      <c r="R297" t="str">
        <f t="shared" si="14"/>
        <v>JoGa297</v>
      </c>
    </row>
    <row r="298" spans="1:18" x14ac:dyDescent="0.3">
      <c r="A298" s="6" t="s">
        <v>700</v>
      </c>
      <c r="B298" s="6" t="s">
        <v>701</v>
      </c>
      <c r="C298" s="6" t="s">
        <v>113</v>
      </c>
      <c r="D298" s="6" t="s">
        <v>21</v>
      </c>
      <c r="E298" s="6" t="s">
        <v>137</v>
      </c>
      <c r="F298" s="6" t="s">
        <v>68</v>
      </c>
      <c r="G298" s="6">
        <v>7</v>
      </c>
      <c r="H298" s="6">
        <v>46.64</v>
      </c>
      <c r="I298" s="6">
        <v>326.48</v>
      </c>
      <c r="J298" s="6">
        <v>25.19</v>
      </c>
      <c r="K298" s="6">
        <v>105.29</v>
      </c>
      <c r="L298" s="6" t="s">
        <v>33</v>
      </c>
      <c r="M298" s="6" t="s">
        <v>41</v>
      </c>
      <c r="N298" s="6" t="s">
        <v>98</v>
      </c>
      <c r="P298" t="str">
        <f t="shared" si="12"/>
        <v>James</v>
      </c>
      <c r="Q298" t="str">
        <f t="shared" si="13"/>
        <v>Davis</v>
      </c>
      <c r="R298" t="str">
        <f t="shared" si="14"/>
        <v>JaDa298</v>
      </c>
    </row>
    <row r="299" spans="1:18" x14ac:dyDescent="0.3">
      <c r="A299" s="6" t="s">
        <v>702</v>
      </c>
      <c r="B299" s="6" t="s">
        <v>703</v>
      </c>
      <c r="C299" s="6" t="s">
        <v>216</v>
      </c>
      <c r="D299" s="6" t="s">
        <v>123</v>
      </c>
      <c r="E299" s="6" t="s">
        <v>32</v>
      </c>
      <c r="F299" s="6" t="s">
        <v>23</v>
      </c>
      <c r="G299" s="6">
        <v>16</v>
      </c>
      <c r="H299" s="6">
        <v>24.77</v>
      </c>
      <c r="I299" s="6">
        <v>396.32</v>
      </c>
      <c r="J299" s="6">
        <v>15.6</v>
      </c>
      <c r="K299" s="6">
        <v>92.72</v>
      </c>
      <c r="L299" s="6" t="s">
        <v>24</v>
      </c>
      <c r="M299" s="6" t="s">
        <v>41</v>
      </c>
      <c r="N299" s="6" t="s">
        <v>76</v>
      </c>
      <c r="P299" t="str">
        <f t="shared" si="12"/>
        <v>Daniel</v>
      </c>
      <c r="Q299" t="str">
        <f t="shared" si="13"/>
        <v>Smith</v>
      </c>
      <c r="R299" t="str">
        <f t="shared" si="14"/>
        <v>DaSm299</v>
      </c>
    </row>
    <row r="300" spans="1:18" x14ac:dyDescent="0.3">
      <c r="A300" s="6" t="s">
        <v>704</v>
      </c>
      <c r="B300" s="6" t="s">
        <v>406</v>
      </c>
      <c r="C300" s="6" t="s">
        <v>85</v>
      </c>
      <c r="D300" s="6" t="s">
        <v>62</v>
      </c>
      <c r="E300" s="6" t="s">
        <v>56</v>
      </c>
      <c r="F300" s="6" t="s">
        <v>57</v>
      </c>
      <c r="G300" s="6">
        <v>39</v>
      </c>
      <c r="H300" s="6">
        <v>56.5</v>
      </c>
      <c r="I300" s="6">
        <v>2203.5</v>
      </c>
      <c r="J300" s="6">
        <v>141.58000000000001</v>
      </c>
      <c r="K300" s="6">
        <v>501.92</v>
      </c>
      <c r="L300" s="6" t="s">
        <v>48</v>
      </c>
      <c r="M300" s="6" t="s">
        <v>25</v>
      </c>
      <c r="N300" s="6" t="s">
        <v>98</v>
      </c>
      <c r="P300" t="str">
        <f t="shared" si="12"/>
        <v>Laura</v>
      </c>
      <c r="Q300" t="str">
        <f t="shared" si="13"/>
        <v>Martinez</v>
      </c>
      <c r="R300" t="str">
        <f t="shared" si="14"/>
        <v>LaMa300</v>
      </c>
    </row>
    <row r="301" spans="1:18" x14ac:dyDescent="0.3">
      <c r="A301" s="6" t="s">
        <v>705</v>
      </c>
      <c r="B301" s="6" t="s">
        <v>706</v>
      </c>
      <c r="C301" s="6" t="s">
        <v>574</v>
      </c>
      <c r="D301" s="6" t="s">
        <v>70</v>
      </c>
      <c r="E301" s="6" t="s">
        <v>81</v>
      </c>
      <c r="F301" s="6" t="s">
        <v>68</v>
      </c>
      <c r="G301" s="6">
        <v>1</v>
      </c>
      <c r="H301" s="6">
        <v>24.01</v>
      </c>
      <c r="I301" s="6">
        <v>24.01</v>
      </c>
      <c r="J301" s="6">
        <v>1.58</v>
      </c>
      <c r="K301" s="6">
        <v>6.93</v>
      </c>
      <c r="L301" s="6" t="s">
        <v>24</v>
      </c>
      <c r="M301" s="6" t="s">
        <v>25</v>
      </c>
      <c r="N301" s="6" t="s">
        <v>76</v>
      </c>
      <c r="P301" t="str">
        <f t="shared" si="12"/>
        <v>Sophia</v>
      </c>
      <c r="Q301" t="str">
        <f t="shared" si="13"/>
        <v>Brown</v>
      </c>
      <c r="R301" t="str">
        <f t="shared" si="14"/>
        <v>SoBr301</v>
      </c>
    </row>
    <row r="302" spans="1:18" x14ac:dyDescent="0.3">
      <c r="A302" s="6" t="s">
        <v>707</v>
      </c>
      <c r="B302" s="6" t="s">
        <v>187</v>
      </c>
      <c r="C302" s="6" t="s">
        <v>162</v>
      </c>
      <c r="D302" s="6" t="s">
        <v>70</v>
      </c>
      <c r="E302" s="6" t="s">
        <v>74</v>
      </c>
      <c r="F302" s="6" t="s">
        <v>75</v>
      </c>
      <c r="G302" s="6">
        <v>45</v>
      </c>
      <c r="H302" s="6">
        <v>35.99</v>
      </c>
      <c r="I302" s="6">
        <v>1619.55</v>
      </c>
      <c r="J302" s="6">
        <v>49.95</v>
      </c>
      <c r="K302" s="6">
        <v>444.6</v>
      </c>
      <c r="L302" s="6" t="s">
        <v>24</v>
      </c>
      <c r="M302" s="6" t="s">
        <v>34</v>
      </c>
      <c r="N302" s="6" t="s">
        <v>76</v>
      </c>
      <c r="P302" t="str">
        <f t="shared" si="12"/>
        <v>Laura</v>
      </c>
      <c r="Q302" t="str">
        <f t="shared" si="13"/>
        <v>Jones</v>
      </c>
      <c r="R302" t="str">
        <f t="shared" si="14"/>
        <v>LaJo302</v>
      </c>
    </row>
    <row r="303" spans="1:18" x14ac:dyDescent="0.3">
      <c r="A303" s="6" t="s">
        <v>708</v>
      </c>
      <c r="B303" s="6" t="s">
        <v>303</v>
      </c>
      <c r="C303" s="6" t="s">
        <v>266</v>
      </c>
      <c r="D303" s="6" t="s">
        <v>116</v>
      </c>
      <c r="E303" s="6" t="s">
        <v>63</v>
      </c>
      <c r="F303" s="6" t="s">
        <v>47</v>
      </c>
      <c r="G303" s="6">
        <v>5</v>
      </c>
      <c r="H303" s="6">
        <v>25.45</v>
      </c>
      <c r="I303" s="6">
        <v>127.25</v>
      </c>
      <c r="J303" s="6">
        <v>7.22</v>
      </c>
      <c r="K303" s="6">
        <v>20.03</v>
      </c>
      <c r="L303" s="6" t="s">
        <v>48</v>
      </c>
      <c r="M303" s="6" t="s">
        <v>41</v>
      </c>
      <c r="N303" s="6" t="s">
        <v>76</v>
      </c>
      <c r="P303" t="str">
        <f t="shared" si="12"/>
        <v>Daniel</v>
      </c>
      <c r="Q303" t="str">
        <f t="shared" si="13"/>
        <v>Brown</v>
      </c>
      <c r="R303" t="str">
        <f t="shared" si="14"/>
        <v>DaBr303</v>
      </c>
    </row>
    <row r="304" spans="1:18" x14ac:dyDescent="0.3">
      <c r="A304" s="6" t="s">
        <v>709</v>
      </c>
      <c r="B304" s="6" t="s">
        <v>395</v>
      </c>
      <c r="C304" s="6" t="s">
        <v>162</v>
      </c>
      <c r="D304" s="6" t="s">
        <v>127</v>
      </c>
      <c r="E304" s="6" t="s">
        <v>81</v>
      </c>
      <c r="F304" s="6" t="s">
        <v>68</v>
      </c>
      <c r="G304" s="6">
        <v>24</v>
      </c>
      <c r="H304" s="6">
        <v>19.53</v>
      </c>
      <c r="I304" s="6">
        <v>468.72</v>
      </c>
      <c r="J304" s="6">
        <v>14.12</v>
      </c>
      <c r="K304" s="6">
        <v>82.6</v>
      </c>
      <c r="L304" s="6" t="s">
        <v>24</v>
      </c>
      <c r="M304" s="6" t="s">
        <v>25</v>
      </c>
      <c r="N304" s="6" t="s">
        <v>76</v>
      </c>
      <c r="P304" t="str">
        <f t="shared" si="12"/>
        <v>Laura</v>
      </c>
      <c r="Q304" t="str">
        <f t="shared" si="13"/>
        <v>Jones</v>
      </c>
      <c r="R304" t="str">
        <f t="shared" si="14"/>
        <v>LaJo304</v>
      </c>
    </row>
    <row r="305" spans="1:18" x14ac:dyDescent="0.3">
      <c r="A305" s="6" t="s">
        <v>710</v>
      </c>
      <c r="B305" s="6" t="s">
        <v>164</v>
      </c>
      <c r="C305" s="6" t="s">
        <v>30</v>
      </c>
      <c r="D305" s="6" t="s">
        <v>55</v>
      </c>
      <c r="E305" s="6" t="s">
        <v>86</v>
      </c>
      <c r="F305" s="6" t="s">
        <v>47</v>
      </c>
      <c r="G305" s="6">
        <v>28</v>
      </c>
      <c r="H305" s="6">
        <v>22.33</v>
      </c>
      <c r="I305" s="6">
        <v>625.24</v>
      </c>
      <c r="J305" s="6">
        <v>44.24</v>
      </c>
      <c r="K305" s="6">
        <v>224</v>
      </c>
      <c r="L305" s="6" t="s">
        <v>24</v>
      </c>
      <c r="M305" s="6" t="s">
        <v>25</v>
      </c>
      <c r="N305" s="6" t="s">
        <v>98</v>
      </c>
      <c r="P305" t="str">
        <f t="shared" si="12"/>
        <v>Laura</v>
      </c>
      <c r="Q305" t="str">
        <f t="shared" si="13"/>
        <v>Brown</v>
      </c>
      <c r="R305" t="str">
        <f t="shared" si="14"/>
        <v>LaBr305</v>
      </c>
    </row>
    <row r="306" spans="1:18" x14ac:dyDescent="0.3">
      <c r="A306" s="6" t="s">
        <v>711</v>
      </c>
      <c r="B306" s="6" t="s">
        <v>712</v>
      </c>
      <c r="C306" s="6" t="s">
        <v>148</v>
      </c>
      <c r="D306" s="6" t="s">
        <v>37</v>
      </c>
      <c r="E306" s="6" t="s">
        <v>46</v>
      </c>
      <c r="F306" s="6" t="s">
        <v>47</v>
      </c>
      <c r="G306" s="6">
        <v>49</v>
      </c>
      <c r="H306" s="6">
        <v>39.31</v>
      </c>
      <c r="I306" s="6">
        <v>1926.19</v>
      </c>
      <c r="J306" s="6">
        <v>69.7</v>
      </c>
      <c r="K306" s="6">
        <v>288.49</v>
      </c>
      <c r="L306" s="6" t="s">
        <v>33</v>
      </c>
      <c r="M306" s="6" t="s">
        <v>25</v>
      </c>
      <c r="N306" s="6" t="s">
        <v>35</v>
      </c>
      <c r="P306" t="str">
        <f t="shared" si="12"/>
        <v>Sarah</v>
      </c>
      <c r="Q306" t="str">
        <f t="shared" si="13"/>
        <v>Johnson</v>
      </c>
      <c r="R306" t="str">
        <f t="shared" si="14"/>
        <v>SaJo306</v>
      </c>
    </row>
    <row r="307" spans="1:18" x14ac:dyDescent="0.3">
      <c r="A307" s="6" t="s">
        <v>713</v>
      </c>
      <c r="B307" s="6" t="s">
        <v>714</v>
      </c>
      <c r="C307" s="6" t="s">
        <v>290</v>
      </c>
      <c r="D307" s="6" t="s">
        <v>70</v>
      </c>
      <c r="E307" s="6" t="s">
        <v>81</v>
      </c>
      <c r="F307" s="6" t="s">
        <v>68</v>
      </c>
      <c r="G307" s="6">
        <v>6</v>
      </c>
      <c r="H307" s="6">
        <v>22.95</v>
      </c>
      <c r="I307" s="6">
        <v>137.69999999999999</v>
      </c>
      <c r="J307" s="6">
        <v>5.63</v>
      </c>
      <c r="K307" s="6">
        <v>39.07</v>
      </c>
      <c r="L307" s="6" t="s">
        <v>33</v>
      </c>
      <c r="M307" s="6" t="s">
        <v>34</v>
      </c>
      <c r="N307" s="6" t="s">
        <v>76</v>
      </c>
      <c r="P307" t="str">
        <f t="shared" si="12"/>
        <v>Michael</v>
      </c>
      <c r="Q307" t="str">
        <f t="shared" si="13"/>
        <v>Davis</v>
      </c>
      <c r="R307" t="str">
        <f t="shared" si="14"/>
        <v>MiDa307</v>
      </c>
    </row>
    <row r="308" spans="1:18" x14ac:dyDescent="0.3">
      <c r="A308" s="6" t="s">
        <v>715</v>
      </c>
      <c r="B308" s="6" t="s">
        <v>612</v>
      </c>
      <c r="C308" s="6" t="s">
        <v>246</v>
      </c>
      <c r="D308" s="6" t="s">
        <v>62</v>
      </c>
      <c r="E308" s="6" t="s">
        <v>63</v>
      </c>
      <c r="F308" s="6" t="s">
        <v>47</v>
      </c>
      <c r="G308" s="6">
        <v>35</v>
      </c>
      <c r="H308" s="6">
        <v>27.72</v>
      </c>
      <c r="I308" s="6">
        <v>970.2</v>
      </c>
      <c r="J308" s="6">
        <v>61.74</v>
      </c>
      <c r="K308" s="6">
        <v>208.46</v>
      </c>
      <c r="L308" s="6" t="s">
        <v>24</v>
      </c>
      <c r="M308" s="6" t="s">
        <v>41</v>
      </c>
      <c r="N308" s="6" t="s">
        <v>98</v>
      </c>
      <c r="P308" t="str">
        <f t="shared" si="12"/>
        <v>Michael</v>
      </c>
      <c r="Q308" t="str">
        <f t="shared" si="13"/>
        <v>Williams</v>
      </c>
      <c r="R308" t="str">
        <f t="shared" si="14"/>
        <v>MiWi308</v>
      </c>
    </row>
    <row r="309" spans="1:18" x14ac:dyDescent="0.3">
      <c r="A309" s="6" t="s">
        <v>716</v>
      </c>
      <c r="B309" s="6" t="s">
        <v>261</v>
      </c>
      <c r="C309" s="6" t="s">
        <v>232</v>
      </c>
      <c r="D309" s="6" t="s">
        <v>51</v>
      </c>
      <c r="E309" s="6" t="s">
        <v>56</v>
      </c>
      <c r="F309" s="6" t="s">
        <v>57</v>
      </c>
      <c r="G309" s="6">
        <v>34</v>
      </c>
      <c r="H309" s="6">
        <v>64.75</v>
      </c>
      <c r="I309" s="6">
        <v>2201.5</v>
      </c>
      <c r="J309" s="6">
        <v>68.05</v>
      </c>
      <c r="K309" s="6">
        <v>773.45</v>
      </c>
      <c r="L309" s="6" t="s">
        <v>48</v>
      </c>
      <c r="M309" s="6" t="s">
        <v>41</v>
      </c>
      <c r="N309" s="6" t="s">
        <v>76</v>
      </c>
      <c r="P309" t="str">
        <f t="shared" si="12"/>
        <v>Daniel</v>
      </c>
      <c r="Q309" t="str">
        <f t="shared" si="13"/>
        <v>Johnson</v>
      </c>
      <c r="R309" t="str">
        <f t="shared" si="14"/>
        <v>DaJo309</v>
      </c>
    </row>
    <row r="310" spans="1:18" x14ac:dyDescent="0.3">
      <c r="A310" s="6" t="s">
        <v>717</v>
      </c>
      <c r="B310" s="6" t="s">
        <v>718</v>
      </c>
      <c r="C310" s="6" t="s">
        <v>191</v>
      </c>
      <c r="D310" s="6" t="s">
        <v>206</v>
      </c>
      <c r="E310" s="6" t="s">
        <v>63</v>
      </c>
      <c r="F310" s="6" t="s">
        <v>47</v>
      </c>
      <c r="G310" s="6">
        <v>49</v>
      </c>
      <c r="H310" s="6">
        <v>26.02</v>
      </c>
      <c r="I310" s="6">
        <v>1274.98</v>
      </c>
      <c r="J310" s="6">
        <v>61.84</v>
      </c>
      <c r="K310" s="6">
        <v>233.14</v>
      </c>
      <c r="L310" s="6" t="s">
        <v>48</v>
      </c>
      <c r="M310" s="6" t="s">
        <v>34</v>
      </c>
      <c r="N310" s="6" t="s">
        <v>207</v>
      </c>
      <c r="P310" t="str">
        <f t="shared" si="12"/>
        <v>Michael</v>
      </c>
      <c r="Q310" t="str">
        <f t="shared" si="13"/>
        <v>Smith</v>
      </c>
      <c r="R310" t="str">
        <f t="shared" si="14"/>
        <v>MiSm310</v>
      </c>
    </row>
    <row r="311" spans="1:18" x14ac:dyDescent="0.3">
      <c r="A311" s="6" t="s">
        <v>719</v>
      </c>
      <c r="B311" s="6" t="s">
        <v>263</v>
      </c>
      <c r="C311" s="6" t="s">
        <v>391</v>
      </c>
      <c r="D311" s="6" t="s">
        <v>45</v>
      </c>
      <c r="E311" s="6" t="s">
        <v>74</v>
      </c>
      <c r="F311" s="6" t="s">
        <v>75</v>
      </c>
      <c r="G311" s="6">
        <v>1</v>
      </c>
      <c r="H311" s="6">
        <v>32.979999999999997</v>
      </c>
      <c r="I311" s="6">
        <v>32.979999999999997</v>
      </c>
      <c r="J311" s="6">
        <v>1.89</v>
      </c>
      <c r="K311" s="6">
        <v>6.09</v>
      </c>
      <c r="L311" s="6" t="s">
        <v>48</v>
      </c>
      <c r="M311" s="6" t="s">
        <v>34</v>
      </c>
      <c r="N311" s="6" t="s">
        <v>49</v>
      </c>
      <c r="P311" t="str">
        <f t="shared" si="12"/>
        <v>John</v>
      </c>
      <c r="Q311" t="str">
        <f t="shared" si="13"/>
        <v>Martinez</v>
      </c>
      <c r="R311" t="str">
        <f t="shared" si="14"/>
        <v>JoMa311</v>
      </c>
    </row>
    <row r="312" spans="1:18" x14ac:dyDescent="0.3">
      <c r="A312" s="6" t="s">
        <v>720</v>
      </c>
      <c r="B312" s="6" t="s">
        <v>294</v>
      </c>
      <c r="C312" s="6" t="s">
        <v>499</v>
      </c>
      <c r="D312" s="6" t="s">
        <v>45</v>
      </c>
      <c r="E312" s="6" t="s">
        <v>86</v>
      </c>
      <c r="F312" s="6" t="s">
        <v>47</v>
      </c>
      <c r="G312" s="6">
        <v>18</v>
      </c>
      <c r="H312" s="6">
        <v>20.09</v>
      </c>
      <c r="I312" s="6">
        <v>361.62</v>
      </c>
      <c r="J312" s="6">
        <v>8.3800000000000008</v>
      </c>
      <c r="K312" s="6">
        <v>123.74</v>
      </c>
      <c r="L312" s="6" t="s">
        <v>24</v>
      </c>
      <c r="M312" s="6" t="s">
        <v>25</v>
      </c>
      <c r="N312" s="6" t="s">
        <v>49</v>
      </c>
      <c r="P312" t="str">
        <f t="shared" si="12"/>
        <v>Sarah</v>
      </c>
      <c r="Q312" t="str">
        <f t="shared" si="13"/>
        <v>Hernandez</v>
      </c>
      <c r="R312" t="str">
        <f t="shared" si="14"/>
        <v>SaHe312</v>
      </c>
    </row>
    <row r="313" spans="1:18" x14ac:dyDescent="0.3">
      <c r="A313" s="6" t="s">
        <v>721</v>
      </c>
      <c r="B313" s="6" t="s">
        <v>679</v>
      </c>
      <c r="C313" s="6" t="s">
        <v>266</v>
      </c>
      <c r="D313" s="6" t="s">
        <v>70</v>
      </c>
      <c r="E313" s="6" t="s">
        <v>22</v>
      </c>
      <c r="F313" s="6" t="s">
        <v>23</v>
      </c>
      <c r="G313" s="6">
        <v>39</v>
      </c>
      <c r="H313" s="6">
        <v>49.59</v>
      </c>
      <c r="I313" s="6">
        <v>1934.01</v>
      </c>
      <c r="J313" s="6">
        <v>62.79</v>
      </c>
      <c r="K313" s="6">
        <v>506.22</v>
      </c>
      <c r="L313" s="6" t="s">
        <v>33</v>
      </c>
      <c r="M313" s="6" t="s">
        <v>34</v>
      </c>
      <c r="N313" s="6" t="s">
        <v>76</v>
      </c>
      <c r="P313" t="str">
        <f t="shared" si="12"/>
        <v>Daniel</v>
      </c>
      <c r="Q313" t="str">
        <f t="shared" si="13"/>
        <v>Brown</v>
      </c>
      <c r="R313" t="str">
        <f t="shared" si="14"/>
        <v>DaBr313</v>
      </c>
    </row>
    <row r="314" spans="1:18" x14ac:dyDescent="0.3">
      <c r="A314" s="6" t="s">
        <v>722</v>
      </c>
      <c r="B314" s="6" t="s">
        <v>723</v>
      </c>
      <c r="C314" s="6" t="s">
        <v>462</v>
      </c>
      <c r="D314" s="6" t="s">
        <v>55</v>
      </c>
      <c r="E314" s="6" t="s">
        <v>46</v>
      </c>
      <c r="F314" s="6" t="s">
        <v>47</v>
      </c>
      <c r="G314" s="6">
        <v>6</v>
      </c>
      <c r="H314" s="6">
        <v>41.99</v>
      </c>
      <c r="I314" s="6">
        <v>251.94</v>
      </c>
      <c r="J314" s="6">
        <v>10.76</v>
      </c>
      <c r="K314" s="6">
        <v>49.18</v>
      </c>
      <c r="L314" s="6" t="s">
        <v>24</v>
      </c>
      <c r="M314" s="6" t="s">
        <v>25</v>
      </c>
      <c r="N314" s="6" t="s">
        <v>98</v>
      </c>
      <c r="P314" t="str">
        <f t="shared" si="12"/>
        <v>John</v>
      </c>
      <c r="Q314" t="str">
        <f t="shared" si="13"/>
        <v>Brown</v>
      </c>
      <c r="R314" t="str">
        <f t="shared" si="14"/>
        <v>JoBr314</v>
      </c>
    </row>
    <row r="315" spans="1:18" x14ac:dyDescent="0.3">
      <c r="A315" s="6" t="s">
        <v>724</v>
      </c>
      <c r="B315" s="6" t="s">
        <v>243</v>
      </c>
      <c r="C315" s="6" t="s">
        <v>113</v>
      </c>
      <c r="D315" s="6" t="s">
        <v>116</v>
      </c>
      <c r="E315" s="6" t="s">
        <v>22</v>
      </c>
      <c r="F315" s="6" t="s">
        <v>23</v>
      </c>
      <c r="G315" s="6">
        <v>12</v>
      </c>
      <c r="H315" s="6">
        <v>47.4</v>
      </c>
      <c r="I315" s="6">
        <v>568.79999999999995</v>
      </c>
      <c r="J315" s="6">
        <v>23.31</v>
      </c>
      <c r="K315" s="6">
        <v>125.49</v>
      </c>
      <c r="L315" s="6" t="s">
        <v>48</v>
      </c>
      <c r="M315" s="6" t="s">
        <v>25</v>
      </c>
      <c r="N315" s="6" t="s">
        <v>76</v>
      </c>
      <c r="P315" t="str">
        <f t="shared" si="12"/>
        <v>James</v>
      </c>
      <c r="Q315" t="str">
        <f t="shared" si="13"/>
        <v>Davis</v>
      </c>
      <c r="R315" t="str">
        <f t="shared" si="14"/>
        <v>JaDa315</v>
      </c>
    </row>
    <row r="316" spans="1:18" x14ac:dyDescent="0.3">
      <c r="A316" s="6" t="s">
        <v>725</v>
      </c>
      <c r="B316" s="6" t="s">
        <v>726</v>
      </c>
      <c r="C316" s="6" t="s">
        <v>396</v>
      </c>
      <c r="D316" s="6" t="s">
        <v>123</v>
      </c>
      <c r="E316" s="6" t="s">
        <v>63</v>
      </c>
      <c r="F316" s="6" t="s">
        <v>47</v>
      </c>
      <c r="G316" s="6">
        <v>50</v>
      </c>
      <c r="H316" s="6">
        <v>34.28</v>
      </c>
      <c r="I316" s="6">
        <v>1714</v>
      </c>
      <c r="J316" s="6">
        <v>59.84</v>
      </c>
      <c r="K316" s="6">
        <v>654.16</v>
      </c>
      <c r="L316" s="6" t="s">
        <v>24</v>
      </c>
      <c r="M316" s="6" t="s">
        <v>25</v>
      </c>
      <c r="N316" s="6" t="s">
        <v>76</v>
      </c>
      <c r="P316" t="str">
        <f t="shared" si="12"/>
        <v>David</v>
      </c>
      <c r="Q316" t="str">
        <f t="shared" si="13"/>
        <v>Garcia</v>
      </c>
      <c r="R316" t="str">
        <f t="shared" si="14"/>
        <v>DaGa316</v>
      </c>
    </row>
    <row r="317" spans="1:18" x14ac:dyDescent="0.3">
      <c r="A317" s="6" t="s">
        <v>727</v>
      </c>
      <c r="B317" s="6" t="s">
        <v>728</v>
      </c>
      <c r="C317" s="6" t="s">
        <v>323</v>
      </c>
      <c r="D317" s="6" t="s">
        <v>141</v>
      </c>
      <c r="E317" s="6" t="s">
        <v>32</v>
      </c>
      <c r="F317" s="6" t="s">
        <v>23</v>
      </c>
      <c r="G317" s="6">
        <v>50</v>
      </c>
      <c r="H317" s="6">
        <v>29.39</v>
      </c>
      <c r="I317" s="6">
        <v>1469.5</v>
      </c>
      <c r="J317" s="6">
        <v>101.51</v>
      </c>
      <c r="K317" s="6">
        <v>467.99</v>
      </c>
      <c r="L317" s="6" t="s">
        <v>48</v>
      </c>
      <c r="M317" s="6" t="s">
        <v>41</v>
      </c>
      <c r="N317" s="6" t="s">
        <v>142</v>
      </c>
      <c r="P317" t="str">
        <f t="shared" si="12"/>
        <v>Sophia</v>
      </c>
      <c r="Q317" t="str">
        <f t="shared" si="13"/>
        <v>Martinez</v>
      </c>
      <c r="R317" t="str">
        <f t="shared" si="14"/>
        <v>SoMa317</v>
      </c>
    </row>
    <row r="318" spans="1:18" x14ac:dyDescent="0.3">
      <c r="A318" s="6" t="s">
        <v>729</v>
      </c>
      <c r="B318" s="6" t="s">
        <v>423</v>
      </c>
      <c r="C318" s="6" t="s">
        <v>182</v>
      </c>
      <c r="D318" s="6" t="s">
        <v>45</v>
      </c>
      <c r="E318" s="6" t="s">
        <v>32</v>
      </c>
      <c r="F318" s="6" t="s">
        <v>23</v>
      </c>
      <c r="G318" s="6">
        <v>46</v>
      </c>
      <c r="H318" s="6">
        <v>30.34</v>
      </c>
      <c r="I318" s="6">
        <v>1395.64</v>
      </c>
      <c r="J318" s="6">
        <v>104.2</v>
      </c>
      <c r="K318" s="6">
        <v>463.44</v>
      </c>
      <c r="L318" s="6" t="s">
        <v>24</v>
      </c>
      <c r="M318" s="6" t="s">
        <v>34</v>
      </c>
      <c r="N318" s="6" t="s">
        <v>49</v>
      </c>
      <c r="P318" t="str">
        <f t="shared" si="12"/>
        <v>John</v>
      </c>
      <c r="Q318" t="str">
        <f t="shared" si="13"/>
        <v>Hernandez</v>
      </c>
      <c r="R318" t="str">
        <f t="shared" si="14"/>
        <v>JoHe318</v>
      </c>
    </row>
    <row r="319" spans="1:18" x14ac:dyDescent="0.3">
      <c r="A319" s="6" t="s">
        <v>730</v>
      </c>
      <c r="B319" s="6" t="s">
        <v>731</v>
      </c>
      <c r="C319" s="6" t="s">
        <v>732</v>
      </c>
      <c r="D319" s="6" t="s">
        <v>116</v>
      </c>
      <c r="E319" s="6" t="s">
        <v>86</v>
      </c>
      <c r="F319" s="6" t="s">
        <v>47</v>
      </c>
      <c r="G319" s="6">
        <v>50</v>
      </c>
      <c r="H319" s="6">
        <v>18.809999999999999</v>
      </c>
      <c r="I319" s="6">
        <v>940.5</v>
      </c>
      <c r="J319" s="6">
        <v>40.25</v>
      </c>
      <c r="K319" s="6">
        <v>262.75</v>
      </c>
      <c r="L319" s="6" t="s">
        <v>33</v>
      </c>
      <c r="M319" s="6" t="s">
        <v>34</v>
      </c>
      <c r="N319" s="6" t="s">
        <v>76</v>
      </c>
      <c r="P319" t="str">
        <f t="shared" si="12"/>
        <v>James</v>
      </c>
      <c r="Q319" t="str">
        <f t="shared" si="13"/>
        <v>Jones</v>
      </c>
      <c r="R319" t="str">
        <f t="shared" si="14"/>
        <v>JaJo319</v>
      </c>
    </row>
    <row r="320" spans="1:18" x14ac:dyDescent="0.3">
      <c r="A320" s="6" t="s">
        <v>733</v>
      </c>
      <c r="B320" s="6" t="s">
        <v>734</v>
      </c>
      <c r="C320" s="6" t="s">
        <v>323</v>
      </c>
      <c r="D320" s="6" t="s">
        <v>206</v>
      </c>
      <c r="E320" s="6" t="s">
        <v>67</v>
      </c>
      <c r="F320" s="6" t="s">
        <v>68</v>
      </c>
      <c r="G320" s="6">
        <v>2</v>
      </c>
      <c r="H320" s="6">
        <v>29.64</v>
      </c>
      <c r="I320" s="6">
        <v>59.28</v>
      </c>
      <c r="J320" s="6">
        <v>4.59</v>
      </c>
      <c r="K320" s="6">
        <v>9.69</v>
      </c>
      <c r="L320" s="6" t="s">
        <v>33</v>
      </c>
      <c r="M320" s="6" t="s">
        <v>41</v>
      </c>
      <c r="N320" s="6" t="s">
        <v>207</v>
      </c>
      <c r="P320" t="str">
        <f t="shared" si="12"/>
        <v>Sophia</v>
      </c>
      <c r="Q320" t="str">
        <f t="shared" si="13"/>
        <v>Martinez</v>
      </c>
      <c r="R320" t="str">
        <f t="shared" si="14"/>
        <v>SoMa320</v>
      </c>
    </row>
    <row r="321" spans="1:18" x14ac:dyDescent="0.3">
      <c r="A321" s="6" t="s">
        <v>735</v>
      </c>
      <c r="B321" s="6" t="s">
        <v>736</v>
      </c>
      <c r="C321" s="6" t="s">
        <v>574</v>
      </c>
      <c r="D321" s="6" t="s">
        <v>116</v>
      </c>
      <c r="E321" s="6" t="s">
        <v>67</v>
      </c>
      <c r="F321" s="6" t="s">
        <v>68</v>
      </c>
      <c r="G321" s="6">
        <v>48</v>
      </c>
      <c r="H321" s="6">
        <v>27.9</v>
      </c>
      <c r="I321" s="6">
        <v>1339.2</v>
      </c>
      <c r="J321" s="6">
        <v>66.31</v>
      </c>
      <c r="K321" s="6">
        <v>192.89</v>
      </c>
      <c r="L321" s="6" t="s">
        <v>33</v>
      </c>
      <c r="M321" s="6" t="s">
        <v>41</v>
      </c>
      <c r="N321" s="6" t="s">
        <v>76</v>
      </c>
      <c r="P321" t="str">
        <f t="shared" si="12"/>
        <v>Sophia</v>
      </c>
      <c r="Q321" t="str">
        <f t="shared" si="13"/>
        <v>Brown</v>
      </c>
      <c r="R321" t="str">
        <f t="shared" si="14"/>
        <v>SoBr321</v>
      </c>
    </row>
    <row r="322" spans="1:18" x14ac:dyDescent="0.3">
      <c r="A322" s="6" t="s">
        <v>737</v>
      </c>
      <c r="B322" s="6" t="s">
        <v>527</v>
      </c>
      <c r="C322" s="6" t="s">
        <v>465</v>
      </c>
      <c r="D322" s="6" t="s">
        <v>171</v>
      </c>
      <c r="E322" s="6" t="s">
        <v>74</v>
      </c>
      <c r="F322" s="6" t="s">
        <v>75</v>
      </c>
      <c r="G322" s="6">
        <v>28</v>
      </c>
      <c r="H322" s="6">
        <v>38.520000000000003</v>
      </c>
      <c r="I322" s="6">
        <v>1078.56</v>
      </c>
      <c r="J322" s="6">
        <v>64.510000000000005</v>
      </c>
      <c r="K322" s="6">
        <v>314.05</v>
      </c>
      <c r="L322" s="6" t="s">
        <v>24</v>
      </c>
      <c r="M322" s="6" t="s">
        <v>34</v>
      </c>
      <c r="N322" s="6" t="s">
        <v>35</v>
      </c>
      <c r="P322" t="str">
        <f t="shared" si="12"/>
        <v>David</v>
      </c>
      <c r="Q322" t="str">
        <f t="shared" si="13"/>
        <v>Martinez</v>
      </c>
      <c r="R322" t="str">
        <f t="shared" si="14"/>
        <v>DaMa322</v>
      </c>
    </row>
    <row r="323" spans="1:18" x14ac:dyDescent="0.3">
      <c r="A323" s="6" t="s">
        <v>738</v>
      </c>
      <c r="B323" s="6" t="s">
        <v>449</v>
      </c>
      <c r="C323" s="6" t="s">
        <v>288</v>
      </c>
      <c r="D323" s="6" t="s">
        <v>31</v>
      </c>
      <c r="E323" s="6" t="s">
        <v>67</v>
      </c>
      <c r="F323" s="6" t="s">
        <v>68</v>
      </c>
      <c r="G323" s="6">
        <v>11</v>
      </c>
      <c r="H323" s="6">
        <v>31.08</v>
      </c>
      <c r="I323" s="6">
        <v>341.88</v>
      </c>
      <c r="J323" s="6">
        <v>17.18</v>
      </c>
      <c r="K323" s="6">
        <v>77.2</v>
      </c>
      <c r="L323" s="6" t="s">
        <v>48</v>
      </c>
      <c r="M323" s="6" t="s">
        <v>41</v>
      </c>
      <c r="N323" s="6" t="s">
        <v>35</v>
      </c>
      <c r="P323" t="str">
        <f t="shared" si="12"/>
        <v>Laura</v>
      </c>
      <c r="Q323" t="str">
        <f t="shared" si="13"/>
        <v>Garcia</v>
      </c>
      <c r="R323" t="str">
        <f t="shared" si="14"/>
        <v>LaGa323</v>
      </c>
    </row>
    <row r="324" spans="1:18" x14ac:dyDescent="0.3">
      <c r="A324" s="6" t="s">
        <v>739</v>
      </c>
      <c r="B324" s="6" t="s">
        <v>740</v>
      </c>
      <c r="C324" s="6" t="s">
        <v>391</v>
      </c>
      <c r="D324" s="6" t="s">
        <v>62</v>
      </c>
      <c r="E324" s="6" t="s">
        <v>63</v>
      </c>
      <c r="F324" s="6" t="s">
        <v>47</v>
      </c>
      <c r="G324" s="6">
        <v>42</v>
      </c>
      <c r="H324" s="6">
        <v>25.95</v>
      </c>
      <c r="I324" s="6">
        <v>1089.9000000000001</v>
      </c>
      <c r="J324" s="6">
        <v>27.5</v>
      </c>
      <c r="K324" s="6">
        <v>222.4</v>
      </c>
      <c r="L324" s="6" t="s">
        <v>48</v>
      </c>
      <c r="M324" s="6" t="s">
        <v>41</v>
      </c>
      <c r="N324" s="6" t="s">
        <v>98</v>
      </c>
      <c r="P324" t="str">
        <f t="shared" si="12"/>
        <v>John</v>
      </c>
      <c r="Q324" t="str">
        <f t="shared" si="13"/>
        <v>Martinez</v>
      </c>
      <c r="R324" t="str">
        <f t="shared" si="14"/>
        <v>JoMa324</v>
      </c>
    </row>
    <row r="325" spans="1:18" x14ac:dyDescent="0.3">
      <c r="A325" s="6" t="s">
        <v>741</v>
      </c>
      <c r="B325" s="6" t="s">
        <v>393</v>
      </c>
      <c r="C325" s="6" t="s">
        <v>630</v>
      </c>
      <c r="D325" s="6" t="s">
        <v>116</v>
      </c>
      <c r="E325" s="6" t="s">
        <v>74</v>
      </c>
      <c r="F325" s="6" t="s">
        <v>75</v>
      </c>
      <c r="G325" s="6">
        <v>30</v>
      </c>
      <c r="H325" s="6">
        <v>30.16</v>
      </c>
      <c r="I325" s="6">
        <v>904.8</v>
      </c>
      <c r="J325" s="6">
        <v>70.13</v>
      </c>
      <c r="K325" s="6">
        <v>84.67</v>
      </c>
      <c r="L325" s="6" t="s">
        <v>33</v>
      </c>
      <c r="M325" s="6" t="s">
        <v>25</v>
      </c>
      <c r="N325" s="6" t="s">
        <v>76</v>
      </c>
      <c r="P325" t="str">
        <f t="shared" si="12"/>
        <v>John</v>
      </c>
      <c r="Q325" t="str">
        <f t="shared" si="13"/>
        <v>Smith</v>
      </c>
      <c r="R325" t="str">
        <f t="shared" si="14"/>
        <v>JoSm325</v>
      </c>
    </row>
    <row r="326" spans="1:18" x14ac:dyDescent="0.3">
      <c r="A326" s="6" t="s">
        <v>742</v>
      </c>
      <c r="B326" s="6" t="s">
        <v>464</v>
      </c>
      <c r="C326" s="6" t="s">
        <v>743</v>
      </c>
      <c r="D326" s="6" t="s">
        <v>45</v>
      </c>
      <c r="E326" s="6" t="s">
        <v>63</v>
      </c>
      <c r="F326" s="6" t="s">
        <v>47</v>
      </c>
      <c r="G326" s="6">
        <v>40</v>
      </c>
      <c r="H326" s="6">
        <v>30.03</v>
      </c>
      <c r="I326" s="6">
        <v>1201.2</v>
      </c>
      <c r="J326" s="6">
        <v>71.97</v>
      </c>
      <c r="K326" s="6">
        <v>329.23</v>
      </c>
      <c r="L326" s="6" t="s">
        <v>33</v>
      </c>
      <c r="M326" s="6" t="s">
        <v>25</v>
      </c>
      <c r="N326" s="6" t="s">
        <v>49</v>
      </c>
      <c r="P326" t="str">
        <f t="shared" si="12"/>
        <v>John</v>
      </c>
      <c r="Q326" t="str">
        <f t="shared" si="13"/>
        <v>Jones</v>
      </c>
      <c r="R326" t="str">
        <f t="shared" si="14"/>
        <v>JoJo326</v>
      </c>
    </row>
    <row r="327" spans="1:18" x14ac:dyDescent="0.3">
      <c r="A327" s="6" t="s">
        <v>744</v>
      </c>
      <c r="B327" s="6" t="s">
        <v>745</v>
      </c>
      <c r="C327" s="6" t="s">
        <v>162</v>
      </c>
      <c r="D327" s="6" t="s">
        <v>141</v>
      </c>
      <c r="E327" s="6" t="s">
        <v>63</v>
      </c>
      <c r="F327" s="6" t="s">
        <v>47</v>
      </c>
      <c r="G327" s="6">
        <v>15</v>
      </c>
      <c r="H327" s="6">
        <v>27.12</v>
      </c>
      <c r="I327" s="6">
        <v>406.8</v>
      </c>
      <c r="J327" s="6">
        <v>24.28</v>
      </c>
      <c r="K327" s="6">
        <v>82.52</v>
      </c>
      <c r="L327" s="6" t="s">
        <v>33</v>
      </c>
      <c r="M327" s="6" t="s">
        <v>34</v>
      </c>
      <c r="N327" s="6" t="s">
        <v>142</v>
      </c>
      <c r="P327" t="str">
        <f t="shared" ref="P327:P390" si="15">TRIM(MID(C327,FIND(",",C327)+1,LEN(C327)))</f>
        <v>Laura</v>
      </c>
      <c r="Q327" t="str">
        <f t="shared" ref="Q327:Q390" si="16">LEFT(C327,FIND(",",C327)-1)</f>
        <v>Jones</v>
      </c>
      <c r="R327" t="str">
        <f t="shared" ref="R327:R390" si="17">LEFT(P327,2)&amp;LEFT(Q327,2)&amp;ROW()</f>
        <v>LaJo327</v>
      </c>
    </row>
    <row r="328" spans="1:18" x14ac:dyDescent="0.3">
      <c r="A328" s="6" t="s">
        <v>746</v>
      </c>
      <c r="B328" s="6" t="s">
        <v>567</v>
      </c>
      <c r="C328" s="6" t="s">
        <v>257</v>
      </c>
      <c r="D328" s="6" t="s">
        <v>171</v>
      </c>
      <c r="E328" s="6" t="s">
        <v>86</v>
      </c>
      <c r="F328" s="6" t="s">
        <v>47</v>
      </c>
      <c r="G328" s="6">
        <v>35</v>
      </c>
      <c r="H328" s="6">
        <v>18.350000000000001</v>
      </c>
      <c r="I328" s="6">
        <v>642.25</v>
      </c>
      <c r="J328" s="6">
        <v>29.35</v>
      </c>
      <c r="K328" s="6">
        <v>166.65</v>
      </c>
      <c r="L328" s="6" t="s">
        <v>24</v>
      </c>
      <c r="M328" s="6" t="s">
        <v>34</v>
      </c>
      <c r="N328" s="6" t="s">
        <v>35</v>
      </c>
      <c r="P328" t="str">
        <f t="shared" si="15"/>
        <v>Emily</v>
      </c>
      <c r="Q328" t="str">
        <f t="shared" si="16"/>
        <v>Williams</v>
      </c>
      <c r="R328" t="str">
        <f t="shared" si="17"/>
        <v>EmWi328</v>
      </c>
    </row>
    <row r="329" spans="1:18" x14ac:dyDescent="0.3">
      <c r="A329" s="6" t="s">
        <v>747</v>
      </c>
      <c r="B329" s="6" t="s">
        <v>696</v>
      </c>
      <c r="C329" s="6" t="s">
        <v>646</v>
      </c>
      <c r="D329" s="6" t="s">
        <v>141</v>
      </c>
      <c r="E329" s="6" t="s">
        <v>22</v>
      </c>
      <c r="F329" s="6" t="s">
        <v>23</v>
      </c>
      <c r="G329" s="6">
        <v>21</v>
      </c>
      <c r="H329" s="6">
        <v>52.59</v>
      </c>
      <c r="I329" s="6">
        <v>1104.3900000000001</v>
      </c>
      <c r="J329" s="6">
        <v>57.06</v>
      </c>
      <c r="K329" s="6">
        <v>312.33</v>
      </c>
      <c r="L329" s="6" t="s">
        <v>33</v>
      </c>
      <c r="M329" s="6" t="s">
        <v>34</v>
      </c>
      <c r="N329" s="6" t="s">
        <v>142</v>
      </c>
      <c r="P329" t="str">
        <f t="shared" si="15"/>
        <v>James</v>
      </c>
      <c r="Q329" t="str">
        <f t="shared" si="16"/>
        <v>Garcia</v>
      </c>
      <c r="R329" t="str">
        <f t="shared" si="17"/>
        <v>JaGa329</v>
      </c>
    </row>
    <row r="330" spans="1:18" x14ac:dyDescent="0.3">
      <c r="A330" s="6" t="s">
        <v>748</v>
      </c>
      <c r="B330" s="6" t="s">
        <v>749</v>
      </c>
      <c r="C330" s="6" t="s">
        <v>574</v>
      </c>
      <c r="D330" s="6" t="s">
        <v>51</v>
      </c>
      <c r="E330" s="6" t="s">
        <v>137</v>
      </c>
      <c r="F330" s="6" t="s">
        <v>68</v>
      </c>
      <c r="G330" s="6">
        <v>10</v>
      </c>
      <c r="H330" s="6">
        <v>44.2</v>
      </c>
      <c r="I330" s="6">
        <v>442</v>
      </c>
      <c r="J330" s="6">
        <v>18.45</v>
      </c>
      <c r="K330" s="6">
        <v>143.55000000000001</v>
      </c>
      <c r="L330" s="6" t="s">
        <v>24</v>
      </c>
      <c r="M330" s="6" t="s">
        <v>25</v>
      </c>
      <c r="N330" s="6" t="s">
        <v>76</v>
      </c>
      <c r="P330" t="str">
        <f t="shared" si="15"/>
        <v>Sophia</v>
      </c>
      <c r="Q330" t="str">
        <f t="shared" si="16"/>
        <v>Brown</v>
      </c>
      <c r="R330" t="str">
        <f t="shared" si="17"/>
        <v>SoBr330</v>
      </c>
    </row>
    <row r="331" spans="1:18" x14ac:dyDescent="0.3">
      <c r="A331" s="6" t="s">
        <v>750</v>
      </c>
      <c r="B331" s="6" t="s">
        <v>532</v>
      </c>
      <c r="C331" s="6" t="s">
        <v>331</v>
      </c>
      <c r="D331" s="6" t="s">
        <v>51</v>
      </c>
      <c r="E331" s="6" t="s">
        <v>22</v>
      </c>
      <c r="F331" s="6" t="s">
        <v>23</v>
      </c>
      <c r="G331" s="6">
        <v>11</v>
      </c>
      <c r="H331" s="6">
        <v>60.9</v>
      </c>
      <c r="I331" s="6">
        <v>669.9</v>
      </c>
      <c r="J331" s="6">
        <v>26.28</v>
      </c>
      <c r="K331" s="6">
        <v>258.62</v>
      </c>
      <c r="L331" s="6" t="s">
        <v>33</v>
      </c>
      <c r="M331" s="6" t="s">
        <v>34</v>
      </c>
      <c r="N331" s="6" t="s">
        <v>76</v>
      </c>
      <c r="P331" t="str">
        <f t="shared" si="15"/>
        <v>James</v>
      </c>
      <c r="Q331" t="str">
        <f t="shared" si="16"/>
        <v>Williams</v>
      </c>
      <c r="R331" t="str">
        <f t="shared" si="17"/>
        <v>JaWi331</v>
      </c>
    </row>
    <row r="332" spans="1:18" x14ac:dyDescent="0.3">
      <c r="A332" s="6" t="s">
        <v>751</v>
      </c>
      <c r="B332" s="6" t="s">
        <v>752</v>
      </c>
      <c r="C332" s="6" t="s">
        <v>73</v>
      </c>
      <c r="D332" s="6" t="s">
        <v>123</v>
      </c>
      <c r="E332" s="6" t="s">
        <v>86</v>
      </c>
      <c r="F332" s="6" t="s">
        <v>47</v>
      </c>
      <c r="G332" s="6">
        <v>26</v>
      </c>
      <c r="H332" s="6">
        <v>22.32</v>
      </c>
      <c r="I332" s="6">
        <v>580.32000000000005</v>
      </c>
      <c r="J332" s="6">
        <v>45.08</v>
      </c>
      <c r="K332" s="6">
        <v>203.74</v>
      </c>
      <c r="L332" s="6" t="s">
        <v>33</v>
      </c>
      <c r="M332" s="6" t="s">
        <v>34</v>
      </c>
      <c r="N332" s="6" t="s">
        <v>76</v>
      </c>
      <c r="P332" t="str">
        <f t="shared" si="15"/>
        <v>John</v>
      </c>
      <c r="Q332" t="str">
        <f t="shared" si="16"/>
        <v>Miller</v>
      </c>
      <c r="R332" t="str">
        <f t="shared" si="17"/>
        <v>JoMi332</v>
      </c>
    </row>
    <row r="333" spans="1:18" x14ac:dyDescent="0.3">
      <c r="A333" s="6" t="s">
        <v>753</v>
      </c>
      <c r="B333" s="6" t="s">
        <v>754</v>
      </c>
      <c r="C333" s="6" t="s">
        <v>417</v>
      </c>
      <c r="D333" s="6" t="s">
        <v>51</v>
      </c>
      <c r="E333" s="6" t="s">
        <v>137</v>
      </c>
      <c r="F333" s="6" t="s">
        <v>68</v>
      </c>
      <c r="G333" s="6">
        <v>46</v>
      </c>
      <c r="H333" s="6">
        <v>41.89</v>
      </c>
      <c r="I333" s="6">
        <v>1926.94</v>
      </c>
      <c r="J333" s="6">
        <v>97.39</v>
      </c>
      <c r="K333" s="6">
        <v>541.54999999999995</v>
      </c>
      <c r="L333" s="6" t="s">
        <v>24</v>
      </c>
      <c r="M333" s="6" t="s">
        <v>41</v>
      </c>
      <c r="N333" s="6" t="s">
        <v>76</v>
      </c>
      <c r="P333" t="str">
        <f t="shared" si="15"/>
        <v>Emily</v>
      </c>
      <c r="Q333" t="str">
        <f t="shared" si="16"/>
        <v>Brown</v>
      </c>
      <c r="R333" t="str">
        <f t="shared" si="17"/>
        <v>EmBr333</v>
      </c>
    </row>
    <row r="334" spans="1:18" x14ac:dyDescent="0.3">
      <c r="A334" s="6" t="s">
        <v>755</v>
      </c>
      <c r="B334" s="6" t="s">
        <v>495</v>
      </c>
      <c r="C334" s="6" t="s">
        <v>277</v>
      </c>
      <c r="D334" s="6" t="s">
        <v>31</v>
      </c>
      <c r="E334" s="6" t="s">
        <v>86</v>
      </c>
      <c r="F334" s="6" t="s">
        <v>47</v>
      </c>
      <c r="G334" s="6">
        <v>43</v>
      </c>
      <c r="H334" s="6">
        <v>21.24</v>
      </c>
      <c r="I334" s="6">
        <v>913.32</v>
      </c>
      <c r="J334" s="6">
        <v>50.32</v>
      </c>
      <c r="K334" s="6">
        <v>314.75</v>
      </c>
      <c r="L334" s="6" t="s">
        <v>33</v>
      </c>
      <c r="M334" s="6" t="s">
        <v>25</v>
      </c>
      <c r="N334" s="6" t="s">
        <v>35</v>
      </c>
      <c r="P334" t="str">
        <f t="shared" si="15"/>
        <v>Michael</v>
      </c>
      <c r="Q334" t="str">
        <f t="shared" si="16"/>
        <v>Garcia</v>
      </c>
      <c r="R334" t="str">
        <f t="shared" si="17"/>
        <v>MiGa334</v>
      </c>
    </row>
    <row r="335" spans="1:18" x14ac:dyDescent="0.3">
      <c r="A335" s="6" t="s">
        <v>756</v>
      </c>
      <c r="B335" s="6" t="s">
        <v>658</v>
      </c>
      <c r="C335" s="6" t="s">
        <v>757</v>
      </c>
      <c r="D335" s="6" t="s">
        <v>241</v>
      </c>
      <c r="E335" s="6" t="s">
        <v>67</v>
      </c>
      <c r="F335" s="6" t="s">
        <v>68</v>
      </c>
      <c r="G335" s="6">
        <v>28</v>
      </c>
      <c r="H335" s="6">
        <v>33.700000000000003</v>
      </c>
      <c r="I335" s="6">
        <v>943.6</v>
      </c>
      <c r="J335" s="6">
        <v>20.170000000000002</v>
      </c>
      <c r="K335" s="6">
        <v>293.43</v>
      </c>
      <c r="L335" s="6" t="s">
        <v>24</v>
      </c>
      <c r="M335" s="6" t="s">
        <v>34</v>
      </c>
      <c r="N335" s="6" t="s">
        <v>35</v>
      </c>
      <c r="P335" t="str">
        <f t="shared" si="15"/>
        <v>Emily</v>
      </c>
      <c r="Q335" t="str">
        <f t="shared" si="16"/>
        <v>Hernandez</v>
      </c>
      <c r="R335" t="str">
        <f t="shared" si="17"/>
        <v>EmHe335</v>
      </c>
    </row>
    <row r="336" spans="1:18" x14ac:dyDescent="0.3">
      <c r="A336" s="6" t="s">
        <v>758</v>
      </c>
      <c r="B336" s="6" t="s">
        <v>759</v>
      </c>
      <c r="C336" s="6" t="s">
        <v>334</v>
      </c>
      <c r="D336" s="6" t="s">
        <v>70</v>
      </c>
      <c r="E336" s="6" t="s">
        <v>22</v>
      </c>
      <c r="F336" s="6" t="s">
        <v>23</v>
      </c>
      <c r="G336" s="6">
        <v>41</v>
      </c>
      <c r="H336" s="6">
        <v>42.74</v>
      </c>
      <c r="I336" s="6">
        <v>1752.34</v>
      </c>
      <c r="J336" s="6">
        <v>92.09</v>
      </c>
      <c r="K336" s="6">
        <v>225.25</v>
      </c>
      <c r="L336" s="6" t="s">
        <v>48</v>
      </c>
      <c r="M336" s="6" t="s">
        <v>25</v>
      </c>
      <c r="N336" s="6" t="s">
        <v>76</v>
      </c>
      <c r="P336" t="str">
        <f t="shared" si="15"/>
        <v>Emma</v>
      </c>
      <c r="Q336" t="str">
        <f t="shared" si="16"/>
        <v>Garcia</v>
      </c>
      <c r="R336" t="str">
        <f t="shared" si="17"/>
        <v>EmGa336</v>
      </c>
    </row>
    <row r="337" spans="1:18" x14ac:dyDescent="0.3">
      <c r="A337" s="6" t="s">
        <v>760</v>
      </c>
      <c r="B337" s="6" t="s">
        <v>761</v>
      </c>
      <c r="C337" s="6" t="s">
        <v>646</v>
      </c>
      <c r="D337" s="6" t="s">
        <v>31</v>
      </c>
      <c r="E337" s="6" t="s">
        <v>63</v>
      </c>
      <c r="F337" s="6" t="s">
        <v>47</v>
      </c>
      <c r="G337" s="6">
        <v>24</v>
      </c>
      <c r="H337" s="6">
        <v>30.18</v>
      </c>
      <c r="I337" s="6">
        <v>724.32</v>
      </c>
      <c r="J337" s="6">
        <v>44.97</v>
      </c>
      <c r="K337" s="6">
        <v>199.35</v>
      </c>
      <c r="L337" s="6" t="s">
        <v>24</v>
      </c>
      <c r="M337" s="6" t="s">
        <v>25</v>
      </c>
      <c r="N337" s="6" t="s">
        <v>35</v>
      </c>
      <c r="P337" t="str">
        <f t="shared" si="15"/>
        <v>James</v>
      </c>
      <c r="Q337" t="str">
        <f t="shared" si="16"/>
        <v>Garcia</v>
      </c>
      <c r="R337" t="str">
        <f t="shared" si="17"/>
        <v>JaGa337</v>
      </c>
    </row>
    <row r="338" spans="1:18" x14ac:dyDescent="0.3">
      <c r="A338" s="6" t="s">
        <v>762</v>
      </c>
      <c r="B338" s="6" t="s">
        <v>354</v>
      </c>
      <c r="C338" s="6" t="s">
        <v>177</v>
      </c>
      <c r="D338" s="6" t="s">
        <v>127</v>
      </c>
      <c r="E338" s="6" t="s">
        <v>81</v>
      </c>
      <c r="F338" s="6" t="s">
        <v>68</v>
      </c>
      <c r="G338" s="6">
        <v>44</v>
      </c>
      <c r="H338" s="6">
        <v>20.02</v>
      </c>
      <c r="I338" s="6">
        <v>880.88</v>
      </c>
      <c r="J338" s="6">
        <v>60.27</v>
      </c>
      <c r="K338" s="6">
        <v>138.61000000000001</v>
      </c>
      <c r="L338" s="6" t="s">
        <v>33</v>
      </c>
      <c r="M338" s="6" t="s">
        <v>34</v>
      </c>
      <c r="N338" s="6" t="s">
        <v>76</v>
      </c>
      <c r="P338" t="str">
        <f t="shared" si="15"/>
        <v>Sophia</v>
      </c>
      <c r="Q338" t="str">
        <f t="shared" si="16"/>
        <v>Smith</v>
      </c>
      <c r="R338" t="str">
        <f t="shared" si="17"/>
        <v>SoSm338</v>
      </c>
    </row>
    <row r="339" spans="1:18" x14ac:dyDescent="0.3">
      <c r="A339" s="6" t="s">
        <v>763</v>
      </c>
      <c r="B339" s="6" t="s">
        <v>585</v>
      </c>
      <c r="C339" s="6" t="s">
        <v>174</v>
      </c>
      <c r="D339" s="6" t="s">
        <v>31</v>
      </c>
      <c r="E339" s="6" t="s">
        <v>63</v>
      </c>
      <c r="F339" s="6" t="s">
        <v>47</v>
      </c>
      <c r="G339" s="6">
        <v>12</v>
      </c>
      <c r="H339" s="6">
        <v>27.45</v>
      </c>
      <c r="I339" s="6">
        <v>329.4</v>
      </c>
      <c r="J339" s="6">
        <v>13.22</v>
      </c>
      <c r="K339" s="6">
        <v>76.180000000000007</v>
      </c>
      <c r="L339" s="6" t="s">
        <v>48</v>
      </c>
      <c r="M339" s="6" t="s">
        <v>41</v>
      </c>
      <c r="N339" s="6" t="s">
        <v>35</v>
      </c>
      <c r="P339" t="str">
        <f t="shared" si="15"/>
        <v>Sophia</v>
      </c>
      <c r="Q339" t="str">
        <f t="shared" si="16"/>
        <v>Garcia</v>
      </c>
      <c r="R339" t="str">
        <f t="shared" si="17"/>
        <v>SoGa339</v>
      </c>
    </row>
    <row r="340" spans="1:18" x14ac:dyDescent="0.3">
      <c r="A340" s="6" t="s">
        <v>764</v>
      </c>
      <c r="B340" s="6" t="s">
        <v>306</v>
      </c>
      <c r="C340" s="6" t="s">
        <v>145</v>
      </c>
      <c r="D340" s="6" t="s">
        <v>141</v>
      </c>
      <c r="E340" s="6" t="s">
        <v>63</v>
      </c>
      <c r="F340" s="6" t="s">
        <v>47</v>
      </c>
      <c r="G340" s="6">
        <v>26</v>
      </c>
      <c r="H340" s="6">
        <v>30.57</v>
      </c>
      <c r="I340" s="6">
        <v>794.82</v>
      </c>
      <c r="J340" s="6">
        <v>19.45</v>
      </c>
      <c r="K340" s="6">
        <v>255.37</v>
      </c>
      <c r="L340" s="6" t="s">
        <v>48</v>
      </c>
      <c r="M340" s="6" t="s">
        <v>34</v>
      </c>
      <c r="N340" s="6" t="s">
        <v>142</v>
      </c>
      <c r="P340" t="str">
        <f t="shared" si="15"/>
        <v>David</v>
      </c>
      <c r="Q340" t="str">
        <f t="shared" si="16"/>
        <v>Davis</v>
      </c>
      <c r="R340" t="str">
        <f t="shared" si="17"/>
        <v>DaDa340</v>
      </c>
    </row>
    <row r="341" spans="1:18" x14ac:dyDescent="0.3">
      <c r="A341" s="6" t="s">
        <v>765</v>
      </c>
      <c r="B341" s="6" t="s">
        <v>766</v>
      </c>
      <c r="C341" s="6" t="s">
        <v>185</v>
      </c>
      <c r="D341" s="6" t="s">
        <v>127</v>
      </c>
      <c r="E341" s="6" t="s">
        <v>74</v>
      </c>
      <c r="F341" s="6" t="s">
        <v>75</v>
      </c>
      <c r="G341" s="6">
        <v>46</v>
      </c>
      <c r="H341" s="6">
        <v>32.19</v>
      </c>
      <c r="I341" s="6">
        <v>1480.74</v>
      </c>
      <c r="J341" s="6">
        <v>111.13</v>
      </c>
      <c r="K341" s="6">
        <v>219.61</v>
      </c>
      <c r="L341" s="6" t="s">
        <v>48</v>
      </c>
      <c r="M341" s="6" t="s">
        <v>34</v>
      </c>
      <c r="N341" s="6" t="s">
        <v>76</v>
      </c>
      <c r="P341" t="str">
        <f t="shared" si="15"/>
        <v>Laura</v>
      </c>
      <c r="Q341" t="str">
        <f t="shared" si="16"/>
        <v>Williams</v>
      </c>
      <c r="R341" t="str">
        <f t="shared" si="17"/>
        <v>LaWi341</v>
      </c>
    </row>
    <row r="342" spans="1:18" x14ac:dyDescent="0.3">
      <c r="A342" s="6" t="s">
        <v>767</v>
      </c>
      <c r="B342" s="6" t="s">
        <v>768</v>
      </c>
      <c r="C342" s="6" t="s">
        <v>140</v>
      </c>
      <c r="D342" s="6" t="s">
        <v>116</v>
      </c>
      <c r="E342" s="6" t="s">
        <v>32</v>
      </c>
      <c r="F342" s="6" t="s">
        <v>23</v>
      </c>
      <c r="G342" s="6">
        <v>20</v>
      </c>
      <c r="H342" s="6">
        <v>31.79</v>
      </c>
      <c r="I342" s="6">
        <v>635.79999999999995</v>
      </c>
      <c r="J342" s="6">
        <v>38.43</v>
      </c>
      <c r="K342" s="6">
        <v>237.37</v>
      </c>
      <c r="L342" s="6" t="s">
        <v>24</v>
      </c>
      <c r="M342" s="6" t="s">
        <v>34</v>
      </c>
      <c r="N342" s="6" t="s">
        <v>76</v>
      </c>
      <c r="P342" t="str">
        <f t="shared" si="15"/>
        <v>Michael</v>
      </c>
      <c r="Q342" t="str">
        <f t="shared" si="16"/>
        <v>Miller</v>
      </c>
      <c r="R342" t="str">
        <f t="shared" si="17"/>
        <v>MiMi342</v>
      </c>
    </row>
    <row r="343" spans="1:18" x14ac:dyDescent="0.3">
      <c r="A343" s="6" t="s">
        <v>769</v>
      </c>
      <c r="B343" s="6" t="s">
        <v>770</v>
      </c>
      <c r="C343" s="6" t="s">
        <v>20</v>
      </c>
      <c r="D343" s="6" t="s">
        <v>206</v>
      </c>
      <c r="E343" s="6" t="s">
        <v>32</v>
      </c>
      <c r="F343" s="6" t="s">
        <v>23</v>
      </c>
      <c r="G343" s="6">
        <v>8</v>
      </c>
      <c r="H343" s="6">
        <v>28.94</v>
      </c>
      <c r="I343" s="6">
        <v>231.52</v>
      </c>
      <c r="J343" s="6">
        <v>7</v>
      </c>
      <c r="K343" s="6">
        <v>80.52</v>
      </c>
      <c r="L343" s="6" t="s">
        <v>48</v>
      </c>
      <c r="M343" s="6" t="s">
        <v>34</v>
      </c>
      <c r="N343" s="6" t="s">
        <v>207</v>
      </c>
      <c r="P343" t="str">
        <f t="shared" si="15"/>
        <v>Emily</v>
      </c>
      <c r="Q343" t="str">
        <f t="shared" si="16"/>
        <v>Smith</v>
      </c>
      <c r="R343" t="str">
        <f t="shared" si="17"/>
        <v>EmSm343</v>
      </c>
    </row>
    <row r="344" spans="1:18" x14ac:dyDescent="0.3">
      <c r="A344" s="6" t="s">
        <v>771</v>
      </c>
      <c r="B344" s="6" t="s">
        <v>772</v>
      </c>
      <c r="C344" s="6" t="s">
        <v>334</v>
      </c>
      <c r="D344" s="6" t="s">
        <v>171</v>
      </c>
      <c r="E344" s="6" t="s">
        <v>32</v>
      </c>
      <c r="F344" s="6" t="s">
        <v>23</v>
      </c>
      <c r="G344" s="6">
        <v>40</v>
      </c>
      <c r="H344" s="6">
        <v>30.66</v>
      </c>
      <c r="I344" s="6">
        <v>1226.4000000000001</v>
      </c>
      <c r="J344" s="6">
        <v>85.24</v>
      </c>
      <c r="K344" s="6">
        <v>421.16</v>
      </c>
      <c r="L344" s="6" t="s">
        <v>24</v>
      </c>
      <c r="M344" s="6" t="s">
        <v>25</v>
      </c>
      <c r="N344" s="6" t="s">
        <v>35</v>
      </c>
      <c r="P344" t="str">
        <f t="shared" si="15"/>
        <v>Emma</v>
      </c>
      <c r="Q344" t="str">
        <f t="shared" si="16"/>
        <v>Garcia</v>
      </c>
      <c r="R344" t="str">
        <f t="shared" si="17"/>
        <v>EmGa344</v>
      </c>
    </row>
    <row r="345" spans="1:18" x14ac:dyDescent="0.3">
      <c r="A345" s="6" t="s">
        <v>773</v>
      </c>
      <c r="B345" s="6" t="s">
        <v>316</v>
      </c>
      <c r="C345" s="6" t="s">
        <v>539</v>
      </c>
      <c r="D345" s="6" t="s">
        <v>206</v>
      </c>
      <c r="E345" s="6" t="s">
        <v>46</v>
      </c>
      <c r="F345" s="6" t="s">
        <v>47</v>
      </c>
      <c r="G345" s="6">
        <v>44</v>
      </c>
      <c r="H345" s="6">
        <v>54.09</v>
      </c>
      <c r="I345" s="6">
        <v>2379.96</v>
      </c>
      <c r="J345" s="6">
        <v>106.39</v>
      </c>
      <c r="K345" s="6">
        <v>865.57</v>
      </c>
      <c r="L345" s="6" t="s">
        <v>24</v>
      </c>
      <c r="M345" s="6" t="s">
        <v>34</v>
      </c>
      <c r="N345" s="6" t="s">
        <v>207</v>
      </c>
      <c r="P345" t="str">
        <f t="shared" si="15"/>
        <v>Sarah</v>
      </c>
      <c r="Q345" t="str">
        <f t="shared" si="16"/>
        <v>Jones</v>
      </c>
      <c r="R345" t="str">
        <f t="shared" si="17"/>
        <v>SaJo345</v>
      </c>
    </row>
    <row r="346" spans="1:18" x14ac:dyDescent="0.3">
      <c r="A346" s="6" t="s">
        <v>774</v>
      </c>
      <c r="B346" s="6" t="s">
        <v>615</v>
      </c>
      <c r="C346" s="6" t="s">
        <v>177</v>
      </c>
      <c r="D346" s="6" t="s">
        <v>116</v>
      </c>
      <c r="E346" s="6" t="s">
        <v>56</v>
      </c>
      <c r="F346" s="6" t="s">
        <v>57</v>
      </c>
      <c r="G346" s="6">
        <v>32</v>
      </c>
      <c r="H346" s="6">
        <v>68.89</v>
      </c>
      <c r="I346" s="6">
        <v>2204.48</v>
      </c>
      <c r="J346" s="6">
        <v>152.05000000000001</v>
      </c>
      <c r="K346" s="6">
        <v>772.43</v>
      </c>
      <c r="L346" s="6" t="s">
        <v>24</v>
      </c>
      <c r="M346" s="6" t="s">
        <v>34</v>
      </c>
      <c r="N346" s="6" t="s">
        <v>76</v>
      </c>
      <c r="P346" t="str">
        <f t="shared" si="15"/>
        <v>Sophia</v>
      </c>
      <c r="Q346" t="str">
        <f t="shared" si="16"/>
        <v>Smith</v>
      </c>
      <c r="R346" t="str">
        <f t="shared" si="17"/>
        <v>SoSm346</v>
      </c>
    </row>
    <row r="347" spans="1:18" x14ac:dyDescent="0.3">
      <c r="A347" s="6" t="s">
        <v>775</v>
      </c>
      <c r="B347" s="6" t="s">
        <v>776</v>
      </c>
      <c r="C347" s="6" t="s">
        <v>732</v>
      </c>
      <c r="D347" s="6" t="s">
        <v>70</v>
      </c>
      <c r="E347" s="6" t="s">
        <v>22</v>
      </c>
      <c r="F347" s="6" t="s">
        <v>23</v>
      </c>
      <c r="G347" s="6">
        <v>44</v>
      </c>
      <c r="H347" s="6">
        <v>43.35</v>
      </c>
      <c r="I347" s="6">
        <v>1907.4</v>
      </c>
      <c r="J347" s="6">
        <v>99.05</v>
      </c>
      <c r="K347" s="6">
        <v>268.35000000000002</v>
      </c>
      <c r="L347" s="6" t="s">
        <v>48</v>
      </c>
      <c r="M347" s="6" t="s">
        <v>34</v>
      </c>
      <c r="N347" s="6" t="s">
        <v>76</v>
      </c>
      <c r="P347" t="str">
        <f t="shared" si="15"/>
        <v>James</v>
      </c>
      <c r="Q347" t="str">
        <f t="shared" si="16"/>
        <v>Jones</v>
      </c>
      <c r="R347" t="str">
        <f t="shared" si="17"/>
        <v>JaJo347</v>
      </c>
    </row>
    <row r="348" spans="1:18" x14ac:dyDescent="0.3">
      <c r="A348" s="6" t="s">
        <v>777</v>
      </c>
      <c r="B348" s="6" t="s">
        <v>778</v>
      </c>
      <c r="C348" s="6" t="s">
        <v>30</v>
      </c>
      <c r="D348" s="6" t="s">
        <v>62</v>
      </c>
      <c r="E348" s="6" t="s">
        <v>137</v>
      </c>
      <c r="F348" s="6" t="s">
        <v>68</v>
      </c>
      <c r="G348" s="6">
        <v>24</v>
      </c>
      <c r="H348" s="6">
        <v>34</v>
      </c>
      <c r="I348" s="6">
        <v>816</v>
      </c>
      <c r="J348" s="6">
        <v>42.15</v>
      </c>
      <c r="K348" s="6">
        <v>101.85</v>
      </c>
      <c r="L348" s="6" t="s">
        <v>48</v>
      </c>
      <c r="M348" s="6" t="s">
        <v>25</v>
      </c>
      <c r="N348" s="6" t="s">
        <v>98</v>
      </c>
      <c r="P348" t="str">
        <f t="shared" si="15"/>
        <v>Laura</v>
      </c>
      <c r="Q348" t="str">
        <f t="shared" si="16"/>
        <v>Brown</v>
      </c>
      <c r="R348" t="str">
        <f t="shared" si="17"/>
        <v>LaBr348</v>
      </c>
    </row>
    <row r="349" spans="1:18" x14ac:dyDescent="0.3">
      <c r="A349" s="6" t="s">
        <v>779</v>
      </c>
      <c r="B349" s="6" t="s">
        <v>633</v>
      </c>
      <c r="C349" s="6" t="s">
        <v>238</v>
      </c>
      <c r="D349" s="6" t="s">
        <v>51</v>
      </c>
      <c r="E349" s="6" t="s">
        <v>32</v>
      </c>
      <c r="F349" s="6" t="s">
        <v>23</v>
      </c>
      <c r="G349" s="6">
        <v>41</v>
      </c>
      <c r="H349" s="6">
        <v>30.25</v>
      </c>
      <c r="I349" s="6">
        <v>1240.25</v>
      </c>
      <c r="J349" s="6">
        <v>92.86</v>
      </c>
      <c r="K349" s="6">
        <v>409.39</v>
      </c>
      <c r="L349" s="6" t="s">
        <v>24</v>
      </c>
      <c r="M349" s="6" t="s">
        <v>25</v>
      </c>
      <c r="N349" s="6" t="s">
        <v>76</v>
      </c>
      <c r="P349" t="str">
        <f t="shared" si="15"/>
        <v>Sarah</v>
      </c>
      <c r="Q349" t="str">
        <f t="shared" si="16"/>
        <v>Garcia</v>
      </c>
      <c r="R349" t="str">
        <f t="shared" si="17"/>
        <v>SaGa349</v>
      </c>
    </row>
    <row r="350" spans="1:18" x14ac:dyDescent="0.3">
      <c r="A350" s="6" t="s">
        <v>780</v>
      </c>
      <c r="B350" s="6" t="s">
        <v>781</v>
      </c>
      <c r="C350" s="6" t="s">
        <v>20</v>
      </c>
      <c r="D350" s="6" t="s">
        <v>141</v>
      </c>
      <c r="E350" s="6" t="s">
        <v>81</v>
      </c>
      <c r="F350" s="6" t="s">
        <v>68</v>
      </c>
      <c r="G350" s="6">
        <v>15</v>
      </c>
      <c r="H350" s="6">
        <v>23.71</v>
      </c>
      <c r="I350" s="6">
        <v>355.65</v>
      </c>
      <c r="J350" s="6">
        <v>7.22</v>
      </c>
      <c r="K350" s="6">
        <v>115.93</v>
      </c>
      <c r="L350" s="6" t="s">
        <v>33</v>
      </c>
      <c r="M350" s="6" t="s">
        <v>34</v>
      </c>
      <c r="N350" s="6" t="s">
        <v>142</v>
      </c>
      <c r="P350" t="str">
        <f t="shared" si="15"/>
        <v>Emily</v>
      </c>
      <c r="Q350" t="str">
        <f t="shared" si="16"/>
        <v>Smith</v>
      </c>
      <c r="R350" t="str">
        <f t="shared" si="17"/>
        <v>EmSm350</v>
      </c>
    </row>
    <row r="351" spans="1:18" x14ac:dyDescent="0.3">
      <c r="A351" s="6" t="s">
        <v>782</v>
      </c>
      <c r="B351" s="6" t="s">
        <v>276</v>
      </c>
      <c r="C351" s="6" t="s">
        <v>197</v>
      </c>
      <c r="D351" s="6" t="s">
        <v>116</v>
      </c>
      <c r="E351" s="6" t="s">
        <v>46</v>
      </c>
      <c r="F351" s="6" t="s">
        <v>47</v>
      </c>
      <c r="G351" s="6">
        <v>33</v>
      </c>
      <c r="H351" s="6">
        <v>48.64</v>
      </c>
      <c r="I351" s="6">
        <v>1605.12</v>
      </c>
      <c r="J351" s="6">
        <v>98.71</v>
      </c>
      <c r="K351" s="6">
        <v>450.41</v>
      </c>
      <c r="L351" s="6" t="s">
        <v>24</v>
      </c>
      <c r="M351" s="6" t="s">
        <v>34</v>
      </c>
      <c r="N351" s="6" t="s">
        <v>76</v>
      </c>
      <c r="P351" t="str">
        <f t="shared" si="15"/>
        <v>Emily</v>
      </c>
      <c r="Q351" t="str">
        <f t="shared" si="16"/>
        <v>Garcia</v>
      </c>
      <c r="R351" t="str">
        <f t="shared" si="17"/>
        <v>EmGa351</v>
      </c>
    </row>
    <row r="352" spans="1:18" x14ac:dyDescent="0.3">
      <c r="A352" s="6" t="s">
        <v>783</v>
      </c>
      <c r="B352" s="6" t="s">
        <v>784</v>
      </c>
      <c r="C352" s="6" t="s">
        <v>44</v>
      </c>
      <c r="D352" s="6" t="s">
        <v>241</v>
      </c>
      <c r="E352" s="6" t="s">
        <v>22</v>
      </c>
      <c r="F352" s="6" t="s">
        <v>23</v>
      </c>
      <c r="G352" s="6">
        <v>7</v>
      </c>
      <c r="H352" s="6">
        <v>50.94</v>
      </c>
      <c r="I352" s="6">
        <v>356.58</v>
      </c>
      <c r="J352" s="6">
        <v>11.19</v>
      </c>
      <c r="K352" s="6">
        <v>100.39</v>
      </c>
      <c r="L352" s="6" t="s">
        <v>33</v>
      </c>
      <c r="M352" s="6" t="s">
        <v>25</v>
      </c>
      <c r="N352" s="6" t="s">
        <v>35</v>
      </c>
      <c r="P352" t="str">
        <f t="shared" si="15"/>
        <v>Daniel</v>
      </c>
      <c r="Q352" t="str">
        <f t="shared" si="16"/>
        <v>Miller</v>
      </c>
      <c r="R352" t="str">
        <f t="shared" si="17"/>
        <v>DaMi352</v>
      </c>
    </row>
    <row r="353" spans="1:18" x14ac:dyDescent="0.3">
      <c r="A353" s="6" t="s">
        <v>785</v>
      </c>
      <c r="B353" s="6" t="s">
        <v>786</v>
      </c>
      <c r="C353" s="6" t="s">
        <v>323</v>
      </c>
      <c r="D353" s="6" t="s">
        <v>206</v>
      </c>
      <c r="E353" s="6" t="s">
        <v>63</v>
      </c>
      <c r="F353" s="6" t="s">
        <v>47</v>
      </c>
      <c r="G353" s="6">
        <v>1</v>
      </c>
      <c r="H353" s="6">
        <v>31.4</v>
      </c>
      <c r="I353" s="6">
        <v>31.4</v>
      </c>
      <c r="J353" s="6">
        <v>1.1399999999999999</v>
      </c>
      <c r="K353" s="6">
        <v>10.26</v>
      </c>
      <c r="L353" s="6" t="s">
        <v>48</v>
      </c>
      <c r="M353" s="6" t="s">
        <v>34</v>
      </c>
      <c r="N353" s="6" t="s">
        <v>207</v>
      </c>
      <c r="P353" t="str">
        <f t="shared" si="15"/>
        <v>Sophia</v>
      </c>
      <c r="Q353" t="str">
        <f t="shared" si="16"/>
        <v>Martinez</v>
      </c>
      <c r="R353" t="str">
        <f t="shared" si="17"/>
        <v>SoMa353</v>
      </c>
    </row>
    <row r="354" spans="1:18" x14ac:dyDescent="0.3">
      <c r="A354" s="6" t="s">
        <v>787</v>
      </c>
      <c r="B354" s="6" t="s">
        <v>408</v>
      </c>
      <c r="C354" s="6" t="s">
        <v>317</v>
      </c>
      <c r="D354" s="6" t="s">
        <v>37</v>
      </c>
      <c r="E354" s="6" t="s">
        <v>86</v>
      </c>
      <c r="F354" s="6" t="s">
        <v>47</v>
      </c>
      <c r="G354" s="6">
        <v>28</v>
      </c>
      <c r="H354" s="6">
        <v>18.59</v>
      </c>
      <c r="I354" s="6">
        <v>520.52</v>
      </c>
      <c r="J354" s="6">
        <v>14.08</v>
      </c>
      <c r="K354" s="6">
        <v>149.44</v>
      </c>
      <c r="L354" s="6" t="s">
        <v>24</v>
      </c>
      <c r="M354" s="6" t="s">
        <v>25</v>
      </c>
      <c r="N354" s="6" t="s">
        <v>35</v>
      </c>
      <c r="P354" t="str">
        <f t="shared" si="15"/>
        <v>Emily</v>
      </c>
      <c r="Q354" t="str">
        <f t="shared" si="16"/>
        <v>Davis</v>
      </c>
      <c r="R354" t="str">
        <f t="shared" si="17"/>
        <v>EmDa354</v>
      </c>
    </row>
    <row r="355" spans="1:18" x14ac:dyDescent="0.3">
      <c r="A355" s="6" t="s">
        <v>788</v>
      </c>
      <c r="B355" s="6" t="s">
        <v>789</v>
      </c>
      <c r="C355" s="6" t="s">
        <v>790</v>
      </c>
      <c r="D355" s="6" t="s">
        <v>171</v>
      </c>
      <c r="E355" s="6" t="s">
        <v>81</v>
      </c>
      <c r="F355" s="6" t="s">
        <v>68</v>
      </c>
      <c r="G355" s="6">
        <v>50</v>
      </c>
      <c r="H355" s="6">
        <v>20.66</v>
      </c>
      <c r="I355" s="6">
        <v>1033</v>
      </c>
      <c r="J355" s="6">
        <v>34.130000000000003</v>
      </c>
      <c r="K355" s="6">
        <v>223.87</v>
      </c>
      <c r="L355" s="6" t="s">
        <v>48</v>
      </c>
      <c r="M355" s="6" t="s">
        <v>34</v>
      </c>
      <c r="N355" s="6" t="s">
        <v>35</v>
      </c>
      <c r="P355" t="str">
        <f t="shared" si="15"/>
        <v>John</v>
      </c>
      <c r="Q355" t="str">
        <f t="shared" si="16"/>
        <v>Williams</v>
      </c>
      <c r="R355" t="str">
        <f t="shared" si="17"/>
        <v>JoWi355</v>
      </c>
    </row>
    <row r="356" spans="1:18" x14ac:dyDescent="0.3">
      <c r="A356" s="6" t="s">
        <v>791</v>
      </c>
      <c r="B356" s="6" t="s">
        <v>547</v>
      </c>
      <c r="C356" s="6" t="s">
        <v>249</v>
      </c>
      <c r="D356" s="6" t="s">
        <v>51</v>
      </c>
      <c r="E356" s="6" t="s">
        <v>22</v>
      </c>
      <c r="F356" s="6" t="s">
        <v>23</v>
      </c>
      <c r="G356" s="6">
        <v>4</v>
      </c>
      <c r="H356" s="6">
        <v>46.62</v>
      </c>
      <c r="I356" s="6">
        <v>186.48</v>
      </c>
      <c r="J356" s="6">
        <v>13.29</v>
      </c>
      <c r="K356" s="6">
        <v>33.19</v>
      </c>
      <c r="L356" s="6" t="s">
        <v>33</v>
      </c>
      <c r="M356" s="6" t="s">
        <v>25</v>
      </c>
      <c r="N356" s="6" t="s">
        <v>76</v>
      </c>
      <c r="P356" t="str">
        <f t="shared" si="15"/>
        <v>James</v>
      </c>
      <c r="Q356" t="str">
        <f t="shared" si="16"/>
        <v>Hernandez</v>
      </c>
      <c r="R356" t="str">
        <f t="shared" si="17"/>
        <v>JaHe356</v>
      </c>
    </row>
    <row r="357" spans="1:18" x14ac:dyDescent="0.3">
      <c r="A357" s="6" t="s">
        <v>792</v>
      </c>
      <c r="B357" s="6" t="s">
        <v>547</v>
      </c>
      <c r="C357" s="6" t="s">
        <v>732</v>
      </c>
      <c r="D357" s="6" t="s">
        <v>141</v>
      </c>
      <c r="E357" s="6" t="s">
        <v>81</v>
      </c>
      <c r="F357" s="6" t="s">
        <v>68</v>
      </c>
      <c r="G357" s="6">
        <v>37</v>
      </c>
      <c r="H357" s="6">
        <v>21.81</v>
      </c>
      <c r="I357" s="6">
        <v>806.97</v>
      </c>
      <c r="J357" s="6">
        <v>19.63</v>
      </c>
      <c r="K357" s="6">
        <v>213.84</v>
      </c>
      <c r="L357" s="6" t="s">
        <v>48</v>
      </c>
      <c r="M357" s="6" t="s">
        <v>41</v>
      </c>
      <c r="N357" s="6" t="s">
        <v>142</v>
      </c>
      <c r="P357" t="str">
        <f t="shared" si="15"/>
        <v>James</v>
      </c>
      <c r="Q357" t="str">
        <f t="shared" si="16"/>
        <v>Jones</v>
      </c>
      <c r="R357" t="str">
        <f t="shared" si="17"/>
        <v>JaJo357</v>
      </c>
    </row>
    <row r="358" spans="1:18" x14ac:dyDescent="0.3">
      <c r="A358" s="6" t="s">
        <v>793</v>
      </c>
      <c r="B358" s="6" t="s">
        <v>100</v>
      </c>
      <c r="C358" s="6" t="s">
        <v>216</v>
      </c>
      <c r="D358" s="6" t="s">
        <v>51</v>
      </c>
      <c r="E358" s="6" t="s">
        <v>81</v>
      </c>
      <c r="F358" s="6" t="s">
        <v>68</v>
      </c>
      <c r="G358" s="6">
        <v>48</v>
      </c>
      <c r="H358" s="6">
        <v>26.68</v>
      </c>
      <c r="I358" s="6">
        <v>1280.6400000000001</v>
      </c>
      <c r="J358" s="6">
        <v>55.36</v>
      </c>
      <c r="K358" s="6">
        <v>481.28</v>
      </c>
      <c r="L358" s="6" t="s">
        <v>24</v>
      </c>
      <c r="M358" s="6" t="s">
        <v>34</v>
      </c>
      <c r="N358" s="6" t="s">
        <v>76</v>
      </c>
      <c r="P358" t="str">
        <f t="shared" si="15"/>
        <v>Daniel</v>
      </c>
      <c r="Q358" t="str">
        <f t="shared" si="16"/>
        <v>Smith</v>
      </c>
      <c r="R358" t="str">
        <f t="shared" si="17"/>
        <v>DaSm358</v>
      </c>
    </row>
    <row r="359" spans="1:18" x14ac:dyDescent="0.3">
      <c r="A359" s="6" t="s">
        <v>794</v>
      </c>
      <c r="B359" s="6" t="s">
        <v>795</v>
      </c>
      <c r="C359" s="6" t="s">
        <v>191</v>
      </c>
      <c r="D359" s="6" t="s">
        <v>45</v>
      </c>
      <c r="E359" s="6" t="s">
        <v>74</v>
      </c>
      <c r="F359" s="6" t="s">
        <v>75</v>
      </c>
      <c r="G359" s="6">
        <v>24</v>
      </c>
      <c r="H359" s="6">
        <v>42.82</v>
      </c>
      <c r="I359" s="6">
        <v>1027.68</v>
      </c>
      <c r="J359" s="6">
        <v>69.95</v>
      </c>
      <c r="K359" s="6">
        <v>357.73</v>
      </c>
      <c r="L359" s="6" t="s">
        <v>24</v>
      </c>
      <c r="M359" s="6" t="s">
        <v>25</v>
      </c>
      <c r="N359" s="6" t="s">
        <v>49</v>
      </c>
      <c r="P359" t="str">
        <f t="shared" si="15"/>
        <v>Michael</v>
      </c>
      <c r="Q359" t="str">
        <f t="shared" si="16"/>
        <v>Smith</v>
      </c>
      <c r="R359" t="str">
        <f t="shared" si="17"/>
        <v>MiSm359</v>
      </c>
    </row>
    <row r="360" spans="1:18" x14ac:dyDescent="0.3">
      <c r="A360" s="6" t="s">
        <v>796</v>
      </c>
      <c r="B360" s="6" t="s">
        <v>179</v>
      </c>
      <c r="C360" s="6" t="s">
        <v>194</v>
      </c>
      <c r="D360" s="6" t="s">
        <v>206</v>
      </c>
      <c r="E360" s="6" t="s">
        <v>67</v>
      </c>
      <c r="F360" s="6" t="s">
        <v>68</v>
      </c>
      <c r="G360" s="6">
        <v>26</v>
      </c>
      <c r="H360" s="6">
        <v>34.4</v>
      </c>
      <c r="I360" s="6">
        <v>894.4</v>
      </c>
      <c r="J360" s="6">
        <v>40.42</v>
      </c>
      <c r="K360" s="6">
        <v>268.98</v>
      </c>
      <c r="L360" s="6" t="s">
        <v>24</v>
      </c>
      <c r="M360" s="6" t="s">
        <v>25</v>
      </c>
      <c r="N360" s="6" t="s">
        <v>207</v>
      </c>
      <c r="P360" t="str">
        <f t="shared" si="15"/>
        <v>Sarah</v>
      </c>
      <c r="Q360" t="str">
        <f t="shared" si="16"/>
        <v>Martinez</v>
      </c>
      <c r="R360" t="str">
        <f t="shared" si="17"/>
        <v>SaMa360</v>
      </c>
    </row>
    <row r="361" spans="1:18" x14ac:dyDescent="0.3">
      <c r="A361" s="6" t="s">
        <v>797</v>
      </c>
      <c r="B361" s="6" t="s">
        <v>798</v>
      </c>
      <c r="C361" s="6" t="s">
        <v>321</v>
      </c>
      <c r="D361" s="6" t="s">
        <v>37</v>
      </c>
      <c r="E361" s="6" t="s">
        <v>22</v>
      </c>
      <c r="F361" s="6" t="s">
        <v>23</v>
      </c>
      <c r="G361" s="6">
        <v>47</v>
      </c>
      <c r="H361" s="6">
        <v>44.89</v>
      </c>
      <c r="I361" s="6">
        <v>2109.83</v>
      </c>
      <c r="J361" s="6">
        <v>45.91</v>
      </c>
      <c r="K361" s="6">
        <v>418.92</v>
      </c>
      <c r="L361" s="6" t="s">
        <v>24</v>
      </c>
      <c r="M361" s="6" t="s">
        <v>34</v>
      </c>
      <c r="N361" s="6" t="s">
        <v>35</v>
      </c>
      <c r="P361" t="str">
        <f t="shared" si="15"/>
        <v>James</v>
      </c>
      <c r="Q361" t="str">
        <f t="shared" si="16"/>
        <v>Johnson</v>
      </c>
      <c r="R361" t="str">
        <f t="shared" si="17"/>
        <v>JaJo361</v>
      </c>
    </row>
    <row r="362" spans="1:18" x14ac:dyDescent="0.3">
      <c r="A362" s="6" t="s">
        <v>799</v>
      </c>
      <c r="B362" s="6" t="s">
        <v>688</v>
      </c>
      <c r="C362" s="6" t="s">
        <v>285</v>
      </c>
      <c r="D362" s="6" t="s">
        <v>51</v>
      </c>
      <c r="E362" s="6" t="s">
        <v>81</v>
      </c>
      <c r="F362" s="6" t="s">
        <v>68</v>
      </c>
      <c r="G362" s="6">
        <v>1</v>
      </c>
      <c r="H362" s="6">
        <v>18.739999999999998</v>
      </c>
      <c r="I362" s="6">
        <v>18.739999999999998</v>
      </c>
      <c r="J362" s="6">
        <v>0.5</v>
      </c>
      <c r="K362" s="6">
        <v>2.74</v>
      </c>
      <c r="L362" s="6" t="s">
        <v>48</v>
      </c>
      <c r="M362" s="6" t="s">
        <v>34</v>
      </c>
      <c r="N362" s="6" t="s">
        <v>76</v>
      </c>
      <c r="P362" t="str">
        <f t="shared" si="15"/>
        <v>Sophia</v>
      </c>
      <c r="Q362" t="str">
        <f t="shared" si="16"/>
        <v>Miller</v>
      </c>
      <c r="R362" t="str">
        <f t="shared" si="17"/>
        <v>SoMi362</v>
      </c>
    </row>
    <row r="363" spans="1:18" x14ac:dyDescent="0.3">
      <c r="A363" s="6" t="s">
        <v>800</v>
      </c>
      <c r="B363" s="6" t="s">
        <v>156</v>
      </c>
      <c r="C363" s="6" t="s">
        <v>272</v>
      </c>
      <c r="D363" s="6" t="s">
        <v>116</v>
      </c>
      <c r="E363" s="6" t="s">
        <v>67</v>
      </c>
      <c r="F363" s="6" t="s">
        <v>68</v>
      </c>
      <c r="G363" s="6">
        <v>27</v>
      </c>
      <c r="H363" s="6">
        <v>36.270000000000003</v>
      </c>
      <c r="I363" s="6">
        <v>979.29</v>
      </c>
      <c r="J363" s="6">
        <v>54.58</v>
      </c>
      <c r="K363" s="6">
        <v>317.20999999999998</v>
      </c>
      <c r="L363" s="6" t="s">
        <v>33</v>
      </c>
      <c r="M363" s="6" t="s">
        <v>34</v>
      </c>
      <c r="N363" s="6" t="s">
        <v>76</v>
      </c>
      <c r="P363" t="str">
        <f t="shared" si="15"/>
        <v>Michael</v>
      </c>
      <c r="Q363" t="str">
        <f t="shared" si="16"/>
        <v>Jones</v>
      </c>
      <c r="R363" t="str">
        <f t="shared" si="17"/>
        <v>MiJo363</v>
      </c>
    </row>
    <row r="364" spans="1:18" x14ac:dyDescent="0.3">
      <c r="A364" s="6" t="s">
        <v>801</v>
      </c>
      <c r="B364" s="6" t="s">
        <v>261</v>
      </c>
      <c r="C364" s="6" t="s">
        <v>151</v>
      </c>
      <c r="D364" s="6" t="s">
        <v>241</v>
      </c>
      <c r="E364" s="6" t="s">
        <v>86</v>
      </c>
      <c r="F364" s="6" t="s">
        <v>47</v>
      </c>
      <c r="G364" s="6">
        <v>13</v>
      </c>
      <c r="H364" s="6">
        <v>18.82</v>
      </c>
      <c r="I364" s="6">
        <v>244.66</v>
      </c>
      <c r="J364" s="6">
        <v>6.49</v>
      </c>
      <c r="K364" s="6">
        <v>72.42</v>
      </c>
      <c r="L364" s="6" t="s">
        <v>48</v>
      </c>
      <c r="M364" s="6" t="s">
        <v>34</v>
      </c>
      <c r="N364" s="6" t="s">
        <v>35</v>
      </c>
      <c r="P364" t="str">
        <f t="shared" si="15"/>
        <v>Sophia</v>
      </c>
      <c r="Q364" t="str">
        <f t="shared" si="16"/>
        <v>Hernandez</v>
      </c>
      <c r="R364" t="str">
        <f t="shared" si="17"/>
        <v>SoHe364</v>
      </c>
    </row>
    <row r="365" spans="1:18" x14ac:dyDescent="0.3">
      <c r="A365" s="6" t="s">
        <v>802</v>
      </c>
      <c r="B365" s="6" t="s">
        <v>139</v>
      </c>
      <c r="C365" s="6" t="s">
        <v>539</v>
      </c>
      <c r="D365" s="6" t="s">
        <v>206</v>
      </c>
      <c r="E365" s="6" t="s">
        <v>137</v>
      </c>
      <c r="F365" s="6" t="s">
        <v>68</v>
      </c>
      <c r="G365" s="6">
        <v>41</v>
      </c>
      <c r="H365" s="6">
        <v>43.19</v>
      </c>
      <c r="I365" s="6">
        <v>1770.79</v>
      </c>
      <c r="J365" s="6">
        <v>83.28</v>
      </c>
      <c r="K365" s="6">
        <v>539.51</v>
      </c>
      <c r="L365" s="6" t="s">
        <v>33</v>
      </c>
      <c r="M365" s="6" t="s">
        <v>25</v>
      </c>
      <c r="N365" s="6" t="s">
        <v>207</v>
      </c>
      <c r="P365" t="str">
        <f t="shared" si="15"/>
        <v>Sarah</v>
      </c>
      <c r="Q365" t="str">
        <f t="shared" si="16"/>
        <v>Jones</v>
      </c>
      <c r="R365" t="str">
        <f t="shared" si="17"/>
        <v>SaJo365</v>
      </c>
    </row>
    <row r="366" spans="1:18" x14ac:dyDescent="0.3">
      <c r="A366" s="6" t="s">
        <v>803</v>
      </c>
      <c r="B366" s="6" t="s">
        <v>804</v>
      </c>
      <c r="C366" s="6" t="s">
        <v>110</v>
      </c>
      <c r="D366" s="6" t="s">
        <v>51</v>
      </c>
      <c r="E366" s="6" t="s">
        <v>137</v>
      </c>
      <c r="F366" s="6" t="s">
        <v>68</v>
      </c>
      <c r="G366" s="6">
        <v>40</v>
      </c>
      <c r="H366" s="6">
        <v>42.31</v>
      </c>
      <c r="I366" s="6">
        <v>1692.4</v>
      </c>
      <c r="J366" s="6">
        <v>118.59</v>
      </c>
      <c r="K366" s="6">
        <v>453.81</v>
      </c>
      <c r="L366" s="6" t="s">
        <v>33</v>
      </c>
      <c r="M366" s="6" t="s">
        <v>41</v>
      </c>
      <c r="N366" s="6" t="s">
        <v>76</v>
      </c>
      <c r="P366" t="str">
        <f t="shared" si="15"/>
        <v>James</v>
      </c>
      <c r="Q366" t="str">
        <f t="shared" si="16"/>
        <v>Martinez</v>
      </c>
      <c r="R366" t="str">
        <f t="shared" si="17"/>
        <v>JaMa366</v>
      </c>
    </row>
    <row r="367" spans="1:18" x14ac:dyDescent="0.3">
      <c r="A367" s="6" t="s">
        <v>805</v>
      </c>
      <c r="B367" s="6" t="s">
        <v>536</v>
      </c>
      <c r="C367" s="6" t="s">
        <v>440</v>
      </c>
      <c r="D367" s="6" t="s">
        <v>70</v>
      </c>
      <c r="E367" s="6" t="s">
        <v>46</v>
      </c>
      <c r="F367" s="6" t="s">
        <v>47</v>
      </c>
      <c r="G367" s="6">
        <v>1</v>
      </c>
      <c r="H367" s="6">
        <v>57.15</v>
      </c>
      <c r="I367" s="6">
        <v>57.15</v>
      </c>
      <c r="J367" s="6">
        <v>4.1100000000000003</v>
      </c>
      <c r="K367" s="6">
        <v>21.04</v>
      </c>
      <c r="L367" s="6" t="s">
        <v>33</v>
      </c>
      <c r="M367" s="6" t="s">
        <v>25</v>
      </c>
      <c r="N367" s="6" t="s">
        <v>76</v>
      </c>
      <c r="P367" t="str">
        <f t="shared" si="15"/>
        <v>Sophia</v>
      </c>
      <c r="Q367" t="str">
        <f t="shared" si="16"/>
        <v>Davis</v>
      </c>
      <c r="R367" t="str">
        <f t="shared" si="17"/>
        <v>SoDa367</v>
      </c>
    </row>
    <row r="368" spans="1:18" x14ac:dyDescent="0.3">
      <c r="A368" s="6" t="s">
        <v>806</v>
      </c>
      <c r="B368" s="6" t="s">
        <v>196</v>
      </c>
      <c r="C368" s="6" t="s">
        <v>269</v>
      </c>
      <c r="D368" s="6" t="s">
        <v>55</v>
      </c>
      <c r="E368" s="6" t="s">
        <v>63</v>
      </c>
      <c r="F368" s="6" t="s">
        <v>47</v>
      </c>
      <c r="G368" s="6">
        <v>15</v>
      </c>
      <c r="H368" s="6">
        <v>30.03</v>
      </c>
      <c r="I368" s="6">
        <v>450.45</v>
      </c>
      <c r="J368" s="6">
        <v>29.99</v>
      </c>
      <c r="K368" s="6">
        <v>120.46</v>
      </c>
      <c r="L368" s="6" t="s">
        <v>48</v>
      </c>
      <c r="M368" s="6" t="s">
        <v>34</v>
      </c>
      <c r="N368" s="6" t="s">
        <v>98</v>
      </c>
      <c r="P368" t="str">
        <f t="shared" si="15"/>
        <v>Daniel</v>
      </c>
      <c r="Q368" t="str">
        <f t="shared" si="16"/>
        <v>Martinez</v>
      </c>
      <c r="R368" t="str">
        <f t="shared" si="17"/>
        <v>DaMa368</v>
      </c>
    </row>
    <row r="369" spans="1:18" x14ac:dyDescent="0.3">
      <c r="A369" s="6" t="s">
        <v>807</v>
      </c>
      <c r="B369" s="6" t="s">
        <v>808</v>
      </c>
      <c r="C369" s="6" t="s">
        <v>257</v>
      </c>
      <c r="D369" s="6" t="s">
        <v>45</v>
      </c>
      <c r="E369" s="6" t="s">
        <v>63</v>
      </c>
      <c r="F369" s="6" t="s">
        <v>47</v>
      </c>
      <c r="G369" s="6">
        <v>48</v>
      </c>
      <c r="H369" s="6">
        <v>30.91</v>
      </c>
      <c r="I369" s="6">
        <v>1483.68</v>
      </c>
      <c r="J369" s="6">
        <v>85.5</v>
      </c>
      <c r="K369" s="6">
        <v>438.18</v>
      </c>
      <c r="L369" s="6" t="s">
        <v>24</v>
      </c>
      <c r="M369" s="6" t="s">
        <v>34</v>
      </c>
      <c r="N369" s="6" t="s">
        <v>49</v>
      </c>
      <c r="P369" t="str">
        <f t="shared" si="15"/>
        <v>Emily</v>
      </c>
      <c r="Q369" t="str">
        <f t="shared" si="16"/>
        <v>Williams</v>
      </c>
      <c r="R369" t="str">
        <f t="shared" si="17"/>
        <v>EmWi369</v>
      </c>
    </row>
    <row r="370" spans="1:18" x14ac:dyDescent="0.3">
      <c r="A370" s="6" t="s">
        <v>809</v>
      </c>
      <c r="B370" s="6" t="s">
        <v>810</v>
      </c>
      <c r="C370" s="6" t="s">
        <v>511</v>
      </c>
      <c r="D370" s="6" t="s">
        <v>62</v>
      </c>
      <c r="E370" s="6" t="s">
        <v>67</v>
      </c>
      <c r="F370" s="6" t="s">
        <v>68</v>
      </c>
      <c r="G370" s="6">
        <v>8</v>
      </c>
      <c r="H370" s="6">
        <v>32.19</v>
      </c>
      <c r="I370" s="6">
        <v>257.52</v>
      </c>
      <c r="J370" s="6">
        <v>11.85</v>
      </c>
      <c r="K370" s="6">
        <v>65.67</v>
      </c>
      <c r="L370" s="6" t="s">
        <v>24</v>
      </c>
      <c r="M370" s="6" t="s">
        <v>25</v>
      </c>
      <c r="N370" s="6" t="s">
        <v>98</v>
      </c>
      <c r="P370" t="str">
        <f t="shared" si="15"/>
        <v>Emma</v>
      </c>
      <c r="Q370" t="str">
        <f t="shared" si="16"/>
        <v>Miller</v>
      </c>
      <c r="R370" t="str">
        <f t="shared" si="17"/>
        <v>EmMi370</v>
      </c>
    </row>
    <row r="371" spans="1:18" x14ac:dyDescent="0.3">
      <c r="A371" s="6" t="s">
        <v>811</v>
      </c>
      <c r="B371" s="6" t="s">
        <v>812</v>
      </c>
      <c r="C371" s="6" t="s">
        <v>235</v>
      </c>
      <c r="D371" s="6" t="s">
        <v>123</v>
      </c>
      <c r="E371" s="6" t="s">
        <v>56</v>
      </c>
      <c r="F371" s="6" t="s">
        <v>57</v>
      </c>
      <c r="G371" s="6">
        <v>22</v>
      </c>
      <c r="H371" s="6">
        <v>60.75</v>
      </c>
      <c r="I371" s="6">
        <v>1336.5</v>
      </c>
      <c r="J371" s="6">
        <v>38.340000000000003</v>
      </c>
      <c r="K371" s="6">
        <v>418.16</v>
      </c>
      <c r="L371" s="6" t="s">
        <v>24</v>
      </c>
      <c r="M371" s="6" t="s">
        <v>34</v>
      </c>
      <c r="N371" s="6" t="s">
        <v>76</v>
      </c>
      <c r="P371" t="str">
        <f t="shared" si="15"/>
        <v>Sophia</v>
      </c>
      <c r="Q371" t="str">
        <f t="shared" si="16"/>
        <v>Jones</v>
      </c>
      <c r="R371" t="str">
        <f t="shared" si="17"/>
        <v>SoJo371</v>
      </c>
    </row>
    <row r="372" spans="1:18" x14ac:dyDescent="0.3">
      <c r="A372" s="6" t="s">
        <v>813</v>
      </c>
      <c r="B372" s="6" t="s">
        <v>319</v>
      </c>
      <c r="C372" s="6" t="s">
        <v>191</v>
      </c>
      <c r="D372" s="6" t="s">
        <v>37</v>
      </c>
      <c r="E372" s="6" t="s">
        <v>56</v>
      </c>
      <c r="F372" s="6" t="s">
        <v>57</v>
      </c>
      <c r="G372" s="6">
        <v>38</v>
      </c>
      <c r="H372" s="6">
        <v>66.06</v>
      </c>
      <c r="I372" s="6">
        <v>2510.2800000000002</v>
      </c>
      <c r="J372" s="6">
        <v>50.37</v>
      </c>
      <c r="K372" s="6">
        <v>939.91</v>
      </c>
      <c r="L372" s="6" t="s">
        <v>24</v>
      </c>
      <c r="M372" s="6" t="s">
        <v>25</v>
      </c>
      <c r="N372" s="6" t="s">
        <v>35</v>
      </c>
      <c r="P372" t="str">
        <f t="shared" si="15"/>
        <v>Michael</v>
      </c>
      <c r="Q372" t="str">
        <f t="shared" si="16"/>
        <v>Smith</v>
      </c>
      <c r="R372" t="str">
        <f t="shared" si="17"/>
        <v>MiSm372</v>
      </c>
    </row>
    <row r="373" spans="1:18" x14ac:dyDescent="0.3">
      <c r="A373" s="6" t="s">
        <v>814</v>
      </c>
      <c r="B373" s="6" t="s">
        <v>502</v>
      </c>
      <c r="C373" s="6" t="s">
        <v>157</v>
      </c>
      <c r="D373" s="6" t="s">
        <v>21</v>
      </c>
      <c r="E373" s="6" t="s">
        <v>22</v>
      </c>
      <c r="F373" s="6" t="s">
        <v>23</v>
      </c>
      <c r="G373" s="6">
        <v>33</v>
      </c>
      <c r="H373" s="6">
        <v>50.88</v>
      </c>
      <c r="I373" s="6">
        <v>1679.04</v>
      </c>
      <c r="J373" s="6">
        <v>61.48</v>
      </c>
      <c r="K373" s="6">
        <v>462.56</v>
      </c>
      <c r="L373" s="6" t="s">
        <v>24</v>
      </c>
      <c r="M373" s="6" t="s">
        <v>34</v>
      </c>
      <c r="N373" s="6" t="s">
        <v>98</v>
      </c>
      <c r="P373" t="str">
        <f t="shared" si="15"/>
        <v>Michael</v>
      </c>
      <c r="Q373" t="str">
        <f t="shared" si="16"/>
        <v>Martinez</v>
      </c>
      <c r="R373" t="str">
        <f t="shared" si="17"/>
        <v>MiMa373</v>
      </c>
    </row>
    <row r="374" spans="1:18" x14ac:dyDescent="0.3">
      <c r="A374" s="6" t="s">
        <v>815</v>
      </c>
      <c r="B374" s="6" t="s">
        <v>816</v>
      </c>
      <c r="C374" s="6" t="s">
        <v>417</v>
      </c>
      <c r="D374" s="6" t="s">
        <v>51</v>
      </c>
      <c r="E374" s="6" t="s">
        <v>137</v>
      </c>
      <c r="F374" s="6" t="s">
        <v>68</v>
      </c>
      <c r="G374" s="6">
        <v>49</v>
      </c>
      <c r="H374" s="6">
        <v>34.479999999999997</v>
      </c>
      <c r="I374" s="6">
        <v>1689.52</v>
      </c>
      <c r="J374" s="6">
        <v>53.06</v>
      </c>
      <c r="K374" s="6">
        <v>264.45999999999998</v>
      </c>
      <c r="L374" s="6" t="s">
        <v>48</v>
      </c>
      <c r="M374" s="6" t="s">
        <v>41</v>
      </c>
      <c r="N374" s="6" t="s">
        <v>76</v>
      </c>
      <c r="P374" t="str">
        <f t="shared" si="15"/>
        <v>Emily</v>
      </c>
      <c r="Q374" t="str">
        <f t="shared" si="16"/>
        <v>Brown</v>
      </c>
      <c r="R374" t="str">
        <f t="shared" si="17"/>
        <v>EmBr374</v>
      </c>
    </row>
    <row r="375" spans="1:18" x14ac:dyDescent="0.3">
      <c r="A375" s="6" t="s">
        <v>817</v>
      </c>
      <c r="B375" s="6" t="s">
        <v>736</v>
      </c>
      <c r="C375" s="6" t="s">
        <v>269</v>
      </c>
      <c r="D375" s="6" t="s">
        <v>127</v>
      </c>
      <c r="E375" s="6" t="s">
        <v>63</v>
      </c>
      <c r="F375" s="6" t="s">
        <v>47</v>
      </c>
      <c r="G375" s="6">
        <v>31</v>
      </c>
      <c r="H375" s="6">
        <v>25.43</v>
      </c>
      <c r="I375" s="6">
        <v>788.33</v>
      </c>
      <c r="J375" s="6">
        <v>57.81</v>
      </c>
      <c r="K375" s="6">
        <v>110.52</v>
      </c>
      <c r="L375" s="6" t="s">
        <v>24</v>
      </c>
      <c r="M375" s="6" t="s">
        <v>34</v>
      </c>
      <c r="N375" s="6" t="s">
        <v>76</v>
      </c>
      <c r="P375" t="str">
        <f t="shared" si="15"/>
        <v>Daniel</v>
      </c>
      <c r="Q375" t="str">
        <f t="shared" si="16"/>
        <v>Martinez</v>
      </c>
      <c r="R375" t="str">
        <f t="shared" si="17"/>
        <v>DaMa375</v>
      </c>
    </row>
    <row r="376" spans="1:18" x14ac:dyDescent="0.3">
      <c r="A376" s="6" t="s">
        <v>818</v>
      </c>
      <c r="B376" s="6" t="s">
        <v>467</v>
      </c>
      <c r="C376" s="6" t="s">
        <v>360</v>
      </c>
      <c r="D376" s="6" t="s">
        <v>241</v>
      </c>
      <c r="E376" s="6" t="s">
        <v>63</v>
      </c>
      <c r="F376" s="6" t="s">
        <v>47</v>
      </c>
      <c r="G376" s="6">
        <v>29</v>
      </c>
      <c r="H376" s="6">
        <v>31.68</v>
      </c>
      <c r="I376" s="6">
        <v>918.72</v>
      </c>
      <c r="J376" s="6">
        <v>22.22</v>
      </c>
      <c r="K376" s="6">
        <v>316.5</v>
      </c>
      <c r="L376" s="6" t="s">
        <v>48</v>
      </c>
      <c r="M376" s="6" t="s">
        <v>25</v>
      </c>
      <c r="N376" s="6" t="s">
        <v>35</v>
      </c>
      <c r="P376" t="str">
        <f t="shared" si="15"/>
        <v>Emily</v>
      </c>
      <c r="Q376" t="str">
        <f t="shared" si="16"/>
        <v>Miller</v>
      </c>
      <c r="R376" t="str">
        <f t="shared" si="17"/>
        <v>EmMi376</v>
      </c>
    </row>
    <row r="377" spans="1:18" x14ac:dyDescent="0.3">
      <c r="A377" s="6" t="s">
        <v>819</v>
      </c>
      <c r="B377" s="6" t="s">
        <v>590</v>
      </c>
      <c r="C377" s="6" t="s">
        <v>559</v>
      </c>
      <c r="D377" s="6" t="s">
        <v>116</v>
      </c>
      <c r="E377" s="6" t="s">
        <v>137</v>
      </c>
      <c r="F377" s="6" t="s">
        <v>68</v>
      </c>
      <c r="G377" s="6">
        <v>42</v>
      </c>
      <c r="H377" s="6">
        <v>33.89</v>
      </c>
      <c r="I377" s="6">
        <v>1423.38</v>
      </c>
      <c r="J377" s="6">
        <v>85.4</v>
      </c>
      <c r="K377" s="6">
        <v>161.97999999999999</v>
      </c>
      <c r="L377" s="6" t="s">
        <v>48</v>
      </c>
      <c r="M377" s="6" t="s">
        <v>25</v>
      </c>
      <c r="N377" s="6" t="s">
        <v>76</v>
      </c>
      <c r="P377" t="str">
        <f t="shared" si="15"/>
        <v>David</v>
      </c>
      <c r="Q377" t="str">
        <f t="shared" si="16"/>
        <v>Brown</v>
      </c>
      <c r="R377" t="str">
        <f t="shared" si="17"/>
        <v>DaBr377</v>
      </c>
    </row>
    <row r="378" spans="1:18" x14ac:dyDescent="0.3">
      <c r="A378" s="6" t="s">
        <v>820</v>
      </c>
      <c r="B378" s="6" t="s">
        <v>821</v>
      </c>
      <c r="C378" s="6" t="s">
        <v>66</v>
      </c>
      <c r="D378" s="6" t="s">
        <v>116</v>
      </c>
      <c r="E378" s="6" t="s">
        <v>32</v>
      </c>
      <c r="F378" s="6" t="s">
        <v>23</v>
      </c>
      <c r="G378" s="6">
        <v>13</v>
      </c>
      <c r="H378" s="6">
        <v>21.75</v>
      </c>
      <c r="I378" s="6">
        <v>282.75</v>
      </c>
      <c r="J378" s="6">
        <v>12.5</v>
      </c>
      <c r="K378" s="6">
        <v>36.25</v>
      </c>
      <c r="L378" s="6" t="s">
        <v>48</v>
      </c>
      <c r="M378" s="6" t="s">
        <v>34</v>
      </c>
      <c r="N378" s="6" t="s">
        <v>76</v>
      </c>
      <c r="P378" t="str">
        <f t="shared" si="15"/>
        <v>Emma</v>
      </c>
      <c r="Q378" t="str">
        <f t="shared" si="16"/>
        <v>Hernandez</v>
      </c>
      <c r="R378" t="str">
        <f t="shared" si="17"/>
        <v>EmHe378</v>
      </c>
    </row>
    <row r="379" spans="1:18" x14ac:dyDescent="0.3">
      <c r="A379" s="6" t="s">
        <v>822</v>
      </c>
      <c r="B379" s="6" t="s">
        <v>823</v>
      </c>
      <c r="C379" s="6" t="s">
        <v>162</v>
      </c>
      <c r="D379" s="6" t="s">
        <v>127</v>
      </c>
      <c r="E379" s="6" t="s">
        <v>67</v>
      </c>
      <c r="F379" s="6" t="s">
        <v>68</v>
      </c>
      <c r="G379" s="6">
        <v>25</v>
      </c>
      <c r="H379" s="6">
        <v>37.58</v>
      </c>
      <c r="I379" s="6">
        <v>939.5</v>
      </c>
      <c r="J379" s="6">
        <v>48.44</v>
      </c>
      <c r="K379" s="6">
        <v>328.56</v>
      </c>
      <c r="L379" s="6" t="s">
        <v>48</v>
      </c>
      <c r="M379" s="6" t="s">
        <v>41</v>
      </c>
      <c r="N379" s="6" t="s">
        <v>76</v>
      </c>
      <c r="P379" t="str">
        <f t="shared" si="15"/>
        <v>Laura</v>
      </c>
      <c r="Q379" t="str">
        <f t="shared" si="16"/>
        <v>Jones</v>
      </c>
      <c r="R379" t="str">
        <f t="shared" si="17"/>
        <v>LaJo379</v>
      </c>
    </row>
    <row r="380" spans="1:18" x14ac:dyDescent="0.3">
      <c r="A380" s="6" t="s">
        <v>824</v>
      </c>
      <c r="B380" s="6" t="s">
        <v>825</v>
      </c>
      <c r="C380" s="6" t="s">
        <v>480</v>
      </c>
      <c r="D380" s="6" t="s">
        <v>241</v>
      </c>
      <c r="E380" s="6" t="s">
        <v>63</v>
      </c>
      <c r="F380" s="6" t="s">
        <v>47</v>
      </c>
      <c r="G380" s="6">
        <v>16</v>
      </c>
      <c r="H380" s="6">
        <v>25.25</v>
      </c>
      <c r="I380" s="6">
        <v>404</v>
      </c>
      <c r="J380" s="6">
        <v>18.75</v>
      </c>
      <c r="K380" s="6">
        <v>65.25</v>
      </c>
      <c r="L380" s="6" t="s">
        <v>33</v>
      </c>
      <c r="M380" s="6" t="s">
        <v>41</v>
      </c>
      <c r="N380" s="6" t="s">
        <v>35</v>
      </c>
      <c r="P380" t="str">
        <f t="shared" si="15"/>
        <v>Emily</v>
      </c>
      <c r="Q380" t="str">
        <f t="shared" si="16"/>
        <v>Jones</v>
      </c>
      <c r="R380" t="str">
        <f t="shared" si="17"/>
        <v>EmJo380</v>
      </c>
    </row>
    <row r="381" spans="1:18" x14ac:dyDescent="0.3">
      <c r="A381" s="6" t="s">
        <v>826</v>
      </c>
      <c r="B381" s="6" t="s">
        <v>131</v>
      </c>
      <c r="C381" s="6" t="s">
        <v>381</v>
      </c>
      <c r="D381" s="6" t="s">
        <v>127</v>
      </c>
      <c r="E381" s="6" t="s">
        <v>81</v>
      </c>
      <c r="F381" s="6" t="s">
        <v>68</v>
      </c>
      <c r="G381" s="6">
        <v>37</v>
      </c>
      <c r="H381" s="6">
        <v>25.85</v>
      </c>
      <c r="I381" s="6">
        <v>956.45</v>
      </c>
      <c r="J381" s="6">
        <v>31.7</v>
      </c>
      <c r="K381" s="6">
        <v>351.25</v>
      </c>
      <c r="L381" s="6" t="s">
        <v>48</v>
      </c>
      <c r="M381" s="6" t="s">
        <v>41</v>
      </c>
      <c r="N381" s="6" t="s">
        <v>76</v>
      </c>
      <c r="P381" t="str">
        <f t="shared" si="15"/>
        <v>David</v>
      </c>
      <c r="Q381" t="str">
        <f t="shared" si="16"/>
        <v>Hernandez</v>
      </c>
      <c r="R381" t="str">
        <f t="shared" si="17"/>
        <v>DaHe381</v>
      </c>
    </row>
    <row r="382" spans="1:18" x14ac:dyDescent="0.3">
      <c r="A382" s="6" t="s">
        <v>827</v>
      </c>
      <c r="B382" s="6" t="s">
        <v>421</v>
      </c>
      <c r="C382" s="6" t="s">
        <v>73</v>
      </c>
      <c r="D382" s="6" t="s">
        <v>116</v>
      </c>
      <c r="E382" s="6" t="s">
        <v>63</v>
      </c>
      <c r="F382" s="6" t="s">
        <v>47</v>
      </c>
      <c r="G382" s="6">
        <v>1</v>
      </c>
      <c r="H382" s="6">
        <v>25.72</v>
      </c>
      <c r="I382" s="6">
        <v>25.72</v>
      </c>
      <c r="J382" s="6">
        <v>2.04</v>
      </c>
      <c r="K382" s="6">
        <v>3.68</v>
      </c>
      <c r="L382" s="6" t="s">
        <v>48</v>
      </c>
      <c r="M382" s="6" t="s">
        <v>41</v>
      </c>
      <c r="N382" s="6" t="s">
        <v>76</v>
      </c>
      <c r="P382" t="str">
        <f t="shared" si="15"/>
        <v>John</v>
      </c>
      <c r="Q382" t="str">
        <f t="shared" si="16"/>
        <v>Miller</v>
      </c>
      <c r="R382" t="str">
        <f t="shared" si="17"/>
        <v>JoMi382</v>
      </c>
    </row>
    <row r="383" spans="1:18" x14ac:dyDescent="0.3">
      <c r="A383" s="6" t="s">
        <v>828</v>
      </c>
      <c r="B383" s="6" t="s">
        <v>229</v>
      </c>
      <c r="C383" s="6" t="s">
        <v>539</v>
      </c>
      <c r="D383" s="6" t="s">
        <v>116</v>
      </c>
      <c r="E383" s="6" t="s">
        <v>137</v>
      </c>
      <c r="F383" s="6" t="s">
        <v>68</v>
      </c>
      <c r="G383" s="6">
        <v>48</v>
      </c>
      <c r="H383" s="6">
        <v>47.05</v>
      </c>
      <c r="I383" s="6">
        <v>2258.4</v>
      </c>
      <c r="J383" s="6">
        <v>179.44</v>
      </c>
      <c r="K383" s="6">
        <v>734.96</v>
      </c>
      <c r="L383" s="6" t="s">
        <v>33</v>
      </c>
      <c r="M383" s="6" t="s">
        <v>34</v>
      </c>
      <c r="N383" s="6" t="s">
        <v>76</v>
      </c>
      <c r="P383" t="str">
        <f t="shared" si="15"/>
        <v>Sarah</v>
      </c>
      <c r="Q383" t="str">
        <f t="shared" si="16"/>
        <v>Jones</v>
      </c>
      <c r="R383" t="str">
        <f t="shared" si="17"/>
        <v>SaJo383</v>
      </c>
    </row>
    <row r="384" spans="1:18" x14ac:dyDescent="0.3">
      <c r="A384" s="6" t="s">
        <v>829</v>
      </c>
      <c r="B384" s="6" t="s">
        <v>830</v>
      </c>
      <c r="C384" s="6" t="s">
        <v>197</v>
      </c>
      <c r="D384" s="6" t="s">
        <v>45</v>
      </c>
      <c r="E384" s="6" t="s">
        <v>63</v>
      </c>
      <c r="F384" s="6" t="s">
        <v>47</v>
      </c>
      <c r="G384" s="6">
        <v>48</v>
      </c>
      <c r="H384" s="6">
        <v>29.94</v>
      </c>
      <c r="I384" s="6">
        <v>1437.12</v>
      </c>
      <c r="J384" s="6">
        <v>30.14</v>
      </c>
      <c r="K384" s="6">
        <v>446.98</v>
      </c>
      <c r="L384" s="6" t="s">
        <v>33</v>
      </c>
      <c r="M384" s="6" t="s">
        <v>34</v>
      </c>
      <c r="N384" s="6" t="s">
        <v>49</v>
      </c>
      <c r="P384" t="str">
        <f t="shared" si="15"/>
        <v>Emily</v>
      </c>
      <c r="Q384" t="str">
        <f t="shared" si="16"/>
        <v>Garcia</v>
      </c>
      <c r="R384" t="str">
        <f t="shared" si="17"/>
        <v>EmGa384</v>
      </c>
    </row>
    <row r="385" spans="1:18" x14ac:dyDescent="0.3">
      <c r="A385" s="6" t="s">
        <v>831</v>
      </c>
      <c r="B385" s="6" t="s">
        <v>832</v>
      </c>
      <c r="C385" s="6" t="s">
        <v>586</v>
      </c>
      <c r="D385" s="6" t="s">
        <v>37</v>
      </c>
      <c r="E385" s="6" t="s">
        <v>67</v>
      </c>
      <c r="F385" s="6" t="s">
        <v>68</v>
      </c>
      <c r="G385" s="6">
        <v>12</v>
      </c>
      <c r="H385" s="6">
        <v>35.68</v>
      </c>
      <c r="I385" s="6">
        <v>428.16</v>
      </c>
      <c r="J385" s="6">
        <v>13.07</v>
      </c>
      <c r="K385" s="6">
        <v>145.09</v>
      </c>
      <c r="L385" s="6" t="s">
        <v>33</v>
      </c>
      <c r="M385" s="6" t="s">
        <v>41</v>
      </c>
      <c r="N385" s="6" t="s">
        <v>35</v>
      </c>
      <c r="P385" t="str">
        <f t="shared" si="15"/>
        <v>Emma</v>
      </c>
      <c r="Q385" t="str">
        <f t="shared" si="16"/>
        <v>Jones</v>
      </c>
      <c r="R385" t="str">
        <f t="shared" si="17"/>
        <v>EmJo385</v>
      </c>
    </row>
    <row r="386" spans="1:18" x14ac:dyDescent="0.3">
      <c r="A386" s="6" t="s">
        <v>833</v>
      </c>
      <c r="B386" s="6" t="s">
        <v>706</v>
      </c>
      <c r="C386" s="6" t="s">
        <v>455</v>
      </c>
      <c r="D386" s="6" t="s">
        <v>21</v>
      </c>
      <c r="E386" s="6" t="s">
        <v>46</v>
      </c>
      <c r="F386" s="6" t="s">
        <v>47</v>
      </c>
      <c r="G386" s="6">
        <v>30</v>
      </c>
      <c r="H386" s="6">
        <v>49.32</v>
      </c>
      <c r="I386" s="6">
        <v>1479.6</v>
      </c>
      <c r="J386" s="6">
        <v>105.97</v>
      </c>
      <c r="K386" s="6">
        <v>413.63</v>
      </c>
      <c r="L386" s="6" t="s">
        <v>33</v>
      </c>
      <c r="M386" s="6" t="s">
        <v>34</v>
      </c>
      <c r="N386" s="6" t="s">
        <v>98</v>
      </c>
      <c r="P386" t="str">
        <f t="shared" si="15"/>
        <v>Michael</v>
      </c>
      <c r="Q386" t="str">
        <f t="shared" si="16"/>
        <v>Hernandez</v>
      </c>
      <c r="R386" t="str">
        <f t="shared" si="17"/>
        <v>MiHe386</v>
      </c>
    </row>
    <row r="387" spans="1:18" x14ac:dyDescent="0.3">
      <c r="A387" s="6" t="s">
        <v>834</v>
      </c>
      <c r="B387" s="6" t="s">
        <v>623</v>
      </c>
      <c r="C387" s="6" t="s">
        <v>475</v>
      </c>
      <c r="D387" s="6" t="s">
        <v>171</v>
      </c>
      <c r="E387" s="6" t="s">
        <v>137</v>
      </c>
      <c r="F387" s="6" t="s">
        <v>68</v>
      </c>
      <c r="G387" s="6">
        <v>27</v>
      </c>
      <c r="H387" s="6">
        <v>37.68</v>
      </c>
      <c r="I387" s="6">
        <v>1017.36</v>
      </c>
      <c r="J387" s="6">
        <v>80.739999999999995</v>
      </c>
      <c r="K387" s="6">
        <v>180.62</v>
      </c>
      <c r="L387" s="6" t="s">
        <v>48</v>
      </c>
      <c r="M387" s="6" t="s">
        <v>25</v>
      </c>
      <c r="N387" s="6" t="s">
        <v>35</v>
      </c>
      <c r="P387" t="str">
        <f t="shared" si="15"/>
        <v>John</v>
      </c>
      <c r="Q387" t="str">
        <f t="shared" si="16"/>
        <v>Garcia</v>
      </c>
      <c r="R387" t="str">
        <f t="shared" si="17"/>
        <v>JoGa387</v>
      </c>
    </row>
    <row r="388" spans="1:18" x14ac:dyDescent="0.3">
      <c r="A388" s="6" t="s">
        <v>835</v>
      </c>
      <c r="B388" s="6" t="s">
        <v>836</v>
      </c>
      <c r="C388" s="6" t="s">
        <v>277</v>
      </c>
      <c r="D388" s="6" t="s">
        <v>37</v>
      </c>
      <c r="E388" s="6" t="s">
        <v>74</v>
      </c>
      <c r="F388" s="6" t="s">
        <v>75</v>
      </c>
      <c r="G388" s="6">
        <v>39</v>
      </c>
      <c r="H388" s="6">
        <v>36.340000000000003</v>
      </c>
      <c r="I388" s="6">
        <v>1417.26</v>
      </c>
      <c r="J388" s="6">
        <v>67</v>
      </c>
      <c r="K388" s="6">
        <v>375.26</v>
      </c>
      <c r="L388" s="6" t="s">
        <v>48</v>
      </c>
      <c r="M388" s="6" t="s">
        <v>34</v>
      </c>
      <c r="N388" s="6" t="s">
        <v>35</v>
      </c>
      <c r="P388" t="str">
        <f t="shared" si="15"/>
        <v>Michael</v>
      </c>
      <c r="Q388" t="str">
        <f t="shared" si="16"/>
        <v>Garcia</v>
      </c>
      <c r="R388" t="str">
        <f t="shared" si="17"/>
        <v>MiGa388</v>
      </c>
    </row>
    <row r="389" spans="1:18" x14ac:dyDescent="0.3">
      <c r="A389" s="6" t="s">
        <v>837</v>
      </c>
      <c r="B389" s="6" t="s">
        <v>838</v>
      </c>
      <c r="C389" s="6" t="s">
        <v>73</v>
      </c>
      <c r="D389" s="6" t="s">
        <v>51</v>
      </c>
      <c r="E389" s="6" t="s">
        <v>81</v>
      </c>
      <c r="F389" s="6" t="s">
        <v>68</v>
      </c>
      <c r="G389" s="6">
        <v>16</v>
      </c>
      <c r="H389" s="6">
        <v>24.33</v>
      </c>
      <c r="I389" s="6">
        <v>389.28</v>
      </c>
      <c r="J389" s="6">
        <v>22.33</v>
      </c>
      <c r="K389" s="6">
        <v>118.95</v>
      </c>
      <c r="L389" s="6" t="s">
        <v>24</v>
      </c>
      <c r="M389" s="6" t="s">
        <v>41</v>
      </c>
      <c r="N389" s="6" t="s">
        <v>76</v>
      </c>
      <c r="P389" t="str">
        <f t="shared" si="15"/>
        <v>John</v>
      </c>
      <c r="Q389" t="str">
        <f t="shared" si="16"/>
        <v>Miller</v>
      </c>
      <c r="R389" t="str">
        <f t="shared" si="17"/>
        <v>JoMi389</v>
      </c>
    </row>
    <row r="390" spans="1:18" x14ac:dyDescent="0.3">
      <c r="A390" s="6" t="s">
        <v>839</v>
      </c>
      <c r="B390" s="6" t="s">
        <v>547</v>
      </c>
      <c r="C390" s="6" t="s">
        <v>475</v>
      </c>
      <c r="D390" s="6" t="s">
        <v>123</v>
      </c>
      <c r="E390" s="6" t="s">
        <v>81</v>
      </c>
      <c r="F390" s="6" t="s">
        <v>68</v>
      </c>
      <c r="G390" s="6">
        <v>40</v>
      </c>
      <c r="H390" s="6">
        <v>22.28</v>
      </c>
      <c r="I390" s="6">
        <v>891.2</v>
      </c>
      <c r="J390" s="6">
        <v>32.729999999999997</v>
      </c>
      <c r="K390" s="6">
        <v>238.47</v>
      </c>
      <c r="L390" s="6" t="s">
        <v>24</v>
      </c>
      <c r="M390" s="6" t="s">
        <v>34</v>
      </c>
      <c r="N390" s="6" t="s">
        <v>76</v>
      </c>
      <c r="P390" t="str">
        <f t="shared" si="15"/>
        <v>John</v>
      </c>
      <c r="Q390" t="str">
        <f t="shared" si="16"/>
        <v>Garcia</v>
      </c>
      <c r="R390" t="str">
        <f t="shared" si="17"/>
        <v>JoGa390</v>
      </c>
    </row>
    <row r="391" spans="1:18" x14ac:dyDescent="0.3">
      <c r="A391" s="6" t="s">
        <v>840</v>
      </c>
      <c r="B391" s="6" t="s">
        <v>129</v>
      </c>
      <c r="C391" s="6" t="s">
        <v>170</v>
      </c>
      <c r="D391" s="6" t="s">
        <v>127</v>
      </c>
      <c r="E391" s="6" t="s">
        <v>86</v>
      </c>
      <c r="F391" s="6" t="s">
        <v>47</v>
      </c>
      <c r="G391" s="6">
        <v>45</v>
      </c>
      <c r="H391" s="6">
        <v>21.71</v>
      </c>
      <c r="I391" s="6">
        <v>976.95</v>
      </c>
      <c r="J391" s="6">
        <v>51.6</v>
      </c>
      <c r="K391" s="6">
        <v>351.6</v>
      </c>
      <c r="L391" s="6" t="s">
        <v>24</v>
      </c>
      <c r="M391" s="6" t="s">
        <v>25</v>
      </c>
      <c r="N391" s="6" t="s">
        <v>76</v>
      </c>
      <c r="P391" t="str">
        <f t="shared" ref="P391:P454" si="18">TRIM(MID(C391,FIND(",",C391)+1,LEN(C391)))</f>
        <v>Laura</v>
      </c>
      <c r="Q391" t="str">
        <f t="shared" ref="Q391:Q454" si="19">LEFT(C391,FIND(",",C391)-1)</f>
        <v>Miller</v>
      </c>
      <c r="R391" t="str">
        <f t="shared" ref="R391:R454" si="20">LEFT(P391,2)&amp;LEFT(Q391,2)&amp;ROW()</f>
        <v>LaMi391</v>
      </c>
    </row>
    <row r="392" spans="1:18" x14ac:dyDescent="0.3">
      <c r="A392" s="6" t="s">
        <v>841</v>
      </c>
      <c r="B392" s="6" t="s">
        <v>477</v>
      </c>
      <c r="C392" s="6" t="s">
        <v>288</v>
      </c>
      <c r="D392" s="6" t="s">
        <v>241</v>
      </c>
      <c r="E392" s="6" t="s">
        <v>74</v>
      </c>
      <c r="F392" s="6" t="s">
        <v>75</v>
      </c>
      <c r="G392" s="6">
        <v>8</v>
      </c>
      <c r="H392" s="6">
        <v>31.07</v>
      </c>
      <c r="I392" s="6">
        <v>248.56</v>
      </c>
      <c r="J392" s="6">
        <v>10.97</v>
      </c>
      <c r="K392" s="6">
        <v>37.590000000000003</v>
      </c>
      <c r="L392" s="6" t="s">
        <v>24</v>
      </c>
      <c r="M392" s="6" t="s">
        <v>34</v>
      </c>
      <c r="N392" s="6" t="s">
        <v>35</v>
      </c>
      <c r="P392" t="str">
        <f t="shared" si="18"/>
        <v>Laura</v>
      </c>
      <c r="Q392" t="str">
        <f t="shared" si="19"/>
        <v>Garcia</v>
      </c>
      <c r="R392" t="str">
        <f t="shared" si="20"/>
        <v>LaGa392</v>
      </c>
    </row>
    <row r="393" spans="1:18" x14ac:dyDescent="0.3">
      <c r="A393" s="6" t="s">
        <v>842</v>
      </c>
      <c r="B393" s="6" t="s">
        <v>843</v>
      </c>
      <c r="C393" s="6" t="s">
        <v>369</v>
      </c>
      <c r="D393" s="6" t="s">
        <v>171</v>
      </c>
      <c r="E393" s="6" t="s">
        <v>86</v>
      </c>
      <c r="F393" s="6" t="s">
        <v>47</v>
      </c>
      <c r="G393" s="6">
        <v>47</v>
      </c>
      <c r="H393" s="6">
        <v>21.93</v>
      </c>
      <c r="I393" s="6">
        <v>1030.71</v>
      </c>
      <c r="J393" s="6">
        <v>70.989999999999995</v>
      </c>
      <c r="K393" s="6">
        <v>360.47</v>
      </c>
      <c r="L393" s="6" t="s">
        <v>48</v>
      </c>
      <c r="M393" s="6" t="s">
        <v>25</v>
      </c>
      <c r="N393" s="6" t="s">
        <v>35</v>
      </c>
      <c r="P393" t="str">
        <f t="shared" si="18"/>
        <v>Emily</v>
      </c>
      <c r="Q393" t="str">
        <f t="shared" si="19"/>
        <v>Martinez</v>
      </c>
      <c r="R393" t="str">
        <f t="shared" si="20"/>
        <v>EmMa393</v>
      </c>
    </row>
    <row r="394" spans="1:18" x14ac:dyDescent="0.3">
      <c r="A394" s="6" t="s">
        <v>844</v>
      </c>
      <c r="B394" s="6" t="s">
        <v>845</v>
      </c>
      <c r="C394" s="6" t="s">
        <v>165</v>
      </c>
      <c r="D394" s="6" t="s">
        <v>171</v>
      </c>
      <c r="E394" s="6" t="s">
        <v>86</v>
      </c>
      <c r="F394" s="6" t="s">
        <v>47</v>
      </c>
      <c r="G394" s="6">
        <v>46</v>
      </c>
      <c r="H394" s="6">
        <v>21.46</v>
      </c>
      <c r="I394" s="6">
        <v>987.16</v>
      </c>
      <c r="J394" s="6">
        <v>21.64</v>
      </c>
      <c r="K394" s="6">
        <v>379.02</v>
      </c>
      <c r="L394" s="6" t="s">
        <v>33</v>
      </c>
      <c r="M394" s="6" t="s">
        <v>25</v>
      </c>
      <c r="N394" s="6" t="s">
        <v>35</v>
      </c>
      <c r="P394" t="str">
        <f t="shared" si="18"/>
        <v>Michael</v>
      </c>
      <c r="Q394" t="str">
        <f t="shared" si="19"/>
        <v>Brown</v>
      </c>
      <c r="R394" t="str">
        <f t="shared" si="20"/>
        <v>MiBr394</v>
      </c>
    </row>
    <row r="395" spans="1:18" x14ac:dyDescent="0.3">
      <c r="A395" s="6" t="s">
        <v>846</v>
      </c>
      <c r="B395" s="6" t="s">
        <v>847</v>
      </c>
      <c r="C395" s="6" t="s">
        <v>126</v>
      </c>
      <c r="D395" s="6" t="s">
        <v>21</v>
      </c>
      <c r="E395" s="6" t="s">
        <v>137</v>
      </c>
      <c r="F395" s="6" t="s">
        <v>68</v>
      </c>
      <c r="G395" s="6">
        <v>45</v>
      </c>
      <c r="H395" s="6">
        <v>47.1</v>
      </c>
      <c r="I395" s="6">
        <v>2119.5</v>
      </c>
      <c r="J395" s="6">
        <v>120.16</v>
      </c>
      <c r="K395" s="6">
        <v>739.34</v>
      </c>
      <c r="L395" s="6" t="s">
        <v>33</v>
      </c>
      <c r="M395" s="6" t="s">
        <v>34</v>
      </c>
      <c r="N395" s="6" t="s">
        <v>98</v>
      </c>
      <c r="P395" t="str">
        <f t="shared" si="18"/>
        <v>David</v>
      </c>
      <c r="Q395" t="str">
        <f t="shared" si="19"/>
        <v>Williams</v>
      </c>
      <c r="R395" t="str">
        <f t="shared" si="20"/>
        <v>DaWi395</v>
      </c>
    </row>
    <row r="396" spans="1:18" x14ac:dyDescent="0.3">
      <c r="A396" s="6" t="s">
        <v>848</v>
      </c>
      <c r="B396" s="6" t="s">
        <v>319</v>
      </c>
      <c r="C396" s="6" t="s">
        <v>20</v>
      </c>
      <c r="D396" s="6" t="s">
        <v>70</v>
      </c>
      <c r="E396" s="6" t="s">
        <v>22</v>
      </c>
      <c r="F396" s="6" t="s">
        <v>23</v>
      </c>
      <c r="G396" s="6">
        <v>2</v>
      </c>
      <c r="H396" s="6">
        <v>58.32</v>
      </c>
      <c r="I396" s="6">
        <v>116.64</v>
      </c>
      <c r="J396" s="6">
        <v>8.99</v>
      </c>
      <c r="K396" s="6">
        <v>37.65</v>
      </c>
      <c r="L396" s="6" t="s">
        <v>24</v>
      </c>
      <c r="M396" s="6" t="s">
        <v>34</v>
      </c>
      <c r="N396" s="6" t="s">
        <v>76</v>
      </c>
      <c r="P396" t="str">
        <f t="shared" si="18"/>
        <v>Emily</v>
      </c>
      <c r="Q396" t="str">
        <f t="shared" si="19"/>
        <v>Smith</v>
      </c>
      <c r="R396" t="str">
        <f t="shared" si="20"/>
        <v>EmSm396</v>
      </c>
    </row>
    <row r="397" spans="1:18" x14ac:dyDescent="0.3">
      <c r="A397" s="6" t="s">
        <v>849</v>
      </c>
      <c r="B397" s="6" t="s">
        <v>850</v>
      </c>
      <c r="C397" s="6" t="s">
        <v>475</v>
      </c>
      <c r="D397" s="6" t="s">
        <v>171</v>
      </c>
      <c r="E397" s="6" t="s">
        <v>22</v>
      </c>
      <c r="F397" s="6" t="s">
        <v>23</v>
      </c>
      <c r="G397" s="6">
        <v>31</v>
      </c>
      <c r="H397" s="6">
        <v>61.34</v>
      </c>
      <c r="I397" s="6">
        <v>1901.54</v>
      </c>
      <c r="J397" s="6">
        <v>147.43</v>
      </c>
      <c r="K397" s="6">
        <v>669.11</v>
      </c>
      <c r="L397" s="6" t="s">
        <v>33</v>
      </c>
      <c r="M397" s="6" t="s">
        <v>25</v>
      </c>
      <c r="N397" s="6" t="s">
        <v>35</v>
      </c>
      <c r="P397" t="str">
        <f t="shared" si="18"/>
        <v>John</v>
      </c>
      <c r="Q397" t="str">
        <f t="shared" si="19"/>
        <v>Garcia</v>
      </c>
      <c r="R397" t="str">
        <f t="shared" si="20"/>
        <v>JoGa397</v>
      </c>
    </row>
    <row r="398" spans="1:18" x14ac:dyDescent="0.3">
      <c r="A398" s="6" t="s">
        <v>851</v>
      </c>
      <c r="B398" s="6" t="s">
        <v>852</v>
      </c>
      <c r="C398" s="6" t="s">
        <v>266</v>
      </c>
      <c r="D398" s="6" t="s">
        <v>55</v>
      </c>
      <c r="E398" s="6" t="s">
        <v>74</v>
      </c>
      <c r="F398" s="6" t="s">
        <v>75</v>
      </c>
      <c r="G398" s="6">
        <v>15</v>
      </c>
      <c r="H398" s="6">
        <v>43.9</v>
      </c>
      <c r="I398" s="6">
        <v>658.5</v>
      </c>
      <c r="J398" s="6">
        <v>36.479999999999997</v>
      </c>
      <c r="K398" s="6">
        <v>247.02</v>
      </c>
      <c r="L398" s="6" t="s">
        <v>48</v>
      </c>
      <c r="M398" s="6" t="s">
        <v>34</v>
      </c>
      <c r="N398" s="6" t="s">
        <v>98</v>
      </c>
      <c r="P398" t="str">
        <f t="shared" si="18"/>
        <v>Daniel</v>
      </c>
      <c r="Q398" t="str">
        <f t="shared" si="19"/>
        <v>Brown</v>
      </c>
      <c r="R398" t="str">
        <f t="shared" si="20"/>
        <v>DaBr398</v>
      </c>
    </row>
    <row r="399" spans="1:18" x14ac:dyDescent="0.3">
      <c r="A399" s="6" t="s">
        <v>853</v>
      </c>
      <c r="B399" s="6" t="s">
        <v>854</v>
      </c>
      <c r="C399" s="6" t="s">
        <v>266</v>
      </c>
      <c r="D399" s="6" t="s">
        <v>37</v>
      </c>
      <c r="E399" s="6" t="s">
        <v>86</v>
      </c>
      <c r="F399" s="6" t="s">
        <v>47</v>
      </c>
      <c r="G399" s="6">
        <v>4</v>
      </c>
      <c r="H399" s="6">
        <v>20.53</v>
      </c>
      <c r="I399" s="6">
        <v>82.12</v>
      </c>
      <c r="J399" s="6">
        <v>4.05</v>
      </c>
      <c r="K399" s="6">
        <v>27.07</v>
      </c>
      <c r="L399" s="6" t="s">
        <v>24</v>
      </c>
      <c r="M399" s="6" t="s">
        <v>41</v>
      </c>
      <c r="N399" s="6" t="s">
        <v>35</v>
      </c>
      <c r="P399" t="str">
        <f t="shared" si="18"/>
        <v>Daniel</v>
      </c>
      <c r="Q399" t="str">
        <f t="shared" si="19"/>
        <v>Brown</v>
      </c>
      <c r="R399" t="str">
        <f t="shared" si="20"/>
        <v>DaBr399</v>
      </c>
    </row>
    <row r="400" spans="1:18" x14ac:dyDescent="0.3">
      <c r="A400" s="6" t="s">
        <v>855</v>
      </c>
      <c r="B400" s="6" t="s">
        <v>433</v>
      </c>
      <c r="C400" s="6" t="s">
        <v>238</v>
      </c>
      <c r="D400" s="6" t="s">
        <v>206</v>
      </c>
      <c r="E400" s="6" t="s">
        <v>63</v>
      </c>
      <c r="F400" s="6" t="s">
        <v>47</v>
      </c>
      <c r="G400" s="6">
        <v>6</v>
      </c>
      <c r="H400" s="6">
        <v>24.7</v>
      </c>
      <c r="I400" s="6">
        <v>148.19999999999999</v>
      </c>
      <c r="J400" s="6">
        <v>3.76</v>
      </c>
      <c r="K400" s="6">
        <v>24.44</v>
      </c>
      <c r="L400" s="6" t="s">
        <v>48</v>
      </c>
      <c r="M400" s="6" t="s">
        <v>25</v>
      </c>
      <c r="N400" s="6" t="s">
        <v>207</v>
      </c>
      <c r="P400" t="str">
        <f t="shared" si="18"/>
        <v>Sarah</v>
      </c>
      <c r="Q400" t="str">
        <f t="shared" si="19"/>
        <v>Garcia</v>
      </c>
      <c r="R400" t="str">
        <f t="shared" si="20"/>
        <v>SaGa400</v>
      </c>
    </row>
    <row r="401" spans="1:18" x14ac:dyDescent="0.3">
      <c r="A401" s="6" t="s">
        <v>856</v>
      </c>
      <c r="B401" s="6" t="s">
        <v>857</v>
      </c>
      <c r="C401" s="6" t="s">
        <v>521</v>
      </c>
      <c r="D401" s="6" t="s">
        <v>45</v>
      </c>
      <c r="E401" s="6" t="s">
        <v>86</v>
      </c>
      <c r="F401" s="6" t="s">
        <v>47</v>
      </c>
      <c r="G401" s="6">
        <v>19</v>
      </c>
      <c r="H401" s="6">
        <v>19.170000000000002</v>
      </c>
      <c r="I401" s="6">
        <v>364.23</v>
      </c>
      <c r="J401" s="6">
        <v>15.16</v>
      </c>
      <c r="K401" s="6">
        <v>106.82</v>
      </c>
      <c r="L401" s="6" t="s">
        <v>33</v>
      </c>
      <c r="M401" s="6" t="s">
        <v>34</v>
      </c>
      <c r="N401" s="6" t="s">
        <v>49</v>
      </c>
      <c r="P401" t="str">
        <f t="shared" si="18"/>
        <v>Daniel</v>
      </c>
      <c r="Q401" t="str">
        <f t="shared" si="19"/>
        <v>Garcia</v>
      </c>
      <c r="R401" t="str">
        <f t="shared" si="20"/>
        <v>DaGa401</v>
      </c>
    </row>
    <row r="402" spans="1:18" x14ac:dyDescent="0.3">
      <c r="A402" s="6" t="s">
        <v>858</v>
      </c>
      <c r="B402" s="6" t="s">
        <v>243</v>
      </c>
      <c r="C402" s="6" t="s">
        <v>630</v>
      </c>
      <c r="D402" s="6" t="s">
        <v>51</v>
      </c>
      <c r="E402" s="6" t="s">
        <v>56</v>
      </c>
      <c r="F402" s="6" t="s">
        <v>57</v>
      </c>
      <c r="G402" s="6">
        <v>2</v>
      </c>
      <c r="H402" s="6">
        <v>55.28</v>
      </c>
      <c r="I402" s="6">
        <v>110.56</v>
      </c>
      <c r="J402" s="6">
        <v>5.37</v>
      </c>
      <c r="K402" s="6">
        <v>25.19</v>
      </c>
      <c r="L402" s="6" t="s">
        <v>48</v>
      </c>
      <c r="M402" s="6" t="s">
        <v>34</v>
      </c>
      <c r="N402" s="6" t="s">
        <v>76</v>
      </c>
      <c r="P402" t="str">
        <f t="shared" si="18"/>
        <v>John</v>
      </c>
      <c r="Q402" t="str">
        <f t="shared" si="19"/>
        <v>Smith</v>
      </c>
      <c r="R402" t="str">
        <f t="shared" si="20"/>
        <v>JoSm402</v>
      </c>
    </row>
    <row r="403" spans="1:18" x14ac:dyDescent="0.3">
      <c r="A403" s="6" t="s">
        <v>859</v>
      </c>
      <c r="B403" s="6" t="s">
        <v>860</v>
      </c>
      <c r="C403" s="6" t="s">
        <v>334</v>
      </c>
      <c r="D403" s="6" t="s">
        <v>45</v>
      </c>
      <c r="E403" s="6" t="s">
        <v>74</v>
      </c>
      <c r="F403" s="6" t="s">
        <v>75</v>
      </c>
      <c r="G403" s="6">
        <v>49</v>
      </c>
      <c r="H403" s="6">
        <v>43.91</v>
      </c>
      <c r="I403" s="6">
        <v>2151.59</v>
      </c>
      <c r="J403" s="6">
        <v>63.55</v>
      </c>
      <c r="K403" s="6">
        <v>863.04</v>
      </c>
      <c r="L403" s="6" t="s">
        <v>24</v>
      </c>
      <c r="M403" s="6" t="s">
        <v>34</v>
      </c>
      <c r="N403" s="6" t="s">
        <v>49</v>
      </c>
      <c r="P403" t="str">
        <f t="shared" si="18"/>
        <v>Emma</v>
      </c>
      <c r="Q403" t="str">
        <f t="shared" si="19"/>
        <v>Garcia</v>
      </c>
      <c r="R403" t="str">
        <f t="shared" si="20"/>
        <v>EmGa403</v>
      </c>
    </row>
    <row r="404" spans="1:18" x14ac:dyDescent="0.3">
      <c r="A404" s="6" t="s">
        <v>861</v>
      </c>
      <c r="B404" s="6" t="s">
        <v>862</v>
      </c>
      <c r="C404" s="6" t="s">
        <v>307</v>
      </c>
      <c r="D404" s="6" t="s">
        <v>45</v>
      </c>
      <c r="E404" s="6" t="s">
        <v>74</v>
      </c>
      <c r="F404" s="6" t="s">
        <v>75</v>
      </c>
      <c r="G404" s="6">
        <v>29</v>
      </c>
      <c r="H404" s="6">
        <v>41.84</v>
      </c>
      <c r="I404" s="6">
        <v>1213.3599999999999</v>
      </c>
      <c r="J404" s="6">
        <v>56.83</v>
      </c>
      <c r="K404" s="6">
        <v>431.53</v>
      </c>
      <c r="L404" s="6" t="s">
        <v>48</v>
      </c>
      <c r="M404" s="6" t="s">
        <v>41</v>
      </c>
      <c r="N404" s="6" t="s">
        <v>49</v>
      </c>
      <c r="P404" t="str">
        <f t="shared" si="18"/>
        <v>Laura</v>
      </c>
      <c r="Q404" t="str">
        <f t="shared" si="19"/>
        <v>Hernandez</v>
      </c>
      <c r="R404" t="str">
        <f t="shared" si="20"/>
        <v>LaHe404</v>
      </c>
    </row>
    <row r="405" spans="1:18" x14ac:dyDescent="0.3">
      <c r="A405" s="6" t="s">
        <v>863</v>
      </c>
      <c r="B405" s="6" t="s">
        <v>798</v>
      </c>
      <c r="C405" s="6" t="s">
        <v>282</v>
      </c>
      <c r="D405" s="6" t="s">
        <v>141</v>
      </c>
      <c r="E405" s="6" t="s">
        <v>81</v>
      </c>
      <c r="F405" s="6" t="s">
        <v>68</v>
      </c>
      <c r="G405" s="6">
        <v>43</v>
      </c>
      <c r="H405" s="6">
        <v>27.41</v>
      </c>
      <c r="I405" s="6">
        <v>1178.6300000000001</v>
      </c>
      <c r="J405" s="6">
        <v>55.82</v>
      </c>
      <c r="K405" s="6">
        <v>456.31</v>
      </c>
      <c r="L405" s="6" t="s">
        <v>48</v>
      </c>
      <c r="M405" s="6" t="s">
        <v>34</v>
      </c>
      <c r="N405" s="6" t="s">
        <v>142</v>
      </c>
      <c r="P405" t="str">
        <f t="shared" si="18"/>
        <v>David</v>
      </c>
      <c r="Q405" t="str">
        <f t="shared" si="19"/>
        <v>Smith</v>
      </c>
      <c r="R405" t="str">
        <f t="shared" si="20"/>
        <v>DaSm405</v>
      </c>
    </row>
    <row r="406" spans="1:18" x14ac:dyDescent="0.3">
      <c r="A406" s="6" t="s">
        <v>864</v>
      </c>
      <c r="B406" s="6" t="s">
        <v>271</v>
      </c>
      <c r="C406" s="6" t="s">
        <v>743</v>
      </c>
      <c r="D406" s="6" t="s">
        <v>62</v>
      </c>
      <c r="E406" s="6" t="s">
        <v>63</v>
      </c>
      <c r="F406" s="6" t="s">
        <v>47</v>
      </c>
      <c r="G406" s="6">
        <v>28</v>
      </c>
      <c r="H406" s="6">
        <v>31.84</v>
      </c>
      <c r="I406" s="6">
        <v>891.52</v>
      </c>
      <c r="J406" s="6">
        <v>54.24</v>
      </c>
      <c r="K406" s="6">
        <v>277.27999999999997</v>
      </c>
      <c r="L406" s="6" t="s">
        <v>24</v>
      </c>
      <c r="M406" s="6" t="s">
        <v>34</v>
      </c>
      <c r="N406" s="6" t="s">
        <v>98</v>
      </c>
      <c r="P406" t="str">
        <f t="shared" si="18"/>
        <v>John</v>
      </c>
      <c r="Q406" t="str">
        <f t="shared" si="19"/>
        <v>Jones</v>
      </c>
      <c r="R406" t="str">
        <f t="shared" si="20"/>
        <v>JoJo406</v>
      </c>
    </row>
    <row r="407" spans="1:18" x14ac:dyDescent="0.3">
      <c r="A407" s="6" t="s">
        <v>865</v>
      </c>
      <c r="B407" s="6" t="s">
        <v>419</v>
      </c>
      <c r="C407" s="6" t="s">
        <v>462</v>
      </c>
      <c r="D407" s="6" t="s">
        <v>51</v>
      </c>
      <c r="E407" s="6" t="s">
        <v>74</v>
      </c>
      <c r="F407" s="6" t="s">
        <v>75</v>
      </c>
      <c r="G407" s="6">
        <v>42</v>
      </c>
      <c r="H407" s="6">
        <v>35.840000000000003</v>
      </c>
      <c r="I407" s="6">
        <v>1505.28</v>
      </c>
      <c r="J407" s="6">
        <v>60.65</v>
      </c>
      <c r="K407" s="6">
        <v>394.63</v>
      </c>
      <c r="L407" s="6" t="s">
        <v>48</v>
      </c>
      <c r="M407" s="6" t="s">
        <v>34</v>
      </c>
      <c r="N407" s="6" t="s">
        <v>76</v>
      </c>
      <c r="P407" t="str">
        <f t="shared" si="18"/>
        <v>John</v>
      </c>
      <c r="Q407" t="str">
        <f t="shared" si="19"/>
        <v>Brown</v>
      </c>
      <c r="R407" t="str">
        <f t="shared" si="20"/>
        <v>JoBr407</v>
      </c>
    </row>
    <row r="408" spans="1:18" x14ac:dyDescent="0.3">
      <c r="A408" s="6" t="s">
        <v>866</v>
      </c>
      <c r="B408" s="6" t="s">
        <v>581</v>
      </c>
      <c r="C408" s="6" t="s">
        <v>85</v>
      </c>
      <c r="D408" s="6" t="s">
        <v>116</v>
      </c>
      <c r="E408" s="6" t="s">
        <v>67</v>
      </c>
      <c r="F408" s="6" t="s">
        <v>68</v>
      </c>
      <c r="G408" s="6">
        <v>22</v>
      </c>
      <c r="H408" s="6">
        <v>30.55</v>
      </c>
      <c r="I408" s="6">
        <v>672.1</v>
      </c>
      <c r="J408" s="6">
        <v>46.8</v>
      </c>
      <c r="K408" s="6">
        <v>130.30000000000001</v>
      </c>
      <c r="L408" s="6" t="s">
        <v>33</v>
      </c>
      <c r="M408" s="6" t="s">
        <v>41</v>
      </c>
      <c r="N408" s="6" t="s">
        <v>76</v>
      </c>
      <c r="P408" t="str">
        <f t="shared" si="18"/>
        <v>Laura</v>
      </c>
      <c r="Q408" t="str">
        <f t="shared" si="19"/>
        <v>Martinez</v>
      </c>
      <c r="R408" t="str">
        <f t="shared" si="20"/>
        <v>LaMa408</v>
      </c>
    </row>
    <row r="409" spans="1:18" x14ac:dyDescent="0.3">
      <c r="A409" s="6" t="s">
        <v>867</v>
      </c>
      <c r="B409" s="6" t="s">
        <v>248</v>
      </c>
      <c r="C409" s="6" t="s">
        <v>352</v>
      </c>
      <c r="D409" s="6" t="s">
        <v>127</v>
      </c>
      <c r="E409" s="6" t="s">
        <v>137</v>
      </c>
      <c r="F409" s="6" t="s">
        <v>68</v>
      </c>
      <c r="G409" s="6">
        <v>13</v>
      </c>
      <c r="H409" s="6">
        <v>45.16</v>
      </c>
      <c r="I409" s="6">
        <v>587.08000000000004</v>
      </c>
      <c r="J409" s="6">
        <v>29.68</v>
      </c>
      <c r="K409" s="6">
        <v>193.4</v>
      </c>
      <c r="L409" s="6" t="s">
        <v>33</v>
      </c>
      <c r="M409" s="6" t="s">
        <v>34</v>
      </c>
      <c r="N409" s="6" t="s">
        <v>76</v>
      </c>
      <c r="P409" t="str">
        <f t="shared" si="18"/>
        <v>David</v>
      </c>
      <c r="Q409" t="str">
        <f t="shared" si="19"/>
        <v>Johnson</v>
      </c>
      <c r="R409" t="str">
        <f t="shared" si="20"/>
        <v>DaJo409</v>
      </c>
    </row>
    <row r="410" spans="1:18" x14ac:dyDescent="0.3">
      <c r="A410" s="6" t="s">
        <v>868</v>
      </c>
      <c r="B410" s="6" t="s">
        <v>617</v>
      </c>
      <c r="C410" s="6" t="s">
        <v>227</v>
      </c>
      <c r="D410" s="6" t="s">
        <v>206</v>
      </c>
      <c r="E410" s="6" t="s">
        <v>22</v>
      </c>
      <c r="F410" s="6" t="s">
        <v>23</v>
      </c>
      <c r="G410" s="6">
        <v>40</v>
      </c>
      <c r="H410" s="6">
        <v>45.23</v>
      </c>
      <c r="I410" s="6">
        <v>1809.2</v>
      </c>
      <c r="J410" s="6">
        <v>136.25</v>
      </c>
      <c r="K410" s="6">
        <v>272.95</v>
      </c>
      <c r="L410" s="6" t="s">
        <v>48</v>
      </c>
      <c r="M410" s="6" t="s">
        <v>41</v>
      </c>
      <c r="N410" s="6" t="s">
        <v>207</v>
      </c>
      <c r="P410" t="str">
        <f t="shared" si="18"/>
        <v>Emma</v>
      </c>
      <c r="Q410" t="str">
        <f t="shared" si="19"/>
        <v>Martinez</v>
      </c>
      <c r="R410" t="str">
        <f t="shared" si="20"/>
        <v>EmMa410</v>
      </c>
    </row>
    <row r="411" spans="1:18" x14ac:dyDescent="0.3">
      <c r="A411" s="6" t="s">
        <v>869</v>
      </c>
      <c r="B411" s="6" t="s">
        <v>629</v>
      </c>
      <c r="C411" s="6" t="s">
        <v>410</v>
      </c>
      <c r="D411" s="6" t="s">
        <v>127</v>
      </c>
      <c r="E411" s="6" t="s">
        <v>32</v>
      </c>
      <c r="F411" s="6" t="s">
        <v>23</v>
      </c>
      <c r="G411" s="6">
        <v>41</v>
      </c>
      <c r="H411" s="6">
        <v>22.78</v>
      </c>
      <c r="I411" s="6">
        <v>933.98</v>
      </c>
      <c r="J411" s="6">
        <v>38.369999999999997</v>
      </c>
      <c r="K411" s="6">
        <v>157.61000000000001</v>
      </c>
      <c r="L411" s="6" t="s">
        <v>33</v>
      </c>
      <c r="M411" s="6" t="s">
        <v>25</v>
      </c>
      <c r="N411" s="6" t="s">
        <v>76</v>
      </c>
      <c r="P411" t="str">
        <f t="shared" si="18"/>
        <v>James</v>
      </c>
      <c r="Q411" t="str">
        <f t="shared" si="19"/>
        <v>Smith</v>
      </c>
      <c r="R411" t="str">
        <f t="shared" si="20"/>
        <v>JaSm411</v>
      </c>
    </row>
    <row r="412" spans="1:18" x14ac:dyDescent="0.3">
      <c r="A412" s="6" t="s">
        <v>870</v>
      </c>
      <c r="B412" s="6" t="s">
        <v>871</v>
      </c>
      <c r="C412" s="6" t="s">
        <v>165</v>
      </c>
      <c r="D412" s="6" t="s">
        <v>171</v>
      </c>
      <c r="E412" s="6" t="s">
        <v>81</v>
      </c>
      <c r="F412" s="6" t="s">
        <v>68</v>
      </c>
      <c r="G412" s="6">
        <v>34</v>
      </c>
      <c r="H412" s="6">
        <v>24.21</v>
      </c>
      <c r="I412" s="6">
        <v>823.14</v>
      </c>
      <c r="J412" s="6">
        <v>58.25</v>
      </c>
      <c r="K412" s="6">
        <v>237.89</v>
      </c>
      <c r="L412" s="6" t="s">
        <v>24</v>
      </c>
      <c r="M412" s="6" t="s">
        <v>25</v>
      </c>
      <c r="N412" s="6" t="s">
        <v>35</v>
      </c>
      <c r="P412" t="str">
        <f t="shared" si="18"/>
        <v>Michael</v>
      </c>
      <c r="Q412" t="str">
        <f t="shared" si="19"/>
        <v>Brown</v>
      </c>
      <c r="R412" t="str">
        <f t="shared" si="20"/>
        <v>MiBr412</v>
      </c>
    </row>
    <row r="413" spans="1:18" x14ac:dyDescent="0.3">
      <c r="A413" s="6" t="s">
        <v>872</v>
      </c>
      <c r="B413" s="6" t="s">
        <v>199</v>
      </c>
      <c r="C413" s="6" t="s">
        <v>185</v>
      </c>
      <c r="D413" s="6" t="s">
        <v>31</v>
      </c>
      <c r="E413" s="6" t="s">
        <v>63</v>
      </c>
      <c r="F413" s="6" t="s">
        <v>47</v>
      </c>
      <c r="G413" s="6">
        <v>46</v>
      </c>
      <c r="H413" s="6">
        <v>34.64</v>
      </c>
      <c r="I413" s="6">
        <v>1593.44</v>
      </c>
      <c r="J413" s="6">
        <v>45.93</v>
      </c>
      <c r="K413" s="6">
        <v>627.51</v>
      </c>
      <c r="L413" s="6" t="s">
        <v>48</v>
      </c>
      <c r="M413" s="6" t="s">
        <v>25</v>
      </c>
      <c r="N413" s="6" t="s">
        <v>35</v>
      </c>
      <c r="P413" t="str">
        <f t="shared" si="18"/>
        <v>Laura</v>
      </c>
      <c r="Q413" t="str">
        <f t="shared" si="19"/>
        <v>Williams</v>
      </c>
      <c r="R413" t="str">
        <f t="shared" si="20"/>
        <v>LaWi413</v>
      </c>
    </row>
    <row r="414" spans="1:18" x14ac:dyDescent="0.3">
      <c r="A414" s="6" t="s">
        <v>873</v>
      </c>
      <c r="B414" s="6" t="s">
        <v>874</v>
      </c>
      <c r="C414" s="6" t="s">
        <v>227</v>
      </c>
      <c r="D414" s="6" t="s">
        <v>55</v>
      </c>
      <c r="E414" s="6" t="s">
        <v>63</v>
      </c>
      <c r="F414" s="6" t="s">
        <v>47</v>
      </c>
      <c r="G414" s="6">
        <v>10</v>
      </c>
      <c r="H414" s="6">
        <v>27.06</v>
      </c>
      <c r="I414" s="6">
        <v>270.60000000000002</v>
      </c>
      <c r="J414" s="6">
        <v>15.35</v>
      </c>
      <c r="K414" s="6">
        <v>55.25</v>
      </c>
      <c r="L414" s="6" t="s">
        <v>24</v>
      </c>
      <c r="M414" s="6" t="s">
        <v>41</v>
      </c>
      <c r="N414" s="6" t="s">
        <v>98</v>
      </c>
      <c r="P414" t="str">
        <f t="shared" si="18"/>
        <v>Emma</v>
      </c>
      <c r="Q414" t="str">
        <f t="shared" si="19"/>
        <v>Martinez</v>
      </c>
      <c r="R414" t="str">
        <f t="shared" si="20"/>
        <v>EmMa414</v>
      </c>
    </row>
    <row r="415" spans="1:18" x14ac:dyDescent="0.3">
      <c r="A415" s="6" t="s">
        <v>875</v>
      </c>
      <c r="B415" s="6" t="s">
        <v>642</v>
      </c>
      <c r="C415" s="6" t="s">
        <v>222</v>
      </c>
      <c r="D415" s="6" t="s">
        <v>31</v>
      </c>
      <c r="E415" s="6" t="s">
        <v>32</v>
      </c>
      <c r="F415" s="6" t="s">
        <v>23</v>
      </c>
      <c r="G415" s="6">
        <v>11</v>
      </c>
      <c r="H415" s="6">
        <v>27.74</v>
      </c>
      <c r="I415" s="6">
        <v>305.14</v>
      </c>
      <c r="J415" s="6">
        <v>10.81</v>
      </c>
      <c r="K415" s="6">
        <v>96.33</v>
      </c>
      <c r="L415" s="6" t="s">
        <v>33</v>
      </c>
      <c r="M415" s="6" t="s">
        <v>41</v>
      </c>
      <c r="N415" s="6" t="s">
        <v>35</v>
      </c>
      <c r="P415" t="str">
        <f t="shared" si="18"/>
        <v>Sarah</v>
      </c>
      <c r="Q415" t="str">
        <f t="shared" si="19"/>
        <v>Brown</v>
      </c>
      <c r="R415" t="str">
        <f t="shared" si="20"/>
        <v>SaBr415</v>
      </c>
    </row>
    <row r="416" spans="1:18" x14ac:dyDescent="0.3">
      <c r="A416" s="6" t="s">
        <v>876</v>
      </c>
      <c r="B416" s="6" t="s">
        <v>877</v>
      </c>
      <c r="C416" s="6" t="s">
        <v>157</v>
      </c>
      <c r="D416" s="6" t="s">
        <v>55</v>
      </c>
      <c r="E416" s="6" t="s">
        <v>137</v>
      </c>
      <c r="F416" s="6" t="s">
        <v>68</v>
      </c>
      <c r="G416" s="6">
        <v>29</v>
      </c>
      <c r="H416" s="6">
        <v>38.08</v>
      </c>
      <c r="I416" s="6">
        <v>1104.32</v>
      </c>
      <c r="J416" s="6">
        <v>25.63</v>
      </c>
      <c r="K416" s="6">
        <v>266.69</v>
      </c>
      <c r="L416" s="6" t="s">
        <v>33</v>
      </c>
      <c r="M416" s="6" t="s">
        <v>41</v>
      </c>
      <c r="N416" s="6" t="s">
        <v>98</v>
      </c>
      <c r="P416" t="str">
        <f t="shared" si="18"/>
        <v>Michael</v>
      </c>
      <c r="Q416" t="str">
        <f t="shared" si="19"/>
        <v>Martinez</v>
      </c>
      <c r="R416" t="str">
        <f t="shared" si="20"/>
        <v>MiMa416</v>
      </c>
    </row>
    <row r="417" spans="1:18" x14ac:dyDescent="0.3">
      <c r="A417" s="6" t="s">
        <v>878</v>
      </c>
      <c r="B417" s="6" t="s">
        <v>340</v>
      </c>
      <c r="C417" s="6" t="s">
        <v>191</v>
      </c>
      <c r="D417" s="6" t="s">
        <v>55</v>
      </c>
      <c r="E417" s="6" t="s">
        <v>137</v>
      </c>
      <c r="F417" s="6" t="s">
        <v>68</v>
      </c>
      <c r="G417" s="6">
        <v>18</v>
      </c>
      <c r="H417" s="6">
        <v>43.65</v>
      </c>
      <c r="I417" s="6">
        <v>785.7</v>
      </c>
      <c r="J417" s="6">
        <v>54.52</v>
      </c>
      <c r="K417" s="6">
        <v>227.18</v>
      </c>
      <c r="L417" s="6" t="s">
        <v>33</v>
      </c>
      <c r="M417" s="6" t="s">
        <v>25</v>
      </c>
      <c r="N417" s="6" t="s">
        <v>98</v>
      </c>
      <c r="P417" t="str">
        <f t="shared" si="18"/>
        <v>Michael</v>
      </c>
      <c r="Q417" t="str">
        <f t="shared" si="19"/>
        <v>Smith</v>
      </c>
      <c r="R417" t="str">
        <f t="shared" si="20"/>
        <v>MiSm417</v>
      </c>
    </row>
    <row r="418" spans="1:18" x14ac:dyDescent="0.3">
      <c r="A418" s="6" t="s">
        <v>879</v>
      </c>
      <c r="B418" s="6" t="s">
        <v>488</v>
      </c>
      <c r="C418" s="6" t="s">
        <v>559</v>
      </c>
      <c r="D418" s="6" t="s">
        <v>171</v>
      </c>
      <c r="E418" s="6" t="s">
        <v>22</v>
      </c>
      <c r="F418" s="6" t="s">
        <v>23</v>
      </c>
      <c r="G418" s="6">
        <v>49</v>
      </c>
      <c r="H418" s="6">
        <v>51.97</v>
      </c>
      <c r="I418" s="6">
        <v>2546.5300000000002</v>
      </c>
      <c r="J418" s="6">
        <v>112.26</v>
      </c>
      <c r="K418" s="6">
        <v>719.27</v>
      </c>
      <c r="L418" s="6" t="s">
        <v>33</v>
      </c>
      <c r="M418" s="6" t="s">
        <v>34</v>
      </c>
      <c r="N418" s="6" t="s">
        <v>35</v>
      </c>
      <c r="P418" t="str">
        <f t="shared" si="18"/>
        <v>David</v>
      </c>
      <c r="Q418" t="str">
        <f t="shared" si="19"/>
        <v>Brown</v>
      </c>
      <c r="R418" t="str">
        <f t="shared" si="20"/>
        <v>DaBr418</v>
      </c>
    </row>
    <row r="419" spans="1:18" x14ac:dyDescent="0.3">
      <c r="A419" s="6" t="s">
        <v>880</v>
      </c>
      <c r="B419" s="6" t="s">
        <v>754</v>
      </c>
      <c r="C419" s="6" t="s">
        <v>197</v>
      </c>
      <c r="D419" s="6" t="s">
        <v>116</v>
      </c>
      <c r="E419" s="6" t="s">
        <v>74</v>
      </c>
      <c r="F419" s="6" t="s">
        <v>75</v>
      </c>
      <c r="G419" s="6">
        <v>13</v>
      </c>
      <c r="H419" s="6">
        <v>36.85</v>
      </c>
      <c r="I419" s="6">
        <v>479.05</v>
      </c>
      <c r="J419" s="6">
        <v>10.15</v>
      </c>
      <c r="K419" s="6">
        <v>143.9</v>
      </c>
      <c r="L419" s="6" t="s">
        <v>24</v>
      </c>
      <c r="M419" s="6" t="s">
        <v>41</v>
      </c>
      <c r="N419" s="6" t="s">
        <v>76</v>
      </c>
      <c r="P419" t="str">
        <f t="shared" si="18"/>
        <v>Emily</v>
      </c>
      <c r="Q419" t="str">
        <f t="shared" si="19"/>
        <v>Garcia</v>
      </c>
      <c r="R419" t="str">
        <f t="shared" si="20"/>
        <v>EmGa419</v>
      </c>
    </row>
    <row r="420" spans="1:18" x14ac:dyDescent="0.3">
      <c r="A420" s="6" t="s">
        <v>881</v>
      </c>
      <c r="B420" s="6" t="s">
        <v>882</v>
      </c>
      <c r="C420" s="6" t="s">
        <v>122</v>
      </c>
      <c r="D420" s="6" t="s">
        <v>55</v>
      </c>
      <c r="E420" s="6" t="s">
        <v>46</v>
      </c>
      <c r="F420" s="6" t="s">
        <v>47</v>
      </c>
      <c r="G420" s="6">
        <v>33</v>
      </c>
      <c r="H420" s="6">
        <v>38.520000000000003</v>
      </c>
      <c r="I420" s="6">
        <v>1271.1600000000001</v>
      </c>
      <c r="J420" s="6">
        <v>81.459999999999994</v>
      </c>
      <c r="K420" s="6">
        <v>133.69999999999999</v>
      </c>
      <c r="L420" s="6" t="s">
        <v>24</v>
      </c>
      <c r="M420" s="6" t="s">
        <v>25</v>
      </c>
      <c r="N420" s="6" t="s">
        <v>98</v>
      </c>
      <c r="P420" t="str">
        <f t="shared" si="18"/>
        <v>Sarah</v>
      </c>
      <c r="Q420" t="str">
        <f t="shared" si="19"/>
        <v>Davis</v>
      </c>
      <c r="R420" t="str">
        <f t="shared" si="20"/>
        <v>SaDa420</v>
      </c>
    </row>
    <row r="421" spans="1:18" x14ac:dyDescent="0.3">
      <c r="A421" s="6" t="s">
        <v>883</v>
      </c>
      <c r="B421" s="6" t="s">
        <v>169</v>
      </c>
      <c r="C421" s="6" t="s">
        <v>381</v>
      </c>
      <c r="D421" s="6" t="s">
        <v>51</v>
      </c>
      <c r="E421" s="6" t="s">
        <v>81</v>
      </c>
      <c r="F421" s="6" t="s">
        <v>68</v>
      </c>
      <c r="G421" s="6">
        <v>41</v>
      </c>
      <c r="H421" s="6">
        <v>26.98</v>
      </c>
      <c r="I421" s="6">
        <v>1106.18</v>
      </c>
      <c r="J421" s="6">
        <v>51.77</v>
      </c>
      <c r="K421" s="6">
        <v>418.91</v>
      </c>
      <c r="L421" s="6" t="s">
        <v>48</v>
      </c>
      <c r="M421" s="6" t="s">
        <v>34</v>
      </c>
      <c r="N421" s="6" t="s">
        <v>76</v>
      </c>
      <c r="P421" t="str">
        <f t="shared" si="18"/>
        <v>David</v>
      </c>
      <c r="Q421" t="str">
        <f t="shared" si="19"/>
        <v>Hernandez</v>
      </c>
      <c r="R421" t="str">
        <f t="shared" si="20"/>
        <v>DaHe421</v>
      </c>
    </row>
    <row r="422" spans="1:18" x14ac:dyDescent="0.3">
      <c r="A422" s="6" t="s">
        <v>884</v>
      </c>
      <c r="B422" s="6" t="s">
        <v>633</v>
      </c>
      <c r="C422" s="6" t="s">
        <v>157</v>
      </c>
      <c r="D422" s="6" t="s">
        <v>171</v>
      </c>
      <c r="E422" s="6" t="s">
        <v>81</v>
      </c>
      <c r="F422" s="6" t="s">
        <v>68</v>
      </c>
      <c r="G422" s="6">
        <v>4</v>
      </c>
      <c r="H422" s="6">
        <v>23.56</v>
      </c>
      <c r="I422" s="6">
        <v>94.24</v>
      </c>
      <c r="J422" s="6">
        <v>7.03</v>
      </c>
      <c r="K422" s="6">
        <v>25.21</v>
      </c>
      <c r="L422" s="6" t="s">
        <v>48</v>
      </c>
      <c r="M422" s="6" t="s">
        <v>41</v>
      </c>
      <c r="N422" s="6" t="s">
        <v>35</v>
      </c>
      <c r="P422" t="str">
        <f t="shared" si="18"/>
        <v>Michael</v>
      </c>
      <c r="Q422" t="str">
        <f t="shared" si="19"/>
        <v>Martinez</v>
      </c>
      <c r="R422" t="str">
        <f t="shared" si="20"/>
        <v>MiMa422</v>
      </c>
    </row>
    <row r="423" spans="1:18" x14ac:dyDescent="0.3">
      <c r="A423" s="6" t="s">
        <v>885</v>
      </c>
      <c r="B423" s="6" t="s">
        <v>699</v>
      </c>
      <c r="C423" s="6" t="s">
        <v>471</v>
      </c>
      <c r="D423" s="6" t="s">
        <v>70</v>
      </c>
      <c r="E423" s="6" t="s">
        <v>46</v>
      </c>
      <c r="F423" s="6" t="s">
        <v>47</v>
      </c>
      <c r="G423" s="6">
        <v>17</v>
      </c>
      <c r="H423" s="6">
        <v>57.14</v>
      </c>
      <c r="I423" s="6">
        <v>971.38</v>
      </c>
      <c r="J423" s="6">
        <v>70.010000000000005</v>
      </c>
      <c r="K423" s="6">
        <v>357.37</v>
      </c>
      <c r="L423" s="6" t="s">
        <v>48</v>
      </c>
      <c r="M423" s="6" t="s">
        <v>34</v>
      </c>
      <c r="N423" s="6" t="s">
        <v>76</v>
      </c>
      <c r="P423" t="str">
        <f t="shared" si="18"/>
        <v>Emily</v>
      </c>
      <c r="Q423" t="str">
        <f t="shared" si="19"/>
        <v>Johnson</v>
      </c>
      <c r="R423" t="str">
        <f t="shared" si="20"/>
        <v>EmJo423</v>
      </c>
    </row>
    <row r="424" spans="1:18" x14ac:dyDescent="0.3">
      <c r="A424" s="6" t="s">
        <v>886</v>
      </c>
      <c r="B424" s="6" t="s">
        <v>887</v>
      </c>
      <c r="C424" s="6" t="s">
        <v>182</v>
      </c>
      <c r="D424" s="6" t="s">
        <v>206</v>
      </c>
      <c r="E424" s="6" t="s">
        <v>74</v>
      </c>
      <c r="F424" s="6" t="s">
        <v>75</v>
      </c>
      <c r="G424" s="6">
        <v>44</v>
      </c>
      <c r="H424" s="6">
        <v>38.14</v>
      </c>
      <c r="I424" s="6">
        <v>1678.16</v>
      </c>
      <c r="J424" s="6">
        <v>124.49</v>
      </c>
      <c r="K424" s="6">
        <v>453.67</v>
      </c>
      <c r="L424" s="6" t="s">
        <v>48</v>
      </c>
      <c r="M424" s="6" t="s">
        <v>25</v>
      </c>
      <c r="N424" s="6" t="s">
        <v>207</v>
      </c>
      <c r="P424" t="str">
        <f t="shared" si="18"/>
        <v>John</v>
      </c>
      <c r="Q424" t="str">
        <f t="shared" si="19"/>
        <v>Hernandez</v>
      </c>
      <c r="R424" t="str">
        <f t="shared" si="20"/>
        <v>JoHe424</v>
      </c>
    </row>
    <row r="425" spans="1:18" x14ac:dyDescent="0.3">
      <c r="A425" s="6" t="s">
        <v>888</v>
      </c>
      <c r="B425" s="6" t="s">
        <v>726</v>
      </c>
      <c r="C425" s="6" t="s">
        <v>165</v>
      </c>
      <c r="D425" s="6" t="s">
        <v>141</v>
      </c>
      <c r="E425" s="6" t="s">
        <v>32</v>
      </c>
      <c r="F425" s="6" t="s">
        <v>23</v>
      </c>
      <c r="G425" s="6">
        <v>14</v>
      </c>
      <c r="H425" s="6">
        <v>24</v>
      </c>
      <c r="I425" s="6">
        <v>336</v>
      </c>
      <c r="J425" s="6">
        <v>22.88</v>
      </c>
      <c r="K425" s="6">
        <v>61.12</v>
      </c>
      <c r="L425" s="6" t="s">
        <v>33</v>
      </c>
      <c r="M425" s="6" t="s">
        <v>34</v>
      </c>
      <c r="N425" s="6" t="s">
        <v>142</v>
      </c>
      <c r="P425" t="str">
        <f t="shared" si="18"/>
        <v>Michael</v>
      </c>
      <c r="Q425" t="str">
        <f t="shared" si="19"/>
        <v>Brown</v>
      </c>
      <c r="R425" t="str">
        <f t="shared" si="20"/>
        <v>MiBr425</v>
      </c>
    </row>
    <row r="426" spans="1:18" x14ac:dyDescent="0.3">
      <c r="A426" s="6" t="s">
        <v>889</v>
      </c>
      <c r="B426" s="6" t="s">
        <v>890</v>
      </c>
      <c r="C426" s="6" t="s">
        <v>126</v>
      </c>
      <c r="D426" s="6" t="s">
        <v>51</v>
      </c>
      <c r="E426" s="6" t="s">
        <v>81</v>
      </c>
      <c r="F426" s="6" t="s">
        <v>68</v>
      </c>
      <c r="G426" s="6">
        <v>50</v>
      </c>
      <c r="H426" s="6">
        <v>26.91</v>
      </c>
      <c r="I426" s="6">
        <v>1345.5</v>
      </c>
      <c r="J426" s="6">
        <v>91.7</v>
      </c>
      <c r="K426" s="6">
        <v>478.8</v>
      </c>
      <c r="L426" s="6" t="s">
        <v>48</v>
      </c>
      <c r="M426" s="6" t="s">
        <v>25</v>
      </c>
      <c r="N426" s="6" t="s">
        <v>76</v>
      </c>
      <c r="P426" t="str">
        <f t="shared" si="18"/>
        <v>David</v>
      </c>
      <c r="Q426" t="str">
        <f t="shared" si="19"/>
        <v>Williams</v>
      </c>
      <c r="R426" t="str">
        <f t="shared" si="20"/>
        <v>DaWi426</v>
      </c>
    </row>
    <row r="427" spans="1:18" x14ac:dyDescent="0.3">
      <c r="A427" s="6" t="s">
        <v>891</v>
      </c>
      <c r="B427" s="6" t="s">
        <v>892</v>
      </c>
      <c r="C427" s="6" t="s">
        <v>455</v>
      </c>
      <c r="D427" s="6" t="s">
        <v>37</v>
      </c>
      <c r="E427" s="6" t="s">
        <v>56</v>
      </c>
      <c r="F427" s="6" t="s">
        <v>57</v>
      </c>
      <c r="G427" s="6">
        <v>7</v>
      </c>
      <c r="H427" s="6">
        <v>59.41</v>
      </c>
      <c r="I427" s="6">
        <v>415.87</v>
      </c>
      <c r="J427" s="6">
        <v>25.51</v>
      </c>
      <c r="K427" s="6">
        <v>110.36</v>
      </c>
      <c r="L427" s="6" t="s">
        <v>24</v>
      </c>
      <c r="M427" s="6" t="s">
        <v>41</v>
      </c>
      <c r="N427" s="6" t="s">
        <v>35</v>
      </c>
      <c r="P427" t="str">
        <f t="shared" si="18"/>
        <v>Michael</v>
      </c>
      <c r="Q427" t="str">
        <f t="shared" si="19"/>
        <v>Hernandez</v>
      </c>
      <c r="R427" t="str">
        <f t="shared" si="20"/>
        <v>MiHe427</v>
      </c>
    </row>
    <row r="428" spans="1:18" x14ac:dyDescent="0.3">
      <c r="A428" s="6" t="s">
        <v>893</v>
      </c>
      <c r="B428" s="6" t="s">
        <v>416</v>
      </c>
      <c r="C428" s="6" t="s">
        <v>396</v>
      </c>
      <c r="D428" s="6" t="s">
        <v>127</v>
      </c>
      <c r="E428" s="6" t="s">
        <v>74</v>
      </c>
      <c r="F428" s="6" t="s">
        <v>75</v>
      </c>
      <c r="G428" s="6">
        <v>48</v>
      </c>
      <c r="H428" s="6">
        <v>37.31</v>
      </c>
      <c r="I428" s="6">
        <v>1790.88</v>
      </c>
      <c r="J428" s="6">
        <v>67.45</v>
      </c>
      <c r="K428" s="6">
        <v>523.42999999999995</v>
      </c>
      <c r="L428" s="6" t="s">
        <v>24</v>
      </c>
      <c r="M428" s="6" t="s">
        <v>34</v>
      </c>
      <c r="N428" s="6" t="s">
        <v>76</v>
      </c>
      <c r="P428" t="str">
        <f t="shared" si="18"/>
        <v>David</v>
      </c>
      <c r="Q428" t="str">
        <f t="shared" si="19"/>
        <v>Garcia</v>
      </c>
      <c r="R428" t="str">
        <f t="shared" si="20"/>
        <v>DaGa428</v>
      </c>
    </row>
    <row r="429" spans="1:18" x14ac:dyDescent="0.3">
      <c r="A429" s="6" t="s">
        <v>894</v>
      </c>
      <c r="B429" s="6" t="s">
        <v>133</v>
      </c>
      <c r="C429" s="6" t="s">
        <v>285</v>
      </c>
      <c r="D429" s="6" t="s">
        <v>123</v>
      </c>
      <c r="E429" s="6" t="s">
        <v>56</v>
      </c>
      <c r="F429" s="6" t="s">
        <v>57</v>
      </c>
      <c r="G429" s="6">
        <v>38</v>
      </c>
      <c r="H429" s="6">
        <v>52.91</v>
      </c>
      <c r="I429" s="6">
        <v>2010.58</v>
      </c>
      <c r="J429" s="6">
        <v>94.22</v>
      </c>
      <c r="K429" s="6">
        <v>396.36</v>
      </c>
      <c r="L429" s="6" t="s">
        <v>24</v>
      </c>
      <c r="M429" s="6" t="s">
        <v>25</v>
      </c>
      <c r="N429" s="6" t="s">
        <v>76</v>
      </c>
      <c r="P429" t="str">
        <f t="shared" si="18"/>
        <v>Sophia</v>
      </c>
      <c r="Q429" t="str">
        <f t="shared" si="19"/>
        <v>Miller</v>
      </c>
      <c r="R429" t="str">
        <f t="shared" si="20"/>
        <v>SoMi429</v>
      </c>
    </row>
    <row r="430" spans="1:18" x14ac:dyDescent="0.3">
      <c r="A430" s="6" t="s">
        <v>895</v>
      </c>
      <c r="B430" s="6" t="s">
        <v>896</v>
      </c>
      <c r="C430" s="6" t="s">
        <v>113</v>
      </c>
      <c r="D430" s="6" t="s">
        <v>31</v>
      </c>
      <c r="E430" s="6" t="s">
        <v>32</v>
      </c>
      <c r="F430" s="6" t="s">
        <v>23</v>
      </c>
      <c r="G430" s="6">
        <v>14</v>
      </c>
      <c r="H430" s="6">
        <v>27.09</v>
      </c>
      <c r="I430" s="6">
        <v>379.26</v>
      </c>
      <c r="J430" s="6">
        <v>14.42</v>
      </c>
      <c r="K430" s="6">
        <v>112.84</v>
      </c>
      <c r="L430" s="6" t="s">
        <v>48</v>
      </c>
      <c r="M430" s="6" t="s">
        <v>41</v>
      </c>
      <c r="N430" s="6" t="s">
        <v>35</v>
      </c>
      <c r="P430" t="str">
        <f t="shared" si="18"/>
        <v>James</v>
      </c>
      <c r="Q430" t="str">
        <f t="shared" si="19"/>
        <v>Davis</v>
      </c>
      <c r="R430" t="str">
        <f t="shared" si="20"/>
        <v>JaDa430</v>
      </c>
    </row>
    <row r="431" spans="1:18" x14ac:dyDescent="0.3">
      <c r="A431" s="6" t="s">
        <v>897</v>
      </c>
      <c r="B431" s="6" t="s">
        <v>118</v>
      </c>
      <c r="C431" s="6" t="s">
        <v>182</v>
      </c>
      <c r="D431" s="6" t="s">
        <v>127</v>
      </c>
      <c r="E431" s="6" t="s">
        <v>67</v>
      </c>
      <c r="F431" s="6" t="s">
        <v>68</v>
      </c>
      <c r="G431" s="6">
        <v>41</v>
      </c>
      <c r="H431" s="6">
        <v>30.52</v>
      </c>
      <c r="I431" s="6">
        <v>1251.32</v>
      </c>
      <c r="J431" s="6">
        <v>56.88</v>
      </c>
      <c r="K431" s="6">
        <v>271.94</v>
      </c>
      <c r="L431" s="6" t="s">
        <v>24</v>
      </c>
      <c r="M431" s="6" t="s">
        <v>41</v>
      </c>
      <c r="N431" s="6" t="s">
        <v>76</v>
      </c>
      <c r="P431" t="str">
        <f t="shared" si="18"/>
        <v>John</v>
      </c>
      <c r="Q431" t="str">
        <f t="shared" si="19"/>
        <v>Hernandez</v>
      </c>
      <c r="R431" t="str">
        <f t="shared" si="20"/>
        <v>JoHe431</v>
      </c>
    </row>
    <row r="432" spans="1:18" x14ac:dyDescent="0.3">
      <c r="A432" s="6" t="s">
        <v>898</v>
      </c>
      <c r="B432" s="6" t="s">
        <v>899</v>
      </c>
      <c r="C432" s="6" t="s">
        <v>369</v>
      </c>
      <c r="D432" s="6" t="s">
        <v>55</v>
      </c>
      <c r="E432" s="6" t="s">
        <v>137</v>
      </c>
      <c r="F432" s="6" t="s">
        <v>68</v>
      </c>
      <c r="G432" s="6">
        <v>23</v>
      </c>
      <c r="H432" s="6">
        <v>40.94</v>
      </c>
      <c r="I432" s="6">
        <v>941.62</v>
      </c>
      <c r="J432" s="6">
        <v>71.66</v>
      </c>
      <c r="K432" s="6">
        <v>225.96</v>
      </c>
      <c r="L432" s="6" t="s">
        <v>33</v>
      </c>
      <c r="M432" s="6" t="s">
        <v>41</v>
      </c>
      <c r="N432" s="6" t="s">
        <v>98</v>
      </c>
      <c r="P432" t="str">
        <f t="shared" si="18"/>
        <v>Emily</v>
      </c>
      <c r="Q432" t="str">
        <f t="shared" si="19"/>
        <v>Martinez</v>
      </c>
      <c r="R432" t="str">
        <f t="shared" si="20"/>
        <v>EmMa432</v>
      </c>
    </row>
    <row r="433" spans="1:18" x14ac:dyDescent="0.3">
      <c r="A433" s="6" t="s">
        <v>900</v>
      </c>
      <c r="B433" s="6" t="s">
        <v>612</v>
      </c>
      <c r="C433" s="6" t="s">
        <v>471</v>
      </c>
      <c r="D433" s="6" t="s">
        <v>241</v>
      </c>
      <c r="E433" s="6" t="s">
        <v>137</v>
      </c>
      <c r="F433" s="6" t="s">
        <v>68</v>
      </c>
      <c r="G433" s="6">
        <v>34</v>
      </c>
      <c r="H433" s="6">
        <v>41.77</v>
      </c>
      <c r="I433" s="6">
        <v>1420.18</v>
      </c>
      <c r="J433" s="6">
        <v>112.45</v>
      </c>
      <c r="K433" s="6">
        <v>355.73</v>
      </c>
      <c r="L433" s="6" t="s">
        <v>33</v>
      </c>
      <c r="M433" s="6" t="s">
        <v>41</v>
      </c>
      <c r="N433" s="6" t="s">
        <v>35</v>
      </c>
      <c r="P433" t="str">
        <f t="shared" si="18"/>
        <v>Emily</v>
      </c>
      <c r="Q433" t="str">
        <f t="shared" si="19"/>
        <v>Johnson</v>
      </c>
      <c r="R433" t="str">
        <f t="shared" si="20"/>
        <v>EmJo433</v>
      </c>
    </row>
    <row r="434" spans="1:18" x14ac:dyDescent="0.3">
      <c r="A434" s="6" t="s">
        <v>901</v>
      </c>
      <c r="B434" s="6" t="s">
        <v>902</v>
      </c>
      <c r="C434" s="6" t="s">
        <v>165</v>
      </c>
      <c r="D434" s="6" t="s">
        <v>70</v>
      </c>
      <c r="E434" s="6" t="s">
        <v>56</v>
      </c>
      <c r="F434" s="6" t="s">
        <v>57</v>
      </c>
      <c r="G434" s="6">
        <v>32</v>
      </c>
      <c r="H434" s="6">
        <v>69.98</v>
      </c>
      <c r="I434" s="6">
        <v>2239.36</v>
      </c>
      <c r="J434" s="6">
        <v>133.51</v>
      </c>
      <c r="K434" s="6">
        <v>825.85</v>
      </c>
      <c r="L434" s="6" t="s">
        <v>48</v>
      </c>
      <c r="M434" s="6" t="s">
        <v>25</v>
      </c>
      <c r="N434" s="6" t="s">
        <v>76</v>
      </c>
      <c r="P434" t="str">
        <f t="shared" si="18"/>
        <v>Michael</v>
      </c>
      <c r="Q434" t="str">
        <f t="shared" si="19"/>
        <v>Brown</v>
      </c>
      <c r="R434" t="str">
        <f t="shared" si="20"/>
        <v>MiBr434</v>
      </c>
    </row>
    <row r="435" spans="1:18" x14ac:dyDescent="0.3">
      <c r="A435" s="6" t="s">
        <v>903</v>
      </c>
      <c r="B435" s="6" t="s">
        <v>810</v>
      </c>
      <c r="C435" s="6" t="s">
        <v>266</v>
      </c>
      <c r="D435" s="6" t="s">
        <v>31</v>
      </c>
      <c r="E435" s="6" t="s">
        <v>22</v>
      </c>
      <c r="F435" s="6" t="s">
        <v>23</v>
      </c>
      <c r="G435" s="6">
        <v>25</v>
      </c>
      <c r="H435" s="6">
        <v>42.91</v>
      </c>
      <c r="I435" s="6">
        <v>1072.75</v>
      </c>
      <c r="J435" s="6">
        <v>80.02</v>
      </c>
      <c r="K435" s="6">
        <v>117.73</v>
      </c>
      <c r="L435" s="6" t="s">
        <v>33</v>
      </c>
      <c r="M435" s="6" t="s">
        <v>34</v>
      </c>
      <c r="N435" s="6" t="s">
        <v>35</v>
      </c>
      <c r="P435" t="str">
        <f t="shared" si="18"/>
        <v>Daniel</v>
      </c>
      <c r="Q435" t="str">
        <f t="shared" si="19"/>
        <v>Brown</v>
      </c>
      <c r="R435" t="str">
        <f t="shared" si="20"/>
        <v>DaBr435</v>
      </c>
    </row>
    <row r="436" spans="1:18" x14ac:dyDescent="0.3">
      <c r="A436" s="6" t="s">
        <v>904</v>
      </c>
      <c r="B436" s="6" t="s">
        <v>527</v>
      </c>
      <c r="C436" s="6" t="s">
        <v>643</v>
      </c>
      <c r="D436" s="6" t="s">
        <v>55</v>
      </c>
      <c r="E436" s="6" t="s">
        <v>86</v>
      </c>
      <c r="F436" s="6" t="s">
        <v>47</v>
      </c>
      <c r="G436" s="6">
        <v>7</v>
      </c>
      <c r="H436" s="6">
        <v>22.6</v>
      </c>
      <c r="I436" s="6">
        <v>158.19999999999999</v>
      </c>
      <c r="J436" s="6">
        <v>7.04</v>
      </c>
      <c r="K436" s="6">
        <v>61.91</v>
      </c>
      <c r="L436" s="6" t="s">
        <v>48</v>
      </c>
      <c r="M436" s="6" t="s">
        <v>25</v>
      </c>
      <c r="N436" s="6" t="s">
        <v>98</v>
      </c>
      <c r="P436" t="str">
        <f t="shared" si="18"/>
        <v>Sophia</v>
      </c>
      <c r="Q436" t="str">
        <f t="shared" si="19"/>
        <v>Williams</v>
      </c>
      <c r="R436" t="str">
        <f t="shared" si="20"/>
        <v>SoWi436</v>
      </c>
    </row>
    <row r="437" spans="1:18" x14ac:dyDescent="0.3">
      <c r="A437" s="6" t="s">
        <v>905</v>
      </c>
      <c r="B437" s="6" t="s">
        <v>906</v>
      </c>
      <c r="C437" s="6" t="s">
        <v>145</v>
      </c>
      <c r="D437" s="6" t="s">
        <v>21</v>
      </c>
      <c r="E437" s="6" t="s">
        <v>86</v>
      </c>
      <c r="F437" s="6" t="s">
        <v>47</v>
      </c>
      <c r="G437" s="6">
        <v>48</v>
      </c>
      <c r="H437" s="6">
        <v>19.5</v>
      </c>
      <c r="I437" s="6">
        <v>936</v>
      </c>
      <c r="J437" s="6">
        <v>70.069999999999993</v>
      </c>
      <c r="K437" s="6">
        <v>253.93</v>
      </c>
      <c r="L437" s="6" t="s">
        <v>24</v>
      </c>
      <c r="M437" s="6" t="s">
        <v>34</v>
      </c>
      <c r="N437" s="6" t="s">
        <v>98</v>
      </c>
      <c r="P437" t="str">
        <f t="shared" si="18"/>
        <v>David</v>
      </c>
      <c r="Q437" t="str">
        <f t="shared" si="19"/>
        <v>Davis</v>
      </c>
      <c r="R437" t="str">
        <f t="shared" si="20"/>
        <v>DaDa437</v>
      </c>
    </row>
    <row r="438" spans="1:18" x14ac:dyDescent="0.3">
      <c r="A438" s="6" t="s">
        <v>907</v>
      </c>
      <c r="B438" s="6" t="s">
        <v>351</v>
      </c>
      <c r="C438" s="6" t="s">
        <v>40</v>
      </c>
      <c r="D438" s="6" t="s">
        <v>206</v>
      </c>
      <c r="E438" s="6" t="s">
        <v>56</v>
      </c>
      <c r="F438" s="6" t="s">
        <v>57</v>
      </c>
      <c r="G438" s="6">
        <v>32</v>
      </c>
      <c r="H438" s="6">
        <v>49.97</v>
      </c>
      <c r="I438" s="6">
        <v>1599.04</v>
      </c>
      <c r="J438" s="6">
        <v>43.1</v>
      </c>
      <c r="K438" s="6">
        <v>275.94</v>
      </c>
      <c r="L438" s="6" t="s">
        <v>33</v>
      </c>
      <c r="M438" s="6" t="s">
        <v>41</v>
      </c>
      <c r="N438" s="6" t="s">
        <v>207</v>
      </c>
      <c r="P438" t="str">
        <f t="shared" si="18"/>
        <v>John</v>
      </c>
      <c r="Q438" t="str">
        <f t="shared" si="19"/>
        <v>Davis</v>
      </c>
      <c r="R438" t="str">
        <f t="shared" si="20"/>
        <v>JoDa438</v>
      </c>
    </row>
    <row r="439" spans="1:18" x14ac:dyDescent="0.3">
      <c r="A439" s="6" t="s">
        <v>908</v>
      </c>
      <c r="B439" s="6" t="s">
        <v>386</v>
      </c>
      <c r="C439" s="6" t="s">
        <v>20</v>
      </c>
      <c r="D439" s="6" t="s">
        <v>171</v>
      </c>
      <c r="E439" s="6" t="s">
        <v>81</v>
      </c>
      <c r="F439" s="6" t="s">
        <v>68</v>
      </c>
      <c r="G439" s="6">
        <v>41</v>
      </c>
      <c r="H439" s="6">
        <v>25.62</v>
      </c>
      <c r="I439" s="6">
        <v>1050.42</v>
      </c>
      <c r="J439" s="6">
        <v>79.2</v>
      </c>
      <c r="K439" s="6">
        <v>335.72</v>
      </c>
      <c r="L439" s="6" t="s">
        <v>24</v>
      </c>
      <c r="M439" s="6" t="s">
        <v>34</v>
      </c>
      <c r="N439" s="6" t="s">
        <v>35</v>
      </c>
      <c r="P439" t="str">
        <f t="shared" si="18"/>
        <v>Emily</v>
      </c>
      <c r="Q439" t="str">
        <f t="shared" si="19"/>
        <v>Smith</v>
      </c>
      <c r="R439" t="str">
        <f t="shared" si="20"/>
        <v>EmSm439</v>
      </c>
    </row>
    <row r="440" spans="1:18" x14ac:dyDescent="0.3">
      <c r="A440" s="6" t="s">
        <v>909</v>
      </c>
      <c r="B440" s="6" t="s">
        <v>843</v>
      </c>
      <c r="C440" s="6" t="s">
        <v>465</v>
      </c>
      <c r="D440" s="6" t="s">
        <v>21</v>
      </c>
      <c r="E440" s="6" t="s">
        <v>86</v>
      </c>
      <c r="F440" s="6" t="s">
        <v>47</v>
      </c>
      <c r="G440" s="6">
        <v>46</v>
      </c>
      <c r="H440" s="6">
        <v>16.78</v>
      </c>
      <c r="I440" s="6">
        <v>771.88</v>
      </c>
      <c r="J440" s="6">
        <v>18.04</v>
      </c>
      <c r="K440" s="6">
        <v>167.34</v>
      </c>
      <c r="L440" s="6" t="s">
        <v>48</v>
      </c>
      <c r="M440" s="6" t="s">
        <v>41</v>
      </c>
      <c r="N440" s="6" t="s">
        <v>98</v>
      </c>
      <c r="P440" t="str">
        <f t="shared" si="18"/>
        <v>David</v>
      </c>
      <c r="Q440" t="str">
        <f t="shared" si="19"/>
        <v>Martinez</v>
      </c>
      <c r="R440" t="str">
        <f t="shared" si="20"/>
        <v>DaMa440</v>
      </c>
    </row>
    <row r="441" spans="1:18" x14ac:dyDescent="0.3">
      <c r="A441" s="6" t="s">
        <v>910</v>
      </c>
      <c r="B441" s="6" t="s">
        <v>911</v>
      </c>
      <c r="C441" s="6" t="s">
        <v>505</v>
      </c>
      <c r="D441" s="6" t="s">
        <v>37</v>
      </c>
      <c r="E441" s="6" t="s">
        <v>46</v>
      </c>
      <c r="F441" s="6" t="s">
        <v>47</v>
      </c>
      <c r="G441" s="6">
        <v>16</v>
      </c>
      <c r="H441" s="6">
        <v>42.18</v>
      </c>
      <c r="I441" s="6">
        <v>674.88</v>
      </c>
      <c r="J441" s="6">
        <v>19.100000000000001</v>
      </c>
      <c r="K441" s="6">
        <v>143.78</v>
      </c>
      <c r="L441" s="6" t="s">
        <v>24</v>
      </c>
      <c r="M441" s="6" t="s">
        <v>41</v>
      </c>
      <c r="N441" s="6" t="s">
        <v>35</v>
      </c>
      <c r="P441" t="str">
        <f t="shared" si="18"/>
        <v>Daniel</v>
      </c>
      <c r="Q441" t="str">
        <f t="shared" si="19"/>
        <v>Davis</v>
      </c>
      <c r="R441" t="str">
        <f t="shared" si="20"/>
        <v>DaDa441</v>
      </c>
    </row>
    <row r="442" spans="1:18" x14ac:dyDescent="0.3">
      <c r="A442" s="6" t="s">
        <v>912</v>
      </c>
      <c r="B442" s="6" t="s">
        <v>276</v>
      </c>
      <c r="C442" s="6" t="s">
        <v>113</v>
      </c>
      <c r="D442" s="6" t="s">
        <v>171</v>
      </c>
      <c r="E442" s="6" t="s">
        <v>74</v>
      </c>
      <c r="F442" s="6" t="s">
        <v>75</v>
      </c>
      <c r="G442" s="6">
        <v>12</v>
      </c>
      <c r="H442" s="6">
        <v>34.97</v>
      </c>
      <c r="I442" s="6">
        <v>419.64</v>
      </c>
      <c r="J442" s="6">
        <v>28.48</v>
      </c>
      <c r="K442" s="6">
        <v>91.16</v>
      </c>
      <c r="L442" s="6" t="s">
        <v>24</v>
      </c>
      <c r="M442" s="6" t="s">
        <v>25</v>
      </c>
      <c r="N442" s="6" t="s">
        <v>35</v>
      </c>
      <c r="P442" t="str">
        <f t="shared" si="18"/>
        <v>James</v>
      </c>
      <c r="Q442" t="str">
        <f t="shared" si="19"/>
        <v>Davis</v>
      </c>
      <c r="R442" t="str">
        <f t="shared" si="20"/>
        <v>JaDa442</v>
      </c>
    </row>
    <row r="443" spans="1:18" x14ac:dyDescent="0.3">
      <c r="A443" s="6" t="s">
        <v>913</v>
      </c>
      <c r="B443" s="6" t="s">
        <v>218</v>
      </c>
      <c r="C443" s="6" t="s">
        <v>219</v>
      </c>
      <c r="D443" s="6" t="s">
        <v>45</v>
      </c>
      <c r="E443" s="6" t="s">
        <v>63</v>
      </c>
      <c r="F443" s="6" t="s">
        <v>47</v>
      </c>
      <c r="G443" s="6">
        <v>31</v>
      </c>
      <c r="H443" s="6">
        <v>33.619999999999997</v>
      </c>
      <c r="I443" s="6">
        <v>1042.22</v>
      </c>
      <c r="J443" s="6">
        <v>26.33</v>
      </c>
      <c r="K443" s="6">
        <v>395.89</v>
      </c>
      <c r="L443" s="6" t="s">
        <v>48</v>
      </c>
      <c r="M443" s="6" t="s">
        <v>41</v>
      </c>
      <c r="N443" s="6" t="s">
        <v>49</v>
      </c>
      <c r="P443" t="str">
        <f t="shared" si="18"/>
        <v>David</v>
      </c>
      <c r="Q443" t="str">
        <f t="shared" si="19"/>
        <v>Jones</v>
      </c>
      <c r="R443" t="str">
        <f t="shared" si="20"/>
        <v>DaJo443</v>
      </c>
    </row>
    <row r="444" spans="1:18" x14ac:dyDescent="0.3">
      <c r="A444" s="6" t="s">
        <v>914</v>
      </c>
      <c r="B444" s="6" t="s">
        <v>306</v>
      </c>
      <c r="C444" s="6" t="s">
        <v>666</v>
      </c>
      <c r="D444" s="6" t="s">
        <v>123</v>
      </c>
      <c r="E444" s="6" t="s">
        <v>67</v>
      </c>
      <c r="F444" s="6" t="s">
        <v>68</v>
      </c>
      <c r="G444" s="6">
        <v>40</v>
      </c>
      <c r="H444" s="6">
        <v>30.56</v>
      </c>
      <c r="I444" s="6">
        <v>1222.4000000000001</v>
      </c>
      <c r="J444" s="6">
        <v>26.42</v>
      </c>
      <c r="K444" s="6">
        <v>295.98</v>
      </c>
      <c r="L444" s="6" t="s">
        <v>24</v>
      </c>
      <c r="M444" s="6" t="s">
        <v>25</v>
      </c>
      <c r="N444" s="6" t="s">
        <v>76</v>
      </c>
      <c r="P444" t="str">
        <f t="shared" si="18"/>
        <v>Laura</v>
      </c>
      <c r="Q444" t="str">
        <f t="shared" si="19"/>
        <v>Smith</v>
      </c>
      <c r="R444" t="str">
        <f t="shared" si="20"/>
        <v>LaSm444</v>
      </c>
    </row>
    <row r="445" spans="1:18" x14ac:dyDescent="0.3">
      <c r="A445" s="6" t="s">
        <v>915</v>
      </c>
      <c r="B445" s="6" t="s">
        <v>916</v>
      </c>
      <c r="C445" s="6" t="s">
        <v>227</v>
      </c>
      <c r="D445" s="6" t="s">
        <v>241</v>
      </c>
      <c r="E445" s="6" t="s">
        <v>22</v>
      </c>
      <c r="F445" s="6" t="s">
        <v>23</v>
      </c>
      <c r="G445" s="6">
        <v>15</v>
      </c>
      <c r="H445" s="6">
        <v>61.93</v>
      </c>
      <c r="I445" s="6">
        <v>928.95</v>
      </c>
      <c r="J445" s="6">
        <v>25.68</v>
      </c>
      <c r="K445" s="6">
        <v>378.27</v>
      </c>
      <c r="L445" s="6" t="s">
        <v>33</v>
      </c>
      <c r="M445" s="6" t="s">
        <v>41</v>
      </c>
      <c r="N445" s="6" t="s">
        <v>35</v>
      </c>
      <c r="P445" t="str">
        <f t="shared" si="18"/>
        <v>Emma</v>
      </c>
      <c r="Q445" t="str">
        <f t="shared" si="19"/>
        <v>Martinez</v>
      </c>
      <c r="R445" t="str">
        <f t="shared" si="20"/>
        <v>EmMa445</v>
      </c>
    </row>
    <row r="446" spans="1:18" x14ac:dyDescent="0.3">
      <c r="A446" s="6" t="s">
        <v>917</v>
      </c>
      <c r="B446" s="6" t="s">
        <v>918</v>
      </c>
      <c r="C446" s="6" t="s">
        <v>194</v>
      </c>
      <c r="D446" s="6" t="s">
        <v>51</v>
      </c>
      <c r="E446" s="6" t="s">
        <v>63</v>
      </c>
      <c r="F446" s="6" t="s">
        <v>47</v>
      </c>
      <c r="G446" s="6">
        <v>20</v>
      </c>
      <c r="H446" s="6">
        <v>35.770000000000003</v>
      </c>
      <c r="I446" s="6">
        <v>715.4</v>
      </c>
      <c r="J446" s="6">
        <v>39.229999999999997</v>
      </c>
      <c r="K446" s="6">
        <v>276.17</v>
      </c>
      <c r="L446" s="6" t="s">
        <v>24</v>
      </c>
      <c r="M446" s="6" t="s">
        <v>25</v>
      </c>
      <c r="N446" s="6" t="s">
        <v>76</v>
      </c>
      <c r="P446" t="str">
        <f t="shared" si="18"/>
        <v>Sarah</v>
      </c>
      <c r="Q446" t="str">
        <f t="shared" si="19"/>
        <v>Martinez</v>
      </c>
      <c r="R446" t="str">
        <f t="shared" si="20"/>
        <v>SaMa446</v>
      </c>
    </row>
    <row r="447" spans="1:18" x14ac:dyDescent="0.3">
      <c r="A447" s="6" t="s">
        <v>919</v>
      </c>
      <c r="B447" s="6" t="s">
        <v>860</v>
      </c>
      <c r="C447" s="6" t="s">
        <v>391</v>
      </c>
      <c r="D447" s="6" t="s">
        <v>31</v>
      </c>
      <c r="E447" s="6" t="s">
        <v>86</v>
      </c>
      <c r="F447" s="6" t="s">
        <v>47</v>
      </c>
      <c r="G447" s="6">
        <v>21</v>
      </c>
      <c r="H447" s="6">
        <v>22.48</v>
      </c>
      <c r="I447" s="6">
        <v>472.08</v>
      </c>
      <c r="J447" s="6">
        <v>12.96</v>
      </c>
      <c r="K447" s="6">
        <v>191.37</v>
      </c>
      <c r="L447" s="6" t="s">
        <v>33</v>
      </c>
      <c r="M447" s="6" t="s">
        <v>25</v>
      </c>
      <c r="N447" s="6" t="s">
        <v>35</v>
      </c>
      <c r="P447" t="str">
        <f t="shared" si="18"/>
        <v>John</v>
      </c>
      <c r="Q447" t="str">
        <f t="shared" si="19"/>
        <v>Martinez</v>
      </c>
      <c r="R447" t="str">
        <f t="shared" si="20"/>
        <v>JoMa447</v>
      </c>
    </row>
    <row r="448" spans="1:18" x14ac:dyDescent="0.3">
      <c r="A448" s="6" t="s">
        <v>920</v>
      </c>
      <c r="B448" s="6" t="s">
        <v>921</v>
      </c>
      <c r="C448" s="6" t="s">
        <v>437</v>
      </c>
      <c r="D448" s="6" t="s">
        <v>51</v>
      </c>
      <c r="E448" s="6" t="s">
        <v>32</v>
      </c>
      <c r="F448" s="6" t="s">
        <v>23</v>
      </c>
      <c r="G448" s="6">
        <v>8</v>
      </c>
      <c r="H448" s="6">
        <v>27.53</v>
      </c>
      <c r="I448" s="6">
        <v>220.24</v>
      </c>
      <c r="J448" s="6">
        <v>12.66</v>
      </c>
      <c r="K448" s="6">
        <v>63.58</v>
      </c>
      <c r="L448" s="6" t="s">
        <v>33</v>
      </c>
      <c r="M448" s="6" t="s">
        <v>34</v>
      </c>
      <c r="N448" s="6" t="s">
        <v>76</v>
      </c>
      <c r="P448" t="str">
        <f t="shared" si="18"/>
        <v>Sophia</v>
      </c>
      <c r="Q448" t="str">
        <f t="shared" si="19"/>
        <v>Johnson</v>
      </c>
      <c r="R448" t="str">
        <f t="shared" si="20"/>
        <v>SoJo448</v>
      </c>
    </row>
    <row r="449" spans="1:18" x14ac:dyDescent="0.3">
      <c r="A449" s="6" t="s">
        <v>922</v>
      </c>
      <c r="B449" s="6" t="s">
        <v>300</v>
      </c>
      <c r="C449" s="6" t="s">
        <v>360</v>
      </c>
      <c r="D449" s="6" t="s">
        <v>70</v>
      </c>
      <c r="E449" s="6" t="s">
        <v>67</v>
      </c>
      <c r="F449" s="6" t="s">
        <v>68</v>
      </c>
      <c r="G449" s="6">
        <v>35</v>
      </c>
      <c r="H449" s="6">
        <v>39.65</v>
      </c>
      <c r="I449" s="6">
        <v>1387.75</v>
      </c>
      <c r="J449" s="6">
        <v>60.95</v>
      </c>
      <c r="K449" s="6">
        <v>539.29999999999995</v>
      </c>
      <c r="L449" s="6" t="s">
        <v>48</v>
      </c>
      <c r="M449" s="6" t="s">
        <v>34</v>
      </c>
      <c r="N449" s="6" t="s">
        <v>76</v>
      </c>
      <c r="P449" t="str">
        <f t="shared" si="18"/>
        <v>Emily</v>
      </c>
      <c r="Q449" t="str">
        <f t="shared" si="19"/>
        <v>Miller</v>
      </c>
      <c r="R449" t="str">
        <f t="shared" si="20"/>
        <v>EmMi449</v>
      </c>
    </row>
    <row r="450" spans="1:18" x14ac:dyDescent="0.3">
      <c r="A450" s="6" t="s">
        <v>923</v>
      </c>
      <c r="B450" s="6" t="s">
        <v>924</v>
      </c>
      <c r="C450" s="6" t="s">
        <v>288</v>
      </c>
      <c r="D450" s="6" t="s">
        <v>141</v>
      </c>
      <c r="E450" s="6" t="s">
        <v>81</v>
      </c>
      <c r="F450" s="6" t="s">
        <v>68</v>
      </c>
      <c r="G450" s="6">
        <v>50</v>
      </c>
      <c r="H450" s="6">
        <v>23.68</v>
      </c>
      <c r="I450" s="6">
        <v>1184</v>
      </c>
      <c r="J450" s="6">
        <v>46.62</v>
      </c>
      <c r="K450" s="6">
        <v>362.38</v>
      </c>
      <c r="L450" s="6" t="s">
        <v>33</v>
      </c>
      <c r="M450" s="6" t="s">
        <v>34</v>
      </c>
      <c r="N450" s="6" t="s">
        <v>142</v>
      </c>
      <c r="P450" t="str">
        <f t="shared" si="18"/>
        <v>Laura</v>
      </c>
      <c r="Q450" t="str">
        <f t="shared" si="19"/>
        <v>Garcia</v>
      </c>
      <c r="R450" t="str">
        <f t="shared" si="20"/>
        <v>LaGa450</v>
      </c>
    </row>
    <row r="451" spans="1:18" x14ac:dyDescent="0.3">
      <c r="A451" s="6" t="s">
        <v>925</v>
      </c>
      <c r="B451" s="6" t="s">
        <v>703</v>
      </c>
      <c r="C451" s="6" t="s">
        <v>290</v>
      </c>
      <c r="D451" s="6" t="s">
        <v>123</v>
      </c>
      <c r="E451" s="6" t="s">
        <v>86</v>
      </c>
      <c r="F451" s="6" t="s">
        <v>47</v>
      </c>
      <c r="G451" s="6">
        <v>5</v>
      </c>
      <c r="H451" s="6">
        <v>19.809999999999999</v>
      </c>
      <c r="I451" s="6">
        <v>99.05</v>
      </c>
      <c r="J451" s="6">
        <v>5.91</v>
      </c>
      <c r="K451" s="6">
        <v>29.39</v>
      </c>
      <c r="L451" s="6" t="s">
        <v>33</v>
      </c>
      <c r="M451" s="6" t="s">
        <v>41</v>
      </c>
      <c r="N451" s="6" t="s">
        <v>76</v>
      </c>
      <c r="P451" t="str">
        <f t="shared" si="18"/>
        <v>Michael</v>
      </c>
      <c r="Q451" t="str">
        <f t="shared" si="19"/>
        <v>Davis</v>
      </c>
      <c r="R451" t="str">
        <f t="shared" si="20"/>
        <v>MiDa451</v>
      </c>
    </row>
    <row r="452" spans="1:18" x14ac:dyDescent="0.3">
      <c r="A452" s="6" t="s">
        <v>926</v>
      </c>
      <c r="B452" s="6" t="s">
        <v>243</v>
      </c>
      <c r="C452" s="6" t="s">
        <v>126</v>
      </c>
      <c r="D452" s="6" t="s">
        <v>45</v>
      </c>
      <c r="E452" s="6" t="s">
        <v>86</v>
      </c>
      <c r="F452" s="6" t="s">
        <v>47</v>
      </c>
      <c r="G452" s="6">
        <v>27</v>
      </c>
      <c r="H452" s="6">
        <v>18.03</v>
      </c>
      <c r="I452" s="6">
        <v>486.81</v>
      </c>
      <c r="J452" s="6">
        <v>36.630000000000003</v>
      </c>
      <c r="K452" s="6">
        <v>105.93</v>
      </c>
      <c r="L452" s="6" t="s">
        <v>24</v>
      </c>
      <c r="M452" s="6" t="s">
        <v>41</v>
      </c>
      <c r="N452" s="6" t="s">
        <v>49</v>
      </c>
      <c r="P452" t="str">
        <f t="shared" si="18"/>
        <v>David</v>
      </c>
      <c r="Q452" t="str">
        <f t="shared" si="19"/>
        <v>Williams</v>
      </c>
      <c r="R452" t="str">
        <f t="shared" si="20"/>
        <v>DaWi452</v>
      </c>
    </row>
    <row r="453" spans="1:18" x14ac:dyDescent="0.3">
      <c r="A453" s="6" t="s">
        <v>927</v>
      </c>
      <c r="B453" s="6" t="s">
        <v>928</v>
      </c>
      <c r="C453" s="6" t="s">
        <v>417</v>
      </c>
      <c r="D453" s="6" t="s">
        <v>141</v>
      </c>
      <c r="E453" s="6" t="s">
        <v>32</v>
      </c>
      <c r="F453" s="6" t="s">
        <v>23</v>
      </c>
      <c r="G453" s="6">
        <v>45</v>
      </c>
      <c r="H453" s="6">
        <v>26.93</v>
      </c>
      <c r="I453" s="6">
        <v>1211.8499999999999</v>
      </c>
      <c r="J453" s="6">
        <v>62.85</v>
      </c>
      <c r="K453" s="6">
        <v>339</v>
      </c>
      <c r="L453" s="6" t="s">
        <v>33</v>
      </c>
      <c r="M453" s="6" t="s">
        <v>34</v>
      </c>
      <c r="N453" s="6" t="s">
        <v>142</v>
      </c>
      <c r="P453" t="str">
        <f t="shared" si="18"/>
        <v>Emily</v>
      </c>
      <c r="Q453" t="str">
        <f t="shared" si="19"/>
        <v>Brown</v>
      </c>
      <c r="R453" t="str">
        <f t="shared" si="20"/>
        <v>EmBr453</v>
      </c>
    </row>
    <row r="454" spans="1:18" x14ac:dyDescent="0.3">
      <c r="A454" s="6" t="s">
        <v>929</v>
      </c>
      <c r="B454" s="6" t="s">
        <v>930</v>
      </c>
      <c r="C454" s="6" t="s">
        <v>505</v>
      </c>
      <c r="D454" s="6" t="s">
        <v>37</v>
      </c>
      <c r="E454" s="6" t="s">
        <v>63</v>
      </c>
      <c r="F454" s="6" t="s">
        <v>47</v>
      </c>
      <c r="G454" s="6">
        <v>40</v>
      </c>
      <c r="H454" s="6">
        <v>32.54</v>
      </c>
      <c r="I454" s="6">
        <v>1301.5999999999999</v>
      </c>
      <c r="J454" s="6">
        <v>47.06</v>
      </c>
      <c r="K454" s="6">
        <v>454.54</v>
      </c>
      <c r="L454" s="6" t="s">
        <v>24</v>
      </c>
      <c r="M454" s="6" t="s">
        <v>34</v>
      </c>
      <c r="N454" s="6" t="s">
        <v>35</v>
      </c>
      <c r="P454" t="str">
        <f t="shared" si="18"/>
        <v>Daniel</v>
      </c>
      <c r="Q454" t="str">
        <f t="shared" si="19"/>
        <v>Davis</v>
      </c>
      <c r="R454" t="str">
        <f t="shared" si="20"/>
        <v>DaDa454</v>
      </c>
    </row>
    <row r="455" spans="1:18" x14ac:dyDescent="0.3">
      <c r="A455" s="6" t="s">
        <v>931</v>
      </c>
      <c r="B455" s="6" t="s">
        <v>892</v>
      </c>
      <c r="C455" s="6" t="s">
        <v>140</v>
      </c>
      <c r="D455" s="6" t="s">
        <v>70</v>
      </c>
      <c r="E455" s="6" t="s">
        <v>67</v>
      </c>
      <c r="F455" s="6" t="s">
        <v>68</v>
      </c>
      <c r="G455" s="6">
        <v>26</v>
      </c>
      <c r="H455" s="6">
        <v>35.32</v>
      </c>
      <c r="I455" s="6">
        <v>918.32</v>
      </c>
      <c r="J455" s="6">
        <v>60.02</v>
      </c>
      <c r="K455" s="6">
        <v>273.3</v>
      </c>
      <c r="L455" s="6" t="s">
        <v>48</v>
      </c>
      <c r="M455" s="6" t="s">
        <v>25</v>
      </c>
      <c r="N455" s="6" t="s">
        <v>76</v>
      </c>
      <c r="P455" t="str">
        <f t="shared" ref="P455:P505" si="21">TRIM(MID(C455,FIND(",",C455)+1,LEN(C455)))</f>
        <v>Michael</v>
      </c>
      <c r="Q455" t="str">
        <f t="shared" ref="Q455:Q505" si="22">LEFT(C455,FIND(",",C455)-1)</f>
        <v>Miller</v>
      </c>
      <c r="R455" t="str">
        <f t="shared" ref="R455:R505" si="23">LEFT(P455,2)&amp;LEFT(Q455,2)&amp;ROW()</f>
        <v>MiMi455</v>
      </c>
    </row>
    <row r="456" spans="1:18" x14ac:dyDescent="0.3">
      <c r="A456" s="6" t="s">
        <v>932</v>
      </c>
      <c r="B456" s="6" t="s">
        <v>921</v>
      </c>
      <c r="C456" s="6" t="s">
        <v>151</v>
      </c>
      <c r="D456" s="6" t="s">
        <v>45</v>
      </c>
      <c r="E456" s="6" t="s">
        <v>86</v>
      </c>
      <c r="F456" s="6" t="s">
        <v>47</v>
      </c>
      <c r="G456" s="6">
        <v>16</v>
      </c>
      <c r="H456" s="6">
        <v>16.440000000000001</v>
      </c>
      <c r="I456" s="6">
        <v>263.04000000000002</v>
      </c>
      <c r="J456" s="6">
        <v>17.64</v>
      </c>
      <c r="K456" s="6">
        <v>41.4</v>
      </c>
      <c r="L456" s="6" t="s">
        <v>24</v>
      </c>
      <c r="M456" s="6" t="s">
        <v>25</v>
      </c>
      <c r="N456" s="6" t="s">
        <v>49</v>
      </c>
      <c r="P456" t="str">
        <f t="shared" si="21"/>
        <v>Sophia</v>
      </c>
      <c r="Q456" t="str">
        <f t="shared" si="22"/>
        <v>Hernandez</v>
      </c>
      <c r="R456" t="str">
        <f t="shared" si="23"/>
        <v>SoHe456</v>
      </c>
    </row>
    <row r="457" spans="1:18" x14ac:dyDescent="0.3">
      <c r="A457" s="6" t="s">
        <v>933</v>
      </c>
      <c r="B457" s="6" t="s">
        <v>319</v>
      </c>
      <c r="C457" s="6" t="s">
        <v>360</v>
      </c>
      <c r="D457" s="6" t="s">
        <v>171</v>
      </c>
      <c r="E457" s="6" t="s">
        <v>137</v>
      </c>
      <c r="F457" s="6" t="s">
        <v>68</v>
      </c>
      <c r="G457" s="6">
        <v>39</v>
      </c>
      <c r="H457" s="6">
        <v>46.27</v>
      </c>
      <c r="I457" s="6">
        <v>1804.53</v>
      </c>
      <c r="J457" s="6">
        <v>38.57</v>
      </c>
      <c r="K457" s="6">
        <v>673.96</v>
      </c>
      <c r="L457" s="6" t="s">
        <v>48</v>
      </c>
      <c r="M457" s="6" t="s">
        <v>41</v>
      </c>
      <c r="N457" s="6" t="s">
        <v>35</v>
      </c>
      <c r="P457" t="str">
        <f t="shared" si="21"/>
        <v>Emily</v>
      </c>
      <c r="Q457" t="str">
        <f t="shared" si="22"/>
        <v>Miller</v>
      </c>
      <c r="R457" t="str">
        <f t="shared" si="23"/>
        <v>EmMi457</v>
      </c>
    </row>
    <row r="458" spans="1:18" x14ac:dyDescent="0.3">
      <c r="A458" s="6" t="s">
        <v>934</v>
      </c>
      <c r="B458" s="6" t="s">
        <v>745</v>
      </c>
      <c r="C458" s="6" t="s">
        <v>246</v>
      </c>
      <c r="D458" s="6" t="s">
        <v>31</v>
      </c>
      <c r="E458" s="6" t="s">
        <v>74</v>
      </c>
      <c r="F458" s="6" t="s">
        <v>75</v>
      </c>
      <c r="G458" s="6">
        <v>15</v>
      </c>
      <c r="H458" s="6">
        <v>33.22</v>
      </c>
      <c r="I458" s="6">
        <v>498.3</v>
      </c>
      <c r="J458" s="6">
        <v>36.85</v>
      </c>
      <c r="K458" s="6">
        <v>86.45</v>
      </c>
      <c r="L458" s="6" t="s">
        <v>48</v>
      </c>
      <c r="M458" s="6" t="s">
        <v>41</v>
      </c>
      <c r="N458" s="6" t="s">
        <v>35</v>
      </c>
      <c r="P458" t="str">
        <f t="shared" si="21"/>
        <v>Michael</v>
      </c>
      <c r="Q458" t="str">
        <f t="shared" si="22"/>
        <v>Williams</v>
      </c>
      <c r="R458" t="str">
        <f t="shared" si="23"/>
        <v>MiWi458</v>
      </c>
    </row>
    <row r="459" spans="1:18" x14ac:dyDescent="0.3">
      <c r="A459" s="6" t="s">
        <v>935</v>
      </c>
      <c r="B459" s="6" t="s">
        <v>696</v>
      </c>
      <c r="C459" s="6" t="s">
        <v>328</v>
      </c>
      <c r="D459" s="6" t="s">
        <v>141</v>
      </c>
      <c r="E459" s="6" t="s">
        <v>56</v>
      </c>
      <c r="F459" s="6" t="s">
        <v>57</v>
      </c>
      <c r="G459" s="6">
        <v>35</v>
      </c>
      <c r="H459" s="6">
        <v>71.02</v>
      </c>
      <c r="I459" s="6">
        <v>2485.6999999999998</v>
      </c>
      <c r="J459" s="6">
        <v>137.22</v>
      </c>
      <c r="K459" s="6">
        <v>948.48</v>
      </c>
      <c r="L459" s="6" t="s">
        <v>33</v>
      </c>
      <c r="M459" s="6" t="s">
        <v>34</v>
      </c>
      <c r="N459" s="6" t="s">
        <v>142</v>
      </c>
      <c r="P459" t="str">
        <f t="shared" si="21"/>
        <v>Sarah</v>
      </c>
      <c r="Q459" t="str">
        <f t="shared" si="22"/>
        <v>Miller</v>
      </c>
      <c r="R459" t="str">
        <f t="shared" si="23"/>
        <v>SaMi459</v>
      </c>
    </row>
    <row r="460" spans="1:18" x14ac:dyDescent="0.3">
      <c r="A460" s="6" t="s">
        <v>936</v>
      </c>
      <c r="B460" s="6" t="s">
        <v>561</v>
      </c>
      <c r="C460" s="6" t="s">
        <v>165</v>
      </c>
      <c r="D460" s="6" t="s">
        <v>123</v>
      </c>
      <c r="E460" s="6" t="s">
        <v>137</v>
      </c>
      <c r="F460" s="6" t="s">
        <v>68</v>
      </c>
      <c r="G460" s="6">
        <v>2</v>
      </c>
      <c r="H460" s="6">
        <v>42.31</v>
      </c>
      <c r="I460" s="6">
        <v>84.62</v>
      </c>
      <c r="J460" s="6">
        <v>4.28</v>
      </c>
      <c r="K460" s="6">
        <v>24.34</v>
      </c>
      <c r="L460" s="6" t="s">
        <v>33</v>
      </c>
      <c r="M460" s="6" t="s">
        <v>34</v>
      </c>
      <c r="N460" s="6" t="s">
        <v>76</v>
      </c>
      <c r="P460" t="str">
        <f t="shared" si="21"/>
        <v>Michael</v>
      </c>
      <c r="Q460" t="str">
        <f t="shared" si="22"/>
        <v>Brown</v>
      </c>
      <c r="R460" t="str">
        <f t="shared" si="23"/>
        <v>MiBr460</v>
      </c>
    </row>
    <row r="461" spans="1:18" x14ac:dyDescent="0.3">
      <c r="A461" s="6" t="s">
        <v>937</v>
      </c>
      <c r="B461" s="6" t="s">
        <v>153</v>
      </c>
      <c r="C461" s="6" t="s">
        <v>148</v>
      </c>
      <c r="D461" s="6" t="s">
        <v>116</v>
      </c>
      <c r="E461" s="6" t="s">
        <v>74</v>
      </c>
      <c r="F461" s="6" t="s">
        <v>75</v>
      </c>
      <c r="G461" s="6">
        <v>8</v>
      </c>
      <c r="H461" s="6">
        <v>41.36</v>
      </c>
      <c r="I461" s="6">
        <v>330.88</v>
      </c>
      <c r="J461" s="6">
        <v>11.78</v>
      </c>
      <c r="K461" s="6">
        <v>119.1</v>
      </c>
      <c r="L461" s="6" t="s">
        <v>24</v>
      </c>
      <c r="M461" s="6" t="s">
        <v>25</v>
      </c>
      <c r="N461" s="6" t="s">
        <v>76</v>
      </c>
      <c r="P461" t="str">
        <f t="shared" si="21"/>
        <v>Sarah</v>
      </c>
      <c r="Q461" t="str">
        <f t="shared" si="22"/>
        <v>Johnson</v>
      </c>
      <c r="R461" t="str">
        <f t="shared" si="23"/>
        <v>SaJo461</v>
      </c>
    </row>
    <row r="462" spans="1:18" x14ac:dyDescent="0.3">
      <c r="A462" s="6" t="s">
        <v>938</v>
      </c>
      <c r="B462" s="6" t="s">
        <v>939</v>
      </c>
      <c r="C462" s="6" t="s">
        <v>194</v>
      </c>
      <c r="D462" s="6" t="s">
        <v>55</v>
      </c>
      <c r="E462" s="6" t="s">
        <v>32</v>
      </c>
      <c r="F462" s="6" t="s">
        <v>23</v>
      </c>
      <c r="G462" s="6">
        <v>3</v>
      </c>
      <c r="H462" s="6">
        <v>31.39</v>
      </c>
      <c r="I462" s="6">
        <v>94.17</v>
      </c>
      <c r="J462" s="6">
        <v>2.52</v>
      </c>
      <c r="K462" s="6">
        <v>37.65</v>
      </c>
      <c r="L462" s="6" t="s">
        <v>48</v>
      </c>
      <c r="M462" s="6" t="s">
        <v>41</v>
      </c>
      <c r="N462" s="6" t="s">
        <v>98</v>
      </c>
      <c r="P462" t="str">
        <f t="shared" si="21"/>
        <v>Sarah</v>
      </c>
      <c r="Q462" t="str">
        <f t="shared" si="22"/>
        <v>Martinez</v>
      </c>
      <c r="R462" t="str">
        <f t="shared" si="23"/>
        <v>SaMa462</v>
      </c>
    </row>
    <row r="463" spans="1:18" x14ac:dyDescent="0.3">
      <c r="A463" s="6" t="s">
        <v>940</v>
      </c>
      <c r="B463" s="6" t="s">
        <v>941</v>
      </c>
      <c r="C463" s="6" t="s">
        <v>232</v>
      </c>
      <c r="D463" s="6" t="s">
        <v>171</v>
      </c>
      <c r="E463" s="6" t="s">
        <v>67</v>
      </c>
      <c r="F463" s="6" t="s">
        <v>68</v>
      </c>
      <c r="G463" s="6">
        <v>48</v>
      </c>
      <c r="H463" s="6">
        <v>33.61</v>
      </c>
      <c r="I463" s="6">
        <v>1613.28</v>
      </c>
      <c r="J463" s="6">
        <v>109.92</v>
      </c>
      <c r="K463" s="6">
        <v>423.36</v>
      </c>
      <c r="L463" s="6" t="s">
        <v>24</v>
      </c>
      <c r="M463" s="6" t="s">
        <v>41</v>
      </c>
      <c r="N463" s="6" t="s">
        <v>35</v>
      </c>
      <c r="P463" t="str">
        <f t="shared" si="21"/>
        <v>Daniel</v>
      </c>
      <c r="Q463" t="str">
        <f t="shared" si="22"/>
        <v>Johnson</v>
      </c>
      <c r="R463" t="str">
        <f t="shared" si="23"/>
        <v>DaJo463</v>
      </c>
    </row>
    <row r="464" spans="1:18" x14ac:dyDescent="0.3">
      <c r="A464" s="6" t="s">
        <v>942</v>
      </c>
      <c r="B464" s="6" t="s">
        <v>943</v>
      </c>
      <c r="C464" s="6" t="s">
        <v>277</v>
      </c>
      <c r="D464" s="6" t="s">
        <v>241</v>
      </c>
      <c r="E464" s="6" t="s">
        <v>46</v>
      </c>
      <c r="F464" s="6" t="s">
        <v>47</v>
      </c>
      <c r="G464" s="6">
        <v>9</v>
      </c>
      <c r="H464" s="6">
        <v>50.29</v>
      </c>
      <c r="I464" s="6">
        <v>452.61</v>
      </c>
      <c r="J464" s="6">
        <v>32.93</v>
      </c>
      <c r="K464" s="6">
        <v>131.68</v>
      </c>
      <c r="L464" s="6" t="s">
        <v>33</v>
      </c>
      <c r="M464" s="6" t="s">
        <v>41</v>
      </c>
      <c r="N464" s="6" t="s">
        <v>35</v>
      </c>
      <c r="P464" t="str">
        <f t="shared" si="21"/>
        <v>Michael</v>
      </c>
      <c r="Q464" t="str">
        <f t="shared" si="22"/>
        <v>Garcia</v>
      </c>
      <c r="R464" t="str">
        <f t="shared" si="23"/>
        <v>MiGa464</v>
      </c>
    </row>
    <row r="465" spans="1:18" x14ac:dyDescent="0.3">
      <c r="A465" s="6" t="s">
        <v>944</v>
      </c>
      <c r="B465" s="6" t="s">
        <v>945</v>
      </c>
      <c r="C465" s="6" t="s">
        <v>232</v>
      </c>
      <c r="D465" s="6" t="s">
        <v>21</v>
      </c>
      <c r="E465" s="6" t="s">
        <v>67</v>
      </c>
      <c r="F465" s="6" t="s">
        <v>68</v>
      </c>
      <c r="G465" s="6">
        <v>12</v>
      </c>
      <c r="H465" s="6">
        <v>34.96</v>
      </c>
      <c r="I465" s="6">
        <v>419.52</v>
      </c>
      <c r="J465" s="6">
        <v>15.43</v>
      </c>
      <c r="K465" s="6">
        <v>134.09</v>
      </c>
      <c r="L465" s="6" t="s">
        <v>33</v>
      </c>
      <c r="M465" s="6" t="s">
        <v>41</v>
      </c>
      <c r="N465" s="6" t="s">
        <v>98</v>
      </c>
      <c r="P465" t="str">
        <f t="shared" si="21"/>
        <v>Daniel</v>
      </c>
      <c r="Q465" t="str">
        <f t="shared" si="22"/>
        <v>Johnson</v>
      </c>
      <c r="R465" t="str">
        <f t="shared" si="23"/>
        <v>DaJo465</v>
      </c>
    </row>
    <row r="466" spans="1:18" x14ac:dyDescent="0.3">
      <c r="A466" s="6" t="s">
        <v>946</v>
      </c>
      <c r="B466" s="6" t="s">
        <v>947</v>
      </c>
      <c r="C466" s="6" t="s">
        <v>586</v>
      </c>
      <c r="D466" s="6" t="s">
        <v>206</v>
      </c>
      <c r="E466" s="6" t="s">
        <v>22</v>
      </c>
      <c r="F466" s="6" t="s">
        <v>23</v>
      </c>
      <c r="G466" s="6">
        <v>29</v>
      </c>
      <c r="H466" s="6">
        <v>52.72</v>
      </c>
      <c r="I466" s="6">
        <v>1528.88</v>
      </c>
      <c r="J466" s="6">
        <v>96.91</v>
      </c>
      <c r="K466" s="6">
        <v>416.97</v>
      </c>
      <c r="L466" s="6" t="s">
        <v>33</v>
      </c>
      <c r="M466" s="6" t="s">
        <v>41</v>
      </c>
      <c r="N466" s="6" t="s">
        <v>207</v>
      </c>
      <c r="P466" t="str">
        <f t="shared" si="21"/>
        <v>Emma</v>
      </c>
      <c r="Q466" t="str">
        <f t="shared" si="22"/>
        <v>Jones</v>
      </c>
      <c r="R466" t="str">
        <f t="shared" si="23"/>
        <v>EmJo466</v>
      </c>
    </row>
    <row r="467" spans="1:18" x14ac:dyDescent="0.3">
      <c r="A467" s="6" t="s">
        <v>948</v>
      </c>
      <c r="B467" s="6" t="s">
        <v>354</v>
      </c>
      <c r="C467" s="6" t="s">
        <v>521</v>
      </c>
      <c r="D467" s="6" t="s">
        <v>55</v>
      </c>
      <c r="E467" s="6" t="s">
        <v>81</v>
      </c>
      <c r="F467" s="6" t="s">
        <v>68</v>
      </c>
      <c r="G467" s="6">
        <v>39</v>
      </c>
      <c r="H467" s="6">
        <v>22.18</v>
      </c>
      <c r="I467" s="6">
        <v>865.02</v>
      </c>
      <c r="J467" s="6">
        <v>26.23</v>
      </c>
      <c r="K467" s="6">
        <v>234.29</v>
      </c>
      <c r="L467" s="6" t="s">
        <v>24</v>
      </c>
      <c r="M467" s="6" t="s">
        <v>41</v>
      </c>
      <c r="N467" s="6" t="s">
        <v>98</v>
      </c>
      <c r="P467" t="str">
        <f t="shared" si="21"/>
        <v>Daniel</v>
      </c>
      <c r="Q467" t="str">
        <f t="shared" si="22"/>
        <v>Garcia</v>
      </c>
      <c r="R467" t="str">
        <f t="shared" si="23"/>
        <v>DaGa467</v>
      </c>
    </row>
    <row r="468" spans="1:18" x14ac:dyDescent="0.3">
      <c r="A468" s="6" t="s">
        <v>949</v>
      </c>
      <c r="B468" s="6" t="s">
        <v>303</v>
      </c>
      <c r="C468" s="6" t="s">
        <v>511</v>
      </c>
      <c r="D468" s="6" t="s">
        <v>116</v>
      </c>
      <c r="E468" s="6" t="s">
        <v>81</v>
      </c>
      <c r="F468" s="6" t="s">
        <v>68</v>
      </c>
      <c r="G468" s="6">
        <v>11</v>
      </c>
      <c r="H468" s="6">
        <v>21.4</v>
      </c>
      <c r="I468" s="6">
        <v>235.4</v>
      </c>
      <c r="J468" s="6">
        <v>11.64</v>
      </c>
      <c r="K468" s="6">
        <v>53.26</v>
      </c>
      <c r="L468" s="6" t="s">
        <v>24</v>
      </c>
      <c r="M468" s="6" t="s">
        <v>41</v>
      </c>
      <c r="N468" s="6" t="s">
        <v>76</v>
      </c>
      <c r="P468" t="str">
        <f t="shared" si="21"/>
        <v>Emma</v>
      </c>
      <c r="Q468" t="str">
        <f t="shared" si="22"/>
        <v>Miller</v>
      </c>
      <c r="R468" t="str">
        <f t="shared" si="23"/>
        <v>EmMi468</v>
      </c>
    </row>
    <row r="469" spans="1:18" x14ac:dyDescent="0.3">
      <c r="A469" s="6" t="s">
        <v>950</v>
      </c>
      <c r="B469" s="6" t="s">
        <v>951</v>
      </c>
      <c r="C469" s="6" t="s">
        <v>462</v>
      </c>
      <c r="D469" s="6" t="s">
        <v>116</v>
      </c>
      <c r="E469" s="6" t="s">
        <v>74</v>
      </c>
      <c r="F469" s="6" t="s">
        <v>75</v>
      </c>
      <c r="G469" s="6">
        <v>21</v>
      </c>
      <c r="H469" s="6">
        <v>36.26</v>
      </c>
      <c r="I469" s="6">
        <v>761.46</v>
      </c>
      <c r="J469" s="6">
        <v>56.99</v>
      </c>
      <c r="K469" s="6">
        <v>179.47</v>
      </c>
      <c r="L469" s="6" t="s">
        <v>33</v>
      </c>
      <c r="M469" s="6" t="s">
        <v>25</v>
      </c>
      <c r="N469" s="6" t="s">
        <v>76</v>
      </c>
      <c r="P469" t="str">
        <f t="shared" si="21"/>
        <v>John</v>
      </c>
      <c r="Q469" t="str">
        <f t="shared" si="22"/>
        <v>Brown</v>
      </c>
      <c r="R469" t="str">
        <f t="shared" si="23"/>
        <v>JoBr469</v>
      </c>
    </row>
    <row r="470" spans="1:18" x14ac:dyDescent="0.3">
      <c r="A470" s="6" t="s">
        <v>952</v>
      </c>
      <c r="B470" s="6" t="s">
        <v>457</v>
      </c>
      <c r="C470" s="6" t="s">
        <v>328</v>
      </c>
      <c r="D470" s="6" t="s">
        <v>51</v>
      </c>
      <c r="E470" s="6" t="s">
        <v>67</v>
      </c>
      <c r="F470" s="6" t="s">
        <v>68</v>
      </c>
      <c r="G470" s="6">
        <v>39</v>
      </c>
      <c r="H470" s="6">
        <v>35.409999999999997</v>
      </c>
      <c r="I470" s="6">
        <v>1380.99</v>
      </c>
      <c r="J470" s="6">
        <v>84.56</v>
      </c>
      <c r="K470" s="6">
        <v>418.93</v>
      </c>
      <c r="L470" s="6" t="s">
        <v>33</v>
      </c>
      <c r="M470" s="6" t="s">
        <v>25</v>
      </c>
      <c r="N470" s="6" t="s">
        <v>76</v>
      </c>
      <c r="P470" t="str">
        <f t="shared" si="21"/>
        <v>Sarah</v>
      </c>
      <c r="Q470" t="str">
        <f t="shared" si="22"/>
        <v>Miller</v>
      </c>
      <c r="R470" t="str">
        <f t="shared" si="23"/>
        <v>SaMi470</v>
      </c>
    </row>
    <row r="471" spans="1:18" x14ac:dyDescent="0.3">
      <c r="A471" s="6" t="s">
        <v>953</v>
      </c>
      <c r="B471" s="6" t="s">
        <v>515</v>
      </c>
      <c r="C471" s="6" t="s">
        <v>177</v>
      </c>
      <c r="D471" s="6" t="s">
        <v>51</v>
      </c>
      <c r="E471" s="6" t="s">
        <v>32</v>
      </c>
      <c r="F471" s="6" t="s">
        <v>23</v>
      </c>
      <c r="G471" s="6">
        <v>13</v>
      </c>
      <c r="H471" s="6">
        <v>27.35</v>
      </c>
      <c r="I471" s="6">
        <v>355.55</v>
      </c>
      <c r="J471" s="6">
        <v>26.23</v>
      </c>
      <c r="K471" s="6">
        <v>95.32</v>
      </c>
      <c r="L471" s="6" t="s">
        <v>33</v>
      </c>
      <c r="M471" s="6" t="s">
        <v>41</v>
      </c>
      <c r="N471" s="6" t="s">
        <v>76</v>
      </c>
      <c r="P471" t="str">
        <f t="shared" si="21"/>
        <v>Sophia</v>
      </c>
      <c r="Q471" t="str">
        <f t="shared" si="22"/>
        <v>Smith</v>
      </c>
      <c r="R471" t="str">
        <f t="shared" si="23"/>
        <v>SoSm471</v>
      </c>
    </row>
    <row r="472" spans="1:18" x14ac:dyDescent="0.3">
      <c r="A472" s="6" t="s">
        <v>954</v>
      </c>
      <c r="B472" s="6" t="s">
        <v>686</v>
      </c>
      <c r="C472" s="6" t="s">
        <v>148</v>
      </c>
      <c r="D472" s="6" t="s">
        <v>45</v>
      </c>
      <c r="E472" s="6" t="s">
        <v>86</v>
      </c>
      <c r="F472" s="6" t="s">
        <v>47</v>
      </c>
      <c r="G472" s="6">
        <v>40</v>
      </c>
      <c r="H472" s="6">
        <v>21.08</v>
      </c>
      <c r="I472" s="6">
        <v>843.2</v>
      </c>
      <c r="J472" s="6">
        <v>66.81</v>
      </c>
      <c r="K472" s="6">
        <v>266.39</v>
      </c>
      <c r="L472" s="6" t="s">
        <v>48</v>
      </c>
      <c r="M472" s="6" t="s">
        <v>34</v>
      </c>
      <c r="N472" s="6" t="s">
        <v>49</v>
      </c>
      <c r="P472" t="str">
        <f t="shared" si="21"/>
        <v>Sarah</v>
      </c>
      <c r="Q472" t="str">
        <f t="shared" si="22"/>
        <v>Johnson</v>
      </c>
      <c r="R472" t="str">
        <f t="shared" si="23"/>
        <v>SaJo472</v>
      </c>
    </row>
    <row r="473" spans="1:18" x14ac:dyDescent="0.3">
      <c r="A473" s="6" t="s">
        <v>955</v>
      </c>
      <c r="B473" s="6" t="s">
        <v>740</v>
      </c>
      <c r="C473" s="6" t="s">
        <v>586</v>
      </c>
      <c r="D473" s="6" t="s">
        <v>62</v>
      </c>
      <c r="E473" s="6" t="s">
        <v>81</v>
      </c>
      <c r="F473" s="6" t="s">
        <v>68</v>
      </c>
      <c r="G473" s="6">
        <v>47</v>
      </c>
      <c r="H473" s="6">
        <v>27.54</v>
      </c>
      <c r="I473" s="6">
        <v>1294.3800000000001</v>
      </c>
      <c r="J473" s="6">
        <v>62.78</v>
      </c>
      <c r="K473" s="6">
        <v>503.1</v>
      </c>
      <c r="L473" s="6" t="s">
        <v>24</v>
      </c>
      <c r="M473" s="6" t="s">
        <v>25</v>
      </c>
      <c r="N473" s="6" t="s">
        <v>98</v>
      </c>
      <c r="P473" t="str">
        <f t="shared" si="21"/>
        <v>Emma</v>
      </c>
      <c r="Q473" t="str">
        <f t="shared" si="22"/>
        <v>Jones</v>
      </c>
      <c r="R473" t="str">
        <f t="shared" si="23"/>
        <v>EmJo473</v>
      </c>
    </row>
    <row r="474" spans="1:18" x14ac:dyDescent="0.3">
      <c r="A474" s="6" t="s">
        <v>956</v>
      </c>
      <c r="B474" s="6" t="s">
        <v>957</v>
      </c>
      <c r="C474" s="6" t="s">
        <v>44</v>
      </c>
      <c r="D474" s="6" t="s">
        <v>70</v>
      </c>
      <c r="E474" s="6" t="s">
        <v>46</v>
      </c>
      <c r="F474" s="6" t="s">
        <v>47</v>
      </c>
      <c r="G474" s="6">
        <v>16</v>
      </c>
      <c r="H474" s="6">
        <v>45.08</v>
      </c>
      <c r="I474" s="6">
        <v>721.28</v>
      </c>
      <c r="J474" s="6">
        <v>21.61</v>
      </c>
      <c r="K474" s="6">
        <v>187.67</v>
      </c>
      <c r="L474" s="6" t="s">
        <v>33</v>
      </c>
      <c r="M474" s="6" t="s">
        <v>41</v>
      </c>
      <c r="N474" s="6" t="s">
        <v>76</v>
      </c>
      <c r="P474" t="str">
        <f t="shared" si="21"/>
        <v>Daniel</v>
      </c>
      <c r="Q474" t="str">
        <f t="shared" si="22"/>
        <v>Miller</v>
      </c>
      <c r="R474" t="str">
        <f t="shared" si="23"/>
        <v>DaMi474</v>
      </c>
    </row>
    <row r="475" spans="1:18" x14ac:dyDescent="0.3">
      <c r="A475" s="6" t="s">
        <v>958</v>
      </c>
      <c r="B475" s="6" t="s">
        <v>723</v>
      </c>
      <c r="C475" s="6" t="s">
        <v>197</v>
      </c>
      <c r="D475" s="6" t="s">
        <v>123</v>
      </c>
      <c r="E475" s="6" t="s">
        <v>67</v>
      </c>
      <c r="F475" s="6" t="s">
        <v>68</v>
      </c>
      <c r="G475" s="6">
        <v>37</v>
      </c>
      <c r="H475" s="6">
        <v>33.200000000000003</v>
      </c>
      <c r="I475" s="6">
        <v>1228.4000000000001</v>
      </c>
      <c r="J475" s="6">
        <v>41.34</v>
      </c>
      <c r="K475" s="6">
        <v>354.56</v>
      </c>
      <c r="L475" s="6" t="s">
        <v>48</v>
      </c>
      <c r="M475" s="6" t="s">
        <v>34</v>
      </c>
      <c r="N475" s="6" t="s">
        <v>76</v>
      </c>
      <c r="P475" t="str">
        <f t="shared" si="21"/>
        <v>Emily</v>
      </c>
      <c r="Q475" t="str">
        <f t="shared" si="22"/>
        <v>Garcia</v>
      </c>
      <c r="R475" t="str">
        <f t="shared" si="23"/>
        <v>EmGa475</v>
      </c>
    </row>
    <row r="476" spans="1:18" x14ac:dyDescent="0.3">
      <c r="A476" s="6" t="s">
        <v>959</v>
      </c>
      <c r="B476" s="6" t="s">
        <v>187</v>
      </c>
      <c r="C476" s="6" t="s">
        <v>20</v>
      </c>
      <c r="D476" s="6" t="s">
        <v>123</v>
      </c>
      <c r="E476" s="6" t="s">
        <v>32</v>
      </c>
      <c r="F476" s="6" t="s">
        <v>23</v>
      </c>
      <c r="G476" s="6">
        <v>8</v>
      </c>
      <c r="H476" s="6">
        <v>27.31</v>
      </c>
      <c r="I476" s="6">
        <v>218.48</v>
      </c>
      <c r="J476" s="6">
        <v>9.51</v>
      </c>
      <c r="K476" s="6">
        <v>64.97</v>
      </c>
      <c r="L476" s="6" t="s">
        <v>48</v>
      </c>
      <c r="M476" s="6" t="s">
        <v>25</v>
      </c>
      <c r="N476" s="6" t="s">
        <v>76</v>
      </c>
      <c r="P476" t="str">
        <f t="shared" si="21"/>
        <v>Emily</v>
      </c>
      <c r="Q476" t="str">
        <f t="shared" si="22"/>
        <v>Smith</v>
      </c>
      <c r="R476" t="str">
        <f t="shared" si="23"/>
        <v>EmSm476</v>
      </c>
    </row>
    <row r="477" spans="1:18" x14ac:dyDescent="0.3">
      <c r="A477" s="6" t="s">
        <v>960</v>
      </c>
      <c r="B477" s="6" t="s">
        <v>484</v>
      </c>
      <c r="C477" s="6" t="s">
        <v>157</v>
      </c>
      <c r="D477" s="6" t="s">
        <v>141</v>
      </c>
      <c r="E477" s="6" t="s">
        <v>32</v>
      </c>
      <c r="F477" s="6" t="s">
        <v>23</v>
      </c>
      <c r="G477" s="6">
        <v>19</v>
      </c>
      <c r="H477" s="6">
        <v>29.14</v>
      </c>
      <c r="I477" s="6">
        <v>553.66</v>
      </c>
      <c r="J477" s="6">
        <v>19.7</v>
      </c>
      <c r="K477" s="6">
        <v>191.96</v>
      </c>
      <c r="L477" s="6" t="s">
        <v>24</v>
      </c>
      <c r="M477" s="6" t="s">
        <v>34</v>
      </c>
      <c r="N477" s="6" t="s">
        <v>142</v>
      </c>
      <c r="P477" t="str">
        <f t="shared" si="21"/>
        <v>Michael</v>
      </c>
      <c r="Q477" t="str">
        <f t="shared" si="22"/>
        <v>Martinez</v>
      </c>
      <c r="R477" t="str">
        <f t="shared" si="23"/>
        <v>MiMa477</v>
      </c>
    </row>
    <row r="478" spans="1:18" x14ac:dyDescent="0.3">
      <c r="A478" s="6" t="s">
        <v>961</v>
      </c>
      <c r="B478" s="6" t="s">
        <v>300</v>
      </c>
      <c r="C478" s="6" t="s">
        <v>331</v>
      </c>
      <c r="D478" s="6" t="s">
        <v>116</v>
      </c>
      <c r="E478" s="6" t="s">
        <v>22</v>
      </c>
      <c r="F478" s="6" t="s">
        <v>23</v>
      </c>
      <c r="G478" s="6">
        <v>6</v>
      </c>
      <c r="H478" s="6">
        <v>55.41</v>
      </c>
      <c r="I478" s="6">
        <v>332.46</v>
      </c>
      <c r="J478" s="6">
        <v>15.57</v>
      </c>
      <c r="K478" s="6">
        <v>106.89</v>
      </c>
      <c r="L478" s="6" t="s">
        <v>24</v>
      </c>
      <c r="M478" s="6" t="s">
        <v>25</v>
      </c>
      <c r="N478" s="6" t="s">
        <v>76</v>
      </c>
      <c r="P478" t="str">
        <f t="shared" si="21"/>
        <v>James</v>
      </c>
      <c r="Q478" t="str">
        <f t="shared" si="22"/>
        <v>Williams</v>
      </c>
      <c r="R478" t="str">
        <f t="shared" si="23"/>
        <v>JaWi478</v>
      </c>
    </row>
    <row r="479" spans="1:18" x14ac:dyDescent="0.3">
      <c r="A479" s="6" t="s">
        <v>962</v>
      </c>
      <c r="B479" s="6" t="s">
        <v>406</v>
      </c>
      <c r="C479" s="6" t="s">
        <v>307</v>
      </c>
      <c r="D479" s="6" t="s">
        <v>123</v>
      </c>
      <c r="E479" s="6" t="s">
        <v>32</v>
      </c>
      <c r="F479" s="6" t="s">
        <v>23</v>
      </c>
      <c r="G479" s="6">
        <v>48</v>
      </c>
      <c r="H479" s="6">
        <v>29.07</v>
      </c>
      <c r="I479" s="6">
        <v>1395.36</v>
      </c>
      <c r="J479" s="6">
        <v>70.38</v>
      </c>
      <c r="K479" s="6">
        <v>460.98</v>
      </c>
      <c r="L479" s="6" t="s">
        <v>33</v>
      </c>
      <c r="M479" s="6" t="s">
        <v>41</v>
      </c>
      <c r="N479" s="6" t="s">
        <v>76</v>
      </c>
      <c r="P479" t="str">
        <f t="shared" si="21"/>
        <v>Laura</v>
      </c>
      <c r="Q479" t="str">
        <f t="shared" si="22"/>
        <v>Hernandez</v>
      </c>
      <c r="R479" t="str">
        <f t="shared" si="23"/>
        <v>LaHe479</v>
      </c>
    </row>
    <row r="480" spans="1:18" x14ac:dyDescent="0.3">
      <c r="A480" s="6" t="s">
        <v>963</v>
      </c>
      <c r="B480" s="6" t="s">
        <v>964</v>
      </c>
      <c r="C480" s="6" t="s">
        <v>455</v>
      </c>
      <c r="D480" s="6" t="s">
        <v>45</v>
      </c>
      <c r="E480" s="6" t="s">
        <v>67</v>
      </c>
      <c r="F480" s="6" t="s">
        <v>68</v>
      </c>
      <c r="G480" s="6">
        <v>26</v>
      </c>
      <c r="H480" s="6">
        <v>27.17</v>
      </c>
      <c r="I480" s="6">
        <v>706.42</v>
      </c>
      <c r="J480" s="6">
        <v>33.94</v>
      </c>
      <c r="K480" s="6">
        <v>87.48</v>
      </c>
      <c r="L480" s="6" t="s">
        <v>48</v>
      </c>
      <c r="M480" s="6" t="s">
        <v>34</v>
      </c>
      <c r="N480" s="6" t="s">
        <v>49</v>
      </c>
      <c r="P480" t="str">
        <f t="shared" si="21"/>
        <v>Michael</v>
      </c>
      <c r="Q480" t="str">
        <f t="shared" si="22"/>
        <v>Hernandez</v>
      </c>
      <c r="R480" t="str">
        <f t="shared" si="23"/>
        <v>MiHe480</v>
      </c>
    </row>
    <row r="481" spans="1:18" x14ac:dyDescent="0.3">
      <c r="A481" s="6" t="s">
        <v>965</v>
      </c>
      <c r="B481" s="6" t="s">
        <v>243</v>
      </c>
      <c r="C481" s="6" t="s">
        <v>170</v>
      </c>
      <c r="D481" s="6" t="s">
        <v>127</v>
      </c>
      <c r="E481" s="6" t="s">
        <v>22</v>
      </c>
      <c r="F481" s="6" t="s">
        <v>23</v>
      </c>
      <c r="G481" s="6">
        <v>9</v>
      </c>
      <c r="H481" s="6">
        <v>48.76</v>
      </c>
      <c r="I481" s="6">
        <v>438.84</v>
      </c>
      <c r="J481" s="6">
        <v>16.91</v>
      </c>
      <c r="K481" s="6">
        <v>106.93</v>
      </c>
      <c r="L481" s="6" t="s">
        <v>48</v>
      </c>
      <c r="M481" s="6" t="s">
        <v>25</v>
      </c>
      <c r="N481" s="6" t="s">
        <v>76</v>
      </c>
      <c r="P481" t="str">
        <f t="shared" si="21"/>
        <v>Laura</v>
      </c>
      <c r="Q481" t="str">
        <f t="shared" si="22"/>
        <v>Miller</v>
      </c>
      <c r="R481" t="str">
        <f t="shared" si="23"/>
        <v>LaMi481</v>
      </c>
    </row>
    <row r="482" spans="1:18" x14ac:dyDescent="0.3">
      <c r="A482" s="6" t="s">
        <v>966</v>
      </c>
      <c r="B482" s="6" t="s">
        <v>686</v>
      </c>
      <c r="C482" s="6" t="s">
        <v>360</v>
      </c>
      <c r="D482" s="6" t="s">
        <v>31</v>
      </c>
      <c r="E482" s="6" t="s">
        <v>67</v>
      </c>
      <c r="F482" s="6" t="s">
        <v>68</v>
      </c>
      <c r="G482" s="6">
        <v>37</v>
      </c>
      <c r="H482" s="6">
        <v>33.21</v>
      </c>
      <c r="I482" s="6">
        <v>1228.77</v>
      </c>
      <c r="J482" s="6">
        <v>96.12</v>
      </c>
      <c r="K482" s="6">
        <v>300.14999999999998</v>
      </c>
      <c r="L482" s="6" t="s">
        <v>48</v>
      </c>
      <c r="M482" s="6" t="s">
        <v>34</v>
      </c>
      <c r="N482" s="6" t="s">
        <v>35</v>
      </c>
      <c r="P482" t="str">
        <f t="shared" si="21"/>
        <v>Emily</v>
      </c>
      <c r="Q482" t="str">
        <f t="shared" si="22"/>
        <v>Miller</v>
      </c>
      <c r="R482" t="str">
        <f t="shared" si="23"/>
        <v>EmMi482</v>
      </c>
    </row>
    <row r="483" spans="1:18" x14ac:dyDescent="0.3">
      <c r="A483" s="6" t="s">
        <v>967</v>
      </c>
      <c r="B483" s="6" t="s">
        <v>672</v>
      </c>
      <c r="C483" s="6" t="s">
        <v>170</v>
      </c>
      <c r="D483" s="6" t="s">
        <v>45</v>
      </c>
      <c r="E483" s="6" t="s">
        <v>86</v>
      </c>
      <c r="F483" s="6" t="s">
        <v>47</v>
      </c>
      <c r="G483" s="6">
        <v>29</v>
      </c>
      <c r="H483" s="6">
        <v>16.54</v>
      </c>
      <c r="I483" s="6">
        <v>479.66</v>
      </c>
      <c r="J483" s="6">
        <v>30.23</v>
      </c>
      <c r="K483" s="6">
        <v>79.680000000000007</v>
      </c>
      <c r="L483" s="6" t="s">
        <v>33</v>
      </c>
      <c r="M483" s="6" t="s">
        <v>41</v>
      </c>
      <c r="N483" s="6" t="s">
        <v>49</v>
      </c>
      <c r="P483" t="str">
        <f t="shared" si="21"/>
        <v>Laura</v>
      </c>
      <c r="Q483" t="str">
        <f t="shared" si="22"/>
        <v>Miller</v>
      </c>
      <c r="R483" t="str">
        <f t="shared" si="23"/>
        <v>LaMi483</v>
      </c>
    </row>
    <row r="484" spans="1:18" x14ac:dyDescent="0.3">
      <c r="A484" s="6" t="s">
        <v>968</v>
      </c>
      <c r="B484" s="6" t="s">
        <v>224</v>
      </c>
      <c r="C484" s="6" t="s">
        <v>126</v>
      </c>
      <c r="D484" s="6" t="s">
        <v>206</v>
      </c>
      <c r="E484" s="6" t="s">
        <v>74</v>
      </c>
      <c r="F484" s="6" t="s">
        <v>75</v>
      </c>
      <c r="G484" s="6">
        <v>11</v>
      </c>
      <c r="H484" s="6">
        <v>44.56</v>
      </c>
      <c r="I484" s="6">
        <v>490.16</v>
      </c>
      <c r="J484" s="6">
        <v>23.97</v>
      </c>
      <c r="K484" s="6">
        <v>191.19</v>
      </c>
      <c r="L484" s="6" t="s">
        <v>33</v>
      </c>
      <c r="M484" s="6" t="s">
        <v>41</v>
      </c>
      <c r="N484" s="6" t="s">
        <v>207</v>
      </c>
      <c r="P484" t="str">
        <f t="shared" si="21"/>
        <v>David</v>
      </c>
      <c r="Q484" t="str">
        <f t="shared" si="22"/>
        <v>Williams</v>
      </c>
      <c r="R484" t="str">
        <f t="shared" si="23"/>
        <v>DaWi484</v>
      </c>
    </row>
    <row r="485" spans="1:18" x14ac:dyDescent="0.3">
      <c r="A485" s="6" t="s">
        <v>969</v>
      </c>
      <c r="B485" s="6" t="s">
        <v>675</v>
      </c>
      <c r="C485" s="6" t="s">
        <v>66</v>
      </c>
      <c r="D485" s="6" t="s">
        <v>62</v>
      </c>
      <c r="E485" s="6" t="s">
        <v>46</v>
      </c>
      <c r="F485" s="6" t="s">
        <v>47</v>
      </c>
      <c r="G485" s="6">
        <v>50</v>
      </c>
      <c r="H485" s="6">
        <v>44.78</v>
      </c>
      <c r="I485" s="6">
        <v>2239</v>
      </c>
      <c r="J485" s="6">
        <v>169.97</v>
      </c>
      <c r="K485" s="6">
        <v>469.03</v>
      </c>
      <c r="L485" s="6" t="s">
        <v>24</v>
      </c>
      <c r="M485" s="6" t="s">
        <v>41</v>
      </c>
      <c r="N485" s="6" t="s">
        <v>98</v>
      </c>
      <c r="P485" t="str">
        <f t="shared" si="21"/>
        <v>Emma</v>
      </c>
      <c r="Q485" t="str">
        <f t="shared" si="22"/>
        <v>Hernandez</v>
      </c>
      <c r="R485" t="str">
        <f t="shared" si="23"/>
        <v>EmHe485</v>
      </c>
    </row>
    <row r="486" spans="1:18" x14ac:dyDescent="0.3">
      <c r="A486" s="6" t="s">
        <v>970</v>
      </c>
      <c r="B486" s="6" t="s">
        <v>971</v>
      </c>
      <c r="C486" s="6" t="s">
        <v>122</v>
      </c>
      <c r="D486" s="6" t="s">
        <v>21</v>
      </c>
      <c r="E486" s="6" t="s">
        <v>32</v>
      </c>
      <c r="F486" s="6" t="s">
        <v>23</v>
      </c>
      <c r="G486" s="6">
        <v>30</v>
      </c>
      <c r="H486" s="6">
        <v>22.51</v>
      </c>
      <c r="I486" s="6">
        <v>675.3</v>
      </c>
      <c r="J486" s="6">
        <v>26.26</v>
      </c>
      <c r="K486" s="6">
        <v>109.04</v>
      </c>
      <c r="L486" s="6" t="s">
        <v>24</v>
      </c>
      <c r="M486" s="6" t="s">
        <v>25</v>
      </c>
      <c r="N486" s="6" t="s">
        <v>98</v>
      </c>
      <c r="P486" t="str">
        <f t="shared" si="21"/>
        <v>Sarah</v>
      </c>
      <c r="Q486" t="str">
        <f t="shared" si="22"/>
        <v>Davis</v>
      </c>
      <c r="R486" t="str">
        <f t="shared" si="23"/>
        <v>SaDa486</v>
      </c>
    </row>
    <row r="487" spans="1:18" x14ac:dyDescent="0.3">
      <c r="A487" s="6" t="s">
        <v>972</v>
      </c>
      <c r="B487" s="6" t="s">
        <v>973</v>
      </c>
      <c r="C487" s="6" t="s">
        <v>391</v>
      </c>
      <c r="D487" s="6" t="s">
        <v>206</v>
      </c>
      <c r="E487" s="6" t="s">
        <v>81</v>
      </c>
      <c r="F487" s="6" t="s">
        <v>68</v>
      </c>
      <c r="G487" s="6">
        <v>50</v>
      </c>
      <c r="H487" s="6">
        <v>27.18</v>
      </c>
      <c r="I487" s="6">
        <v>1359</v>
      </c>
      <c r="J487" s="6">
        <v>45.67</v>
      </c>
      <c r="K487" s="6">
        <v>538.33000000000004</v>
      </c>
      <c r="L487" s="6" t="s">
        <v>24</v>
      </c>
      <c r="M487" s="6" t="s">
        <v>41</v>
      </c>
      <c r="N487" s="6" t="s">
        <v>207</v>
      </c>
      <c r="P487" t="str">
        <f t="shared" si="21"/>
        <v>John</v>
      </c>
      <c r="Q487" t="str">
        <f t="shared" si="22"/>
        <v>Martinez</v>
      </c>
      <c r="R487" t="str">
        <f t="shared" si="23"/>
        <v>JoMa487</v>
      </c>
    </row>
    <row r="488" spans="1:18" x14ac:dyDescent="0.3">
      <c r="A488" s="6" t="s">
        <v>974</v>
      </c>
      <c r="B488" s="6" t="s">
        <v>706</v>
      </c>
      <c r="C488" s="6" t="s">
        <v>216</v>
      </c>
      <c r="D488" s="6" t="s">
        <v>37</v>
      </c>
      <c r="E488" s="6" t="s">
        <v>137</v>
      </c>
      <c r="F488" s="6" t="s">
        <v>68</v>
      </c>
      <c r="G488" s="6">
        <v>28</v>
      </c>
      <c r="H488" s="6">
        <v>37.51</v>
      </c>
      <c r="I488" s="6">
        <v>1050.28</v>
      </c>
      <c r="J488" s="6">
        <v>45.83</v>
      </c>
      <c r="K488" s="6">
        <v>220.45</v>
      </c>
      <c r="L488" s="6" t="s">
        <v>48</v>
      </c>
      <c r="M488" s="6" t="s">
        <v>34</v>
      </c>
      <c r="N488" s="6" t="s">
        <v>35</v>
      </c>
      <c r="P488" t="str">
        <f t="shared" si="21"/>
        <v>Daniel</v>
      </c>
      <c r="Q488" t="str">
        <f t="shared" si="22"/>
        <v>Smith</v>
      </c>
      <c r="R488" t="str">
        <f t="shared" si="23"/>
        <v>DaSm488</v>
      </c>
    </row>
    <row r="489" spans="1:18" x14ac:dyDescent="0.3">
      <c r="A489" s="6" t="s">
        <v>975</v>
      </c>
      <c r="B489" s="6" t="s">
        <v>268</v>
      </c>
      <c r="C489" s="6" t="s">
        <v>113</v>
      </c>
      <c r="D489" s="6" t="s">
        <v>206</v>
      </c>
      <c r="E489" s="6" t="s">
        <v>56</v>
      </c>
      <c r="F489" s="6" t="s">
        <v>57</v>
      </c>
      <c r="G489" s="6">
        <v>50</v>
      </c>
      <c r="H489" s="6">
        <v>53.71</v>
      </c>
      <c r="I489" s="6">
        <v>2685.5</v>
      </c>
      <c r="J489" s="6">
        <v>197.89</v>
      </c>
      <c r="K489" s="6">
        <v>487.61</v>
      </c>
      <c r="L489" s="6" t="s">
        <v>33</v>
      </c>
      <c r="M489" s="6" t="s">
        <v>41</v>
      </c>
      <c r="N489" s="6" t="s">
        <v>207</v>
      </c>
      <c r="P489" t="str">
        <f t="shared" si="21"/>
        <v>James</v>
      </c>
      <c r="Q489" t="str">
        <f t="shared" si="22"/>
        <v>Davis</v>
      </c>
      <c r="R489" t="str">
        <f t="shared" si="23"/>
        <v>JaDa489</v>
      </c>
    </row>
    <row r="490" spans="1:18" x14ac:dyDescent="0.3">
      <c r="A490" s="6" t="s">
        <v>976</v>
      </c>
      <c r="B490" s="6" t="s">
        <v>977</v>
      </c>
      <c r="C490" s="6" t="s">
        <v>630</v>
      </c>
      <c r="D490" s="6" t="s">
        <v>141</v>
      </c>
      <c r="E490" s="6" t="s">
        <v>81</v>
      </c>
      <c r="F490" s="6" t="s">
        <v>68</v>
      </c>
      <c r="G490" s="6">
        <v>24</v>
      </c>
      <c r="H490" s="6">
        <v>18.62</v>
      </c>
      <c r="I490" s="6">
        <v>446.88</v>
      </c>
      <c r="J490" s="6">
        <v>26.91</v>
      </c>
      <c r="K490" s="6">
        <v>47.97</v>
      </c>
      <c r="L490" s="6" t="s">
        <v>33</v>
      </c>
      <c r="M490" s="6" t="s">
        <v>34</v>
      </c>
      <c r="N490" s="6" t="s">
        <v>142</v>
      </c>
      <c r="P490" t="str">
        <f t="shared" si="21"/>
        <v>John</v>
      </c>
      <c r="Q490" t="str">
        <f t="shared" si="22"/>
        <v>Smith</v>
      </c>
      <c r="R490" t="str">
        <f t="shared" si="23"/>
        <v>JoSm490</v>
      </c>
    </row>
    <row r="491" spans="1:18" x14ac:dyDescent="0.3">
      <c r="A491" s="6" t="s">
        <v>978</v>
      </c>
      <c r="B491" s="6" t="s">
        <v>577</v>
      </c>
      <c r="C491" s="6" t="s">
        <v>290</v>
      </c>
      <c r="D491" s="6" t="s">
        <v>116</v>
      </c>
      <c r="E491" s="6" t="s">
        <v>56</v>
      </c>
      <c r="F491" s="6" t="s">
        <v>57</v>
      </c>
      <c r="G491" s="6">
        <v>10</v>
      </c>
      <c r="H491" s="6">
        <v>49.15</v>
      </c>
      <c r="I491" s="6">
        <v>491.5</v>
      </c>
      <c r="J491" s="6">
        <v>13.3</v>
      </c>
      <c r="K491" s="6">
        <v>78.2</v>
      </c>
      <c r="L491" s="6" t="s">
        <v>48</v>
      </c>
      <c r="M491" s="6" t="s">
        <v>41</v>
      </c>
      <c r="N491" s="6" t="s">
        <v>76</v>
      </c>
      <c r="P491" t="str">
        <f t="shared" si="21"/>
        <v>Michael</v>
      </c>
      <c r="Q491" t="str">
        <f t="shared" si="22"/>
        <v>Davis</v>
      </c>
      <c r="R491" t="str">
        <f t="shared" si="23"/>
        <v>MiDa491</v>
      </c>
    </row>
    <row r="492" spans="1:18" x14ac:dyDescent="0.3">
      <c r="A492" s="6" t="s">
        <v>979</v>
      </c>
      <c r="B492" s="6" t="s">
        <v>980</v>
      </c>
      <c r="C492" s="6" t="s">
        <v>328</v>
      </c>
      <c r="D492" s="6" t="s">
        <v>51</v>
      </c>
      <c r="E492" s="6" t="s">
        <v>56</v>
      </c>
      <c r="F492" s="6" t="s">
        <v>57</v>
      </c>
      <c r="G492" s="6">
        <v>42</v>
      </c>
      <c r="H492" s="6">
        <v>50.96</v>
      </c>
      <c r="I492" s="6">
        <v>2140.3200000000002</v>
      </c>
      <c r="J492" s="6">
        <v>127.85</v>
      </c>
      <c r="K492" s="6">
        <v>332.47</v>
      </c>
      <c r="L492" s="6" t="s">
        <v>24</v>
      </c>
      <c r="M492" s="6" t="s">
        <v>34</v>
      </c>
      <c r="N492" s="6" t="s">
        <v>76</v>
      </c>
      <c r="P492" t="str">
        <f t="shared" si="21"/>
        <v>Sarah</v>
      </c>
      <c r="Q492" t="str">
        <f t="shared" si="22"/>
        <v>Miller</v>
      </c>
      <c r="R492" t="str">
        <f t="shared" si="23"/>
        <v>SaMi492</v>
      </c>
    </row>
    <row r="493" spans="1:18" x14ac:dyDescent="0.3">
      <c r="A493" s="6" t="s">
        <v>981</v>
      </c>
      <c r="B493" s="6" t="s">
        <v>982</v>
      </c>
      <c r="C493" s="6" t="s">
        <v>323</v>
      </c>
      <c r="D493" s="6" t="s">
        <v>51</v>
      </c>
      <c r="E493" s="6" t="s">
        <v>74</v>
      </c>
      <c r="F493" s="6" t="s">
        <v>75</v>
      </c>
      <c r="G493" s="6">
        <v>39</v>
      </c>
      <c r="H493" s="6">
        <v>37.46</v>
      </c>
      <c r="I493" s="6">
        <v>1460.94</v>
      </c>
      <c r="J493" s="6">
        <v>82.25</v>
      </c>
      <c r="K493" s="6">
        <v>403.69</v>
      </c>
      <c r="L493" s="6" t="s">
        <v>48</v>
      </c>
      <c r="M493" s="6" t="s">
        <v>25</v>
      </c>
      <c r="N493" s="6" t="s">
        <v>76</v>
      </c>
      <c r="P493" t="str">
        <f t="shared" si="21"/>
        <v>Sophia</v>
      </c>
      <c r="Q493" t="str">
        <f t="shared" si="22"/>
        <v>Martinez</v>
      </c>
      <c r="R493" t="str">
        <f t="shared" si="23"/>
        <v>SoMa493</v>
      </c>
    </row>
    <row r="494" spans="1:18" x14ac:dyDescent="0.3">
      <c r="A494" s="6" t="s">
        <v>983</v>
      </c>
      <c r="B494" s="6" t="s">
        <v>984</v>
      </c>
      <c r="C494" s="6" t="s">
        <v>174</v>
      </c>
      <c r="D494" s="6" t="s">
        <v>171</v>
      </c>
      <c r="E494" s="6" t="s">
        <v>86</v>
      </c>
      <c r="F494" s="6" t="s">
        <v>47</v>
      </c>
      <c r="G494" s="6">
        <v>7</v>
      </c>
      <c r="H494" s="6">
        <v>20.2</v>
      </c>
      <c r="I494" s="6">
        <v>141.4</v>
      </c>
      <c r="J494" s="6">
        <v>4.3499999999999996</v>
      </c>
      <c r="K494" s="6">
        <v>47.8</v>
      </c>
      <c r="L494" s="6" t="s">
        <v>33</v>
      </c>
      <c r="M494" s="6" t="s">
        <v>41</v>
      </c>
      <c r="N494" s="6" t="s">
        <v>35</v>
      </c>
      <c r="P494" t="str">
        <f t="shared" si="21"/>
        <v>Sophia</v>
      </c>
      <c r="Q494" t="str">
        <f t="shared" si="22"/>
        <v>Garcia</v>
      </c>
      <c r="R494" t="str">
        <f t="shared" si="23"/>
        <v>SoGa494</v>
      </c>
    </row>
    <row r="495" spans="1:18" x14ac:dyDescent="0.3">
      <c r="A495" s="6" t="s">
        <v>985</v>
      </c>
      <c r="B495" s="6" t="s">
        <v>986</v>
      </c>
      <c r="C495" s="6" t="s">
        <v>197</v>
      </c>
      <c r="D495" s="6" t="s">
        <v>55</v>
      </c>
      <c r="E495" s="6" t="s">
        <v>86</v>
      </c>
      <c r="F495" s="6" t="s">
        <v>47</v>
      </c>
      <c r="G495" s="6">
        <v>18</v>
      </c>
      <c r="H495" s="6">
        <v>18.63</v>
      </c>
      <c r="I495" s="6">
        <v>335.34</v>
      </c>
      <c r="J495" s="6">
        <v>26.18</v>
      </c>
      <c r="K495" s="6">
        <v>79.66</v>
      </c>
      <c r="L495" s="6" t="s">
        <v>33</v>
      </c>
      <c r="M495" s="6" t="s">
        <v>25</v>
      </c>
      <c r="N495" s="6" t="s">
        <v>98</v>
      </c>
      <c r="P495" t="str">
        <f t="shared" si="21"/>
        <v>Emily</v>
      </c>
      <c r="Q495" t="str">
        <f t="shared" si="22"/>
        <v>Garcia</v>
      </c>
      <c r="R495" t="str">
        <f t="shared" si="23"/>
        <v>EmGa495</v>
      </c>
    </row>
    <row r="496" spans="1:18" x14ac:dyDescent="0.3">
      <c r="A496" s="6" t="s">
        <v>987</v>
      </c>
      <c r="B496" s="6" t="s">
        <v>988</v>
      </c>
      <c r="C496" s="6" t="s">
        <v>462</v>
      </c>
      <c r="D496" s="6" t="s">
        <v>206</v>
      </c>
      <c r="E496" s="6" t="s">
        <v>67</v>
      </c>
      <c r="F496" s="6" t="s">
        <v>68</v>
      </c>
      <c r="G496" s="6">
        <v>12</v>
      </c>
      <c r="H496" s="6">
        <v>27.08</v>
      </c>
      <c r="I496" s="6">
        <v>324.95999999999998</v>
      </c>
      <c r="J496" s="6">
        <v>15.59</v>
      </c>
      <c r="K496" s="6">
        <v>39.369999999999997</v>
      </c>
      <c r="L496" s="6" t="s">
        <v>33</v>
      </c>
      <c r="M496" s="6" t="s">
        <v>41</v>
      </c>
      <c r="N496" s="6" t="s">
        <v>207</v>
      </c>
      <c r="P496" t="str">
        <f t="shared" si="21"/>
        <v>John</v>
      </c>
      <c r="Q496" t="str">
        <f t="shared" si="22"/>
        <v>Brown</v>
      </c>
      <c r="R496" t="str">
        <f t="shared" si="23"/>
        <v>JoBr496</v>
      </c>
    </row>
    <row r="497" spans="1:18" x14ac:dyDescent="0.3">
      <c r="A497" s="6" t="s">
        <v>989</v>
      </c>
      <c r="B497" s="6" t="s">
        <v>153</v>
      </c>
      <c r="C497" s="6" t="s">
        <v>499</v>
      </c>
      <c r="D497" s="6" t="s">
        <v>171</v>
      </c>
      <c r="E497" s="6" t="s">
        <v>74</v>
      </c>
      <c r="F497" s="6" t="s">
        <v>75</v>
      </c>
      <c r="G497" s="6">
        <v>50</v>
      </c>
      <c r="H497" s="6">
        <v>32.21</v>
      </c>
      <c r="I497" s="6">
        <v>1610.5</v>
      </c>
      <c r="J497" s="6">
        <v>32.68</v>
      </c>
      <c r="K497" s="6">
        <v>327.82</v>
      </c>
      <c r="L497" s="6" t="s">
        <v>33</v>
      </c>
      <c r="M497" s="6" t="s">
        <v>41</v>
      </c>
      <c r="N497" s="6" t="s">
        <v>35</v>
      </c>
      <c r="P497" t="str">
        <f t="shared" si="21"/>
        <v>Sarah</v>
      </c>
      <c r="Q497" t="str">
        <f t="shared" si="22"/>
        <v>Hernandez</v>
      </c>
      <c r="R497" t="str">
        <f t="shared" si="23"/>
        <v>SaHe497</v>
      </c>
    </row>
    <row r="498" spans="1:18" x14ac:dyDescent="0.3">
      <c r="A498" s="6" t="s">
        <v>990</v>
      </c>
      <c r="B498" s="6" t="s">
        <v>768</v>
      </c>
      <c r="C498" s="6" t="s">
        <v>646</v>
      </c>
      <c r="D498" s="6" t="s">
        <v>141</v>
      </c>
      <c r="E498" s="6" t="s">
        <v>86</v>
      </c>
      <c r="F498" s="6" t="s">
        <v>47</v>
      </c>
      <c r="G498" s="6">
        <v>49</v>
      </c>
      <c r="H498" s="6">
        <v>20.59</v>
      </c>
      <c r="I498" s="6">
        <v>1008.91</v>
      </c>
      <c r="J498" s="6">
        <v>78.03</v>
      </c>
      <c r="K498" s="6">
        <v>306.13</v>
      </c>
      <c r="L498" s="6" t="s">
        <v>33</v>
      </c>
      <c r="M498" s="6" t="s">
        <v>41</v>
      </c>
      <c r="N498" s="6" t="s">
        <v>142</v>
      </c>
      <c r="P498" t="str">
        <f t="shared" si="21"/>
        <v>James</v>
      </c>
      <c r="Q498" t="str">
        <f t="shared" si="22"/>
        <v>Garcia</v>
      </c>
      <c r="R498" t="str">
        <f t="shared" si="23"/>
        <v>JaGa498</v>
      </c>
    </row>
    <row r="499" spans="1:18" x14ac:dyDescent="0.3">
      <c r="A499" s="6" t="s">
        <v>991</v>
      </c>
      <c r="B499" s="6" t="s">
        <v>992</v>
      </c>
      <c r="C499" s="6" t="s">
        <v>140</v>
      </c>
      <c r="D499" s="6" t="s">
        <v>37</v>
      </c>
      <c r="E499" s="6" t="s">
        <v>63</v>
      </c>
      <c r="F499" s="6" t="s">
        <v>47</v>
      </c>
      <c r="G499" s="6">
        <v>22</v>
      </c>
      <c r="H499" s="6">
        <v>28.63</v>
      </c>
      <c r="I499" s="6">
        <v>629.86</v>
      </c>
      <c r="J499" s="6">
        <v>29.08</v>
      </c>
      <c r="K499" s="6">
        <v>160.78</v>
      </c>
      <c r="L499" s="6" t="s">
        <v>33</v>
      </c>
      <c r="M499" s="6" t="s">
        <v>34</v>
      </c>
      <c r="N499" s="6" t="s">
        <v>35</v>
      </c>
      <c r="P499" t="str">
        <f t="shared" si="21"/>
        <v>Michael</v>
      </c>
      <c r="Q499" t="str">
        <f t="shared" si="22"/>
        <v>Miller</v>
      </c>
      <c r="R499" t="str">
        <f t="shared" si="23"/>
        <v>MiMi499</v>
      </c>
    </row>
    <row r="500" spans="1:18" x14ac:dyDescent="0.3">
      <c r="A500" s="6" t="s">
        <v>993</v>
      </c>
      <c r="B500" s="6" t="s">
        <v>994</v>
      </c>
      <c r="C500" s="6" t="s">
        <v>290</v>
      </c>
      <c r="D500" s="6" t="s">
        <v>51</v>
      </c>
      <c r="E500" s="6" t="s">
        <v>56</v>
      </c>
      <c r="F500" s="6" t="s">
        <v>57</v>
      </c>
      <c r="G500" s="6">
        <v>11</v>
      </c>
      <c r="H500" s="6">
        <v>56.12</v>
      </c>
      <c r="I500" s="6">
        <v>617.32000000000005</v>
      </c>
      <c r="J500" s="6">
        <v>38.26</v>
      </c>
      <c r="K500" s="6">
        <v>139.06</v>
      </c>
      <c r="L500" s="6" t="s">
        <v>33</v>
      </c>
      <c r="M500" s="6" t="s">
        <v>34</v>
      </c>
      <c r="N500" s="6" t="s">
        <v>76</v>
      </c>
      <c r="P500" t="str">
        <f t="shared" si="21"/>
        <v>Michael</v>
      </c>
      <c r="Q500" t="str">
        <f t="shared" si="22"/>
        <v>Davis</v>
      </c>
      <c r="R500" t="str">
        <f t="shared" si="23"/>
        <v>MiDa500</v>
      </c>
    </row>
    <row r="501" spans="1:18" x14ac:dyDescent="0.3">
      <c r="A501" s="6" t="s">
        <v>995</v>
      </c>
      <c r="B501" s="6" t="s">
        <v>996</v>
      </c>
      <c r="C501" s="6" t="s">
        <v>54</v>
      </c>
      <c r="D501" s="6" t="s">
        <v>21</v>
      </c>
      <c r="E501" s="6" t="s">
        <v>74</v>
      </c>
      <c r="F501" s="6" t="s">
        <v>75</v>
      </c>
      <c r="G501" s="6">
        <v>2</v>
      </c>
      <c r="H501" s="6">
        <v>30.88</v>
      </c>
      <c r="I501" s="6">
        <v>61.76</v>
      </c>
      <c r="J501" s="6">
        <v>4.42</v>
      </c>
      <c r="K501" s="6">
        <v>7.34</v>
      </c>
      <c r="L501" s="6" t="s">
        <v>48</v>
      </c>
      <c r="M501" s="6" t="s">
        <v>34</v>
      </c>
      <c r="N501" s="6" t="s">
        <v>98</v>
      </c>
      <c r="P501" t="str">
        <f t="shared" si="21"/>
        <v>Emma</v>
      </c>
      <c r="Q501" t="str">
        <f t="shared" si="22"/>
        <v>Johnson</v>
      </c>
      <c r="R501" t="str">
        <f t="shared" si="23"/>
        <v>EmJo501</v>
      </c>
    </row>
    <row r="502" spans="1:18" x14ac:dyDescent="0.3">
      <c r="A502" s="6" t="s">
        <v>997</v>
      </c>
      <c r="B502" s="6" t="s">
        <v>998</v>
      </c>
      <c r="C502" s="6" t="s">
        <v>471</v>
      </c>
      <c r="D502" s="6" t="s">
        <v>206</v>
      </c>
      <c r="E502" s="6" t="s">
        <v>56</v>
      </c>
      <c r="F502" s="6" t="s">
        <v>57</v>
      </c>
      <c r="G502" s="6">
        <v>34</v>
      </c>
      <c r="H502" s="6">
        <v>63.8</v>
      </c>
      <c r="I502" s="6">
        <v>2169.1999999999998</v>
      </c>
      <c r="J502" s="6">
        <v>69.650000000000006</v>
      </c>
      <c r="K502" s="6">
        <v>739.55</v>
      </c>
      <c r="L502" s="6" t="s">
        <v>33</v>
      </c>
      <c r="M502" s="6" t="s">
        <v>41</v>
      </c>
      <c r="N502" s="6" t="s">
        <v>207</v>
      </c>
      <c r="P502" t="str">
        <f t="shared" si="21"/>
        <v>Emily</v>
      </c>
      <c r="Q502" t="str">
        <f t="shared" si="22"/>
        <v>Johnson</v>
      </c>
      <c r="R502" t="str">
        <f t="shared" si="23"/>
        <v>EmJo502</v>
      </c>
    </row>
    <row r="503" spans="1:18" x14ac:dyDescent="0.3">
      <c r="A503" s="6" t="s">
        <v>999</v>
      </c>
      <c r="B503" s="6" t="s">
        <v>412</v>
      </c>
      <c r="C503" s="6" t="s">
        <v>282</v>
      </c>
      <c r="D503" s="6" t="s">
        <v>62</v>
      </c>
      <c r="E503" s="6" t="s">
        <v>137</v>
      </c>
      <c r="F503" s="6" t="s">
        <v>68</v>
      </c>
      <c r="G503" s="6">
        <v>50</v>
      </c>
      <c r="H503" s="6">
        <v>44.61</v>
      </c>
      <c r="I503" s="6">
        <v>2230.5</v>
      </c>
      <c r="J503" s="6">
        <v>91.32</v>
      </c>
      <c r="K503" s="6">
        <v>739.18</v>
      </c>
      <c r="L503" s="6" t="s">
        <v>48</v>
      </c>
      <c r="M503" s="6" t="s">
        <v>25</v>
      </c>
      <c r="N503" s="6" t="s">
        <v>98</v>
      </c>
      <c r="P503" t="str">
        <f t="shared" si="21"/>
        <v>David</v>
      </c>
      <c r="Q503" t="str">
        <f t="shared" si="22"/>
        <v>Smith</v>
      </c>
      <c r="R503" t="str">
        <f t="shared" si="23"/>
        <v>DaSm503</v>
      </c>
    </row>
    <row r="504" spans="1:18" x14ac:dyDescent="0.3">
      <c r="A504" s="6" t="s">
        <v>1000</v>
      </c>
      <c r="B504" s="6" t="s">
        <v>1001</v>
      </c>
      <c r="C504" s="6" t="s">
        <v>119</v>
      </c>
      <c r="D504" s="6" t="s">
        <v>123</v>
      </c>
      <c r="E504" s="6" t="s">
        <v>86</v>
      </c>
      <c r="F504" s="6" t="s">
        <v>47</v>
      </c>
      <c r="G504" s="6">
        <v>14</v>
      </c>
      <c r="H504" s="6">
        <v>18.61</v>
      </c>
      <c r="I504" s="6">
        <v>260.54000000000002</v>
      </c>
      <c r="J504" s="6">
        <v>5.39</v>
      </c>
      <c r="K504" s="6">
        <v>76.650000000000006</v>
      </c>
      <c r="L504" s="6" t="s">
        <v>33</v>
      </c>
      <c r="M504" s="6" t="s">
        <v>41</v>
      </c>
      <c r="N504" s="6" t="s">
        <v>76</v>
      </c>
      <c r="P504" t="str">
        <f t="shared" si="21"/>
        <v>Emma</v>
      </c>
      <c r="Q504" t="str">
        <f t="shared" si="22"/>
        <v>Smith</v>
      </c>
      <c r="R504" t="str">
        <f t="shared" si="23"/>
        <v>EmSm504</v>
      </c>
    </row>
    <row r="505" spans="1:18" x14ac:dyDescent="0.3">
      <c r="A505" s="6" t="s">
        <v>1002</v>
      </c>
      <c r="B505" s="6" t="s">
        <v>816</v>
      </c>
      <c r="C505" s="6" t="s">
        <v>455</v>
      </c>
      <c r="D505" s="6" t="s">
        <v>31</v>
      </c>
      <c r="E505" s="6" t="s">
        <v>81</v>
      </c>
      <c r="F505" s="6" t="s">
        <v>68</v>
      </c>
      <c r="G505" s="6">
        <v>7</v>
      </c>
      <c r="H505" s="6">
        <v>24.61</v>
      </c>
      <c r="I505" s="6">
        <v>172.27</v>
      </c>
      <c r="J505" s="6">
        <v>9.64</v>
      </c>
      <c r="K505" s="6">
        <v>54.13</v>
      </c>
      <c r="L505" s="6" t="s">
        <v>48</v>
      </c>
      <c r="M505" s="6" t="s">
        <v>41</v>
      </c>
      <c r="N505" s="6" t="s">
        <v>35</v>
      </c>
      <c r="P505" t="str">
        <f t="shared" si="21"/>
        <v>Michael</v>
      </c>
      <c r="Q505" t="str">
        <f t="shared" si="22"/>
        <v>Hernandez</v>
      </c>
      <c r="R505" t="str">
        <f t="shared" si="23"/>
        <v>MiHe505</v>
      </c>
    </row>
  </sheetData>
  <mergeCells count="1">
    <mergeCell ref="A1:R3"/>
  </mergeCells>
  <pageMargins left="0.75" right="0.75" top="1" bottom="1" header="0.5" footer="0.5"/>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R504"/>
  <sheetViews>
    <sheetView zoomScale="64" workbookViewId="0">
      <selection activeCell="A4" sqref="A4:O504"/>
    </sheetView>
  </sheetViews>
  <sheetFormatPr defaultRowHeight="14.4" x14ac:dyDescent="0.3"/>
  <cols>
    <col min="1" max="1" width="18.109375" customWidth="1"/>
    <col min="2" max="2" width="16.5546875" customWidth="1"/>
    <col min="3" max="3" width="18.5546875" customWidth="1"/>
    <col min="4" max="4" width="9.6640625" customWidth="1"/>
    <col min="5" max="5" width="18.21875" customWidth="1"/>
    <col min="6" max="6" width="14.77734375" customWidth="1"/>
    <col min="7" max="7" width="10.21875" customWidth="1"/>
    <col min="8" max="8" width="15.5546875" customWidth="1"/>
    <col min="9" max="9" width="14.44140625" customWidth="1"/>
    <col min="10" max="10" width="15.6640625" customWidth="1"/>
    <col min="12" max="12" width="15.5546875" customWidth="1"/>
    <col min="13" max="13" width="14.77734375" customWidth="1"/>
    <col min="14" max="14" width="14" customWidth="1"/>
    <col min="15" max="15" width="17.109375" customWidth="1"/>
    <col min="16" max="16" width="22.5546875" customWidth="1"/>
  </cols>
  <sheetData>
    <row r="1" spans="1:18" x14ac:dyDescent="0.3">
      <c r="A1" s="39" t="s">
        <v>91</v>
      </c>
      <c r="B1" s="38"/>
      <c r="C1" s="38"/>
      <c r="D1" s="38"/>
      <c r="E1" s="38"/>
      <c r="F1" s="38"/>
      <c r="G1" s="38"/>
      <c r="H1" s="38"/>
      <c r="I1" s="38"/>
      <c r="J1" s="38"/>
      <c r="K1" s="38"/>
      <c r="L1" s="38"/>
      <c r="M1" s="38"/>
      <c r="N1" s="38"/>
      <c r="O1" s="38"/>
      <c r="P1" s="38"/>
      <c r="Q1" s="38"/>
      <c r="R1" s="38"/>
    </row>
    <row r="2" spans="1:18" x14ac:dyDescent="0.3">
      <c r="A2" s="38"/>
      <c r="B2" s="38"/>
      <c r="C2" s="38"/>
      <c r="D2" s="38"/>
      <c r="E2" s="38"/>
      <c r="F2" s="38"/>
      <c r="G2" s="38"/>
      <c r="H2" s="38"/>
      <c r="I2" s="38"/>
      <c r="J2" s="38"/>
      <c r="K2" s="38"/>
      <c r="L2" s="38"/>
      <c r="M2" s="38"/>
      <c r="N2" s="38"/>
      <c r="O2" s="38"/>
      <c r="P2" s="38"/>
      <c r="Q2" s="38"/>
      <c r="R2" s="38"/>
    </row>
    <row r="3" spans="1:18" ht="194.25" customHeight="1" x14ac:dyDescent="0.3">
      <c r="A3" s="38"/>
      <c r="B3" s="38"/>
      <c r="C3" s="38"/>
      <c r="D3" s="38"/>
      <c r="E3" s="38"/>
      <c r="F3" s="38"/>
      <c r="G3" s="38"/>
      <c r="H3" s="38"/>
      <c r="I3" s="38"/>
      <c r="J3" s="38"/>
      <c r="K3" s="38"/>
      <c r="L3" s="38"/>
      <c r="M3" s="38"/>
      <c r="N3" s="38"/>
      <c r="O3" s="38"/>
      <c r="P3" s="38"/>
      <c r="Q3" s="38"/>
      <c r="R3" s="38"/>
    </row>
    <row r="4" spans="1:18" x14ac:dyDescent="0.3">
      <c r="A4" s="8" t="s">
        <v>1</v>
      </c>
      <c r="B4" s="4" t="s">
        <v>2</v>
      </c>
      <c r="C4" s="4" t="s">
        <v>3</v>
      </c>
      <c r="D4" s="4" t="s">
        <v>4</v>
      </c>
      <c r="E4" s="4" t="s">
        <v>5</v>
      </c>
      <c r="F4" s="4" t="s">
        <v>6</v>
      </c>
      <c r="G4" s="4" t="s">
        <v>7</v>
      </c>
      <c r="H4" s="4" t="s">
        <v>8</v>
      </c>
      <c r="I4" s="4" t="s">
        <v>9</v>
      </c>
      <c r="J4" s="4" t="s">
        <v>10</v>
      </c>
      <c r="K4" s="4" t="s">
        <v>11</v>
      </c>
      <c r="L4" s="4" t="s">
        <v>12</v>
      </c>
      <c r="M4" s="4" t="s">
        <v>13</v>
      </c>
      <c r="N4" s="4" t="s">
        <v>14</v>
      </c>
      <c r="O4" s="11" t="s">
        <v>1030</v>
      </c>
      <c r="P4" s="11" t="s">
        <v>1034</v>
      </c>
    </row>
    <row r="5" spans="1:18" x14ac:dyDescent="0.3">
      <c r="A5" t="s">
        <v>19</v>
      </c>
      <c r="B5" s="6" t="s">
        <v>97</v>
      </c>
      <c r="C5" s="6" t="s">
        <v>20</v>
      </c>
      <c r="D5" s="6" t="s">
        <v>21</v>
      </c>
      <c r="E5" s="6" t="s">
        <v>22</v>
      </c>
      <c r="F5" s="6" t="s">
        <v>23</v>
      </c>
      <c r="G5" s="6">
        <v>20</v>
      </c>
      <c r="H5" s="6">
        <v>55.22</v>
      </c>
      <c r="I5" s="6">
        <v>1104.4000000000001</v>
      </c>
      <c r="J5" s="6">
        <v>49.36</v>
      </c>
      <c r="K5" s="6">
        <v>355.04</v>
      </c>
      <c r="L5" s="6" t="s">
        <v>24</v>
      </c>
      <c r="M5" s="6" t="s">
        <v>25</v>
      </c>
      <c r="N5" s="6" t="s">
        <v>98</v>
      </c>
      <c r="O5" s="12">
        <f>K5/I5</f>
        <v>0.32147772546178921</v>
      </c>
      <c r="P5" s="6" t="str">
        <f>IF(AND(O5&gt;20%,I5&gt;2000),"excellent",IF(AND(O5&gt;=10%,O5&lt;=20%),"good","need improvement"))</f>
        <v>need improvement</v>
      </c>
    </row>
    <row r="6" spans="1:18" x14ac:dyDescent="0.3">
      <c r="A6" t="s">
        <v>29</v>
      </c>
      <c r="B6" s="6" t="s">
        <v>99</v>
      </c>
      <c r="C6" s="6" t="s">
        <v>30</v>
      </c>
      <c r="D6" s="6" t="s">
        <v>31</v>
      </c>
      <c r="E6" s="6" t="s">
        <v>32</v>
      </c>
      <c r="F6" s="6" t="s">
        <v>23</v>
      </c>
      <c r="G6" s="6">
        <v>33</v>
      </c>
      <c r="H6" s="6">
        <v>32.03</v>
      </c>
      <c r="I6" s="6">
        <v>1056.99</v>
      </c>
      <c r="J6" s="6">
        <v>59.59</v>
      </c>
      <c r="K6" s="6">
        <v>403.4</v>
      </c>
      <c r="L6" s="6" t="s">
        <v>33</v>
      </c>
      <c r="M6" s="6" t="s">
        <v>34</v>
      </c>
      <c r="N6" s="6" t="s">
        <v>35</v>
      </c>
      <c r="O6" s="12">
        <f t="shared" ref="O6:O69" si="0">K6/I6</f>
        <v>0.38164977908967918</v>
      </c>
      <c r="P6" s="6" t="str">
        <f t="shared" ref="P6:P69" si="1">IF(AND(O6&gt;20%,I6&gt;2000),"excellent",IF(AND(O6&gt;=10%,O6&lt;=20%),"good","need improvement"))</f>
        <v>need improvement</v>
      </c>
    </row>
    <row r="7" spans="1:18" x14ac:dyDescent="0.3">
      <c r="A7" t="s">
        <v>39</v>
      </c>
      <c r="B7" s="6" t="s">
        <v>100</v>
      </c>
      <c r="C7" s="6" t="s">
        <v>40</v>
      </c>
      <c r="D7" s="6" t="s">
        <v>37</v>
      </c>
      <c r="E7" s="6" t="s">
        <v>32</v>
      </c>
      <c r="F7" s="6" t="s">
        <v>23</v>
      </c>
      <c r="G7" s="6">
        <v>34</v>
      </c>
      <c r="H7" s="6">
        <v>28.48</v>
      </c>
      <c r="I7" s="6">
        <v>968.32</v>
      </c>
      <c r="J7" s="6">
        <v>73.95</v>
      </c>
      <c r="K7" s="6">
        <v>282.37</v>
      </c>
      <c r="L7" s="6" t="s">
        <v>24</v>
      </c>
      <c r="M7" s="6" t="s">
        <v>41</v>
      </c>
      <c r="N7" s="6" t="s">
        <v>35</v>
      </c>
      <c r="O7" s="12">
        <f t="shared" si="0"/>
        <v>0.2916081460674157</v>
      </c>
      <c r="P7" s="6" t="str">
        <f t="shared" si="1"/>
        <v>need improvement</v>
      </c>
    </row>
    <row r="8" spans="1:18" x14ac:dyDescent="0.3">
      <c r="A8" t="s">
        <v>43</v>
      </c>
      <c r="B8" s="6" t="s">
        <v>101</v>
      </c>
      <c r="C8" s="6" t="s">
        <v>44</v>
      </c>
      <c r="D8" s="6" t="s">
        <v>45</v>
      </c>
      <c r="E8" s="6" t="s">
        <v>46</v>
      </c>
      <c r="F8" s="6" t="s">
        <v>47</v>
      </c>
      <c r="G8" s="6">
        <v>6</v>
      </c>
      <c r="H8" s="6">
        <v>56.36</v>
      </c>
      <c r="I8" s="6">
        <v>338.16</v>
      </c>
      <c r="J8" s="6">
        <v>11.39</v>
      </c>
      <c r="K8" s="6">
        <v>134.77000000000001</v>
      </c>
      <c r="L8" s="6" t="s">
        <v>48</v>
      </c>
      <c r="M8" s="6" t="s">
        <v>34</v>
      </c>
      <c r="N8" s="6" t="s">
        <v>49</v>
      </c>
      <c r="O8" s="12">
        <f t="shared" si="0"/>
        <v>0.39853915306363852</v>
      </c>
      <c r="P8" s="6" t="str">
        <f t="shared" si="1"/>
        <v>need improvement</v>
      </c>
    </row>
    <row r="9" spans="1:18" x14ac:dyDescent="0.3">
      <c r="A9" t="s">
        <v>53</v>
      </c>
      <c r="B9" s="6" t="s">
        <v>102</v>
      </c>
      <c r="C9" s="6" t="s">
        <v>54</v>
      </c>
      <c r="D9" s="6" t="s">
        <v>55</v>
      </c>
      <c r="E9" s="6" t="s">
        <v>56</v>
      </c>
      <c r="F9" s="6" t="s">
        <v>57</v>
      </c>
      <c r="G9" s="6">
        <v>17</v>
      </c>
      <c r="H9" s="6">
        <v>69.22</v>
      </c>
      <c r="I9" s="6">
        <v>1176.74</v>
      </c>
      <c r="J9" s="6">
        <v>65.94</v>
      </c>
      <c r="K9" s="6">
        <v>430.8</v>
      </c>
      <c r="L9" s="6" t="s">
        <v>33</v>
      </c>
      <c r="M9" s="6" t="s">
        <v>25</v>
      </c>
      <c r="N9" s="6" t="s">
        <v>98</v>
      </c>
      <c r="O9" s="12">
        <f t="shared" si="0"/>
        <v>0.36609616397844896</v>
      </c>
      <c r="P9" s="6" t="str">
        <f t="shared" si="1"/>
        <v>need improvement</v>
      </c>
    </row>
    <row r="10" spans="1:18" x14ac:dyDescent="0.3">
      <c r="A10" t="s">
        <v>60</v>
      </c>
      <c r="B10" s="6" t="s">
        <v>103</v>
      </c>
      <c r="C10" s="6" t="s">
        <v>61</v>
      </c>
      <c r="D10" s="6" t="s">
        <v>62</v>
      </c>
      <c r="E10" s="6" t="s">
        <v>63</v>
      </c>
      <c r="F10" s="6" t="s">
        <v>47</v>
      </c>
      <c r="G10" s="6">
        <v>13</v>
      </c>
      <c r="H10" s="6">
        <v>27.94</v>
      </c>
      <c r="I10" s="6">
        <v>363.22</v>
      </c>
      <c r="J10" s="6">
        <v>15.36</v>
      </c>
      <c r="K10" s="6">
        <v>87.86</v>
      </c>
      <c r="L10" s="6" t="s">
        <v>33</v>
      </c>
      <c r="M10" s="6" t="s">
        <v>25</v>
      </c>
      <c r="N10" s="6" t="s">
        <v>98</v>
      </c>
      <c r="O10" s="12">
        <f t="shared" si="0"/>
        <v>0.2418919663014151</v>
      </c>
      <c r="P10" s="6" t="str">
        <f t="shared" si="1"/>
        <v>need improvement</v>
      </c>
    </row>
    <row r="11" spans="1:18" x14ac:dyDescent="0.3">
      <c r="A11" t="s">
        <v>65</v>
      </c>
      <c r="B11" s="6" t="s">
        <v>104</v>
      </c>
      <c r="C11" s="6" t="s">
        <v>66</v>
      </c>
      <c r="D11" s="6" t="s">
        <v>31</v>
      </c>
      <c r="E11" s="6" t="s">
        <v>67</v>
      </c>
      <c r="F11" s="6" t="s">
        <v>68</v>
      </c>
      <c r="G11" s="6">
        <v>3</v>
      </c>
      <c r="H11" s="6">
        <v>31.52</v>
      </c>
      <c r="I11" s="6">
        <v>94.56</v>
      </c>
      <c r="J11" s="6">
        <v>6.98</v>
      </c>
      <c r="K11" s="6">
        <v>20.079999999999998</v>
      </c>
      <c r="L11" s="6" t="s">
        <v>24</v>
      </c>
      <c r="M11" s="6" t="s">
        <v>41</v>
      </c>
      <c r="N11" s="6" t="s">
        <v>35</v>
      </c>
      <c r="O11" s="12">
        <f t="shared" si="0"/>
        <v>0.21235194585448391</v>
      </c>
      <c r="P11" s="6" t="str">
        <f t="shared" si="1"/>
        <v>need improvement</v>
      </c>
    </row>
    <row r="12" spans="1:18" x14ac:dyDescent="0.3">
      <c r="A12" t="s">
        <v>72</v>
      </c>
      <c r="B12" s="6" t="s">
        <v>105</v>
      </c>
      <c r="C12" s="6" t="s">
        <v>73</v>
      </c>
      <c r="D12" s="6" t="s">
        <v>51</v>
      </c>
      <c r="E12" s="6" t="s">
        <v>74</v>
      </c>
      <c r="F12" s="6" t="s">
        <v>75</v>
      </c>
      <c r="G12" s="6">
        <v>14</v>
      </c>
      <c r="H12" s="6">
        <v>30.71</v>
      </c>
      <c r="I12" s="6">
        <v>429.94</v>
      </c>
      <c r="J12" s="6">
        <v>13.03</v>
      </c>
      <c r="K12" s="6">
        <v>66.91</v>
      </c>
      <c r="L12" s="6" t="s">
        <v>33</v>
      </c>
      <c r="M12" s="6" t="s">
        <v>25</v>
      </c>
      <c r="N12" s="6" t="s">
        <v>76</v>
      </c>
      <c r="O12" s="12">
        <f t="shared" si="0"/>
        <v>0.15562636646973996</v>
      </c>
      <c r="P12" s="6" t="str">
        <f t="shared" si="1"/>
        <v>good</v>
      </c>
    </row>
    <row r="13" spans="1:18" x14ac:dyDescent="0.3">
      <c r="A13" t="s">
        <v>80</v>
      </c>
      <c r="B13" s="6" t="s">
        <v>106</v>
      </c>
      <c r="C13" s="6" t="s">
        <v>40</v>
      </c>
      <c r="D13" s="6" t="s">
        <v>21</v>
      </c>
      <c r="E13" s="6" t="s">
        <v>81</v>
      </c>
      <c r="F13" s="6" t="s">
        <v>68</v>
      </c>
      <c r="G13" s="6">
        <v>47</v>
      </c>
      <c r="H13" s="6">
        <v>24.47</v>
      </c>
      <c r="I13" s="6">
        <v>1150.0899999999999</v>
      </c>
      <c r="J13" s="6">
        <v>61.3</v>
      </c>
      <c r="K13" s="6">
        <v>360.29</v>
      </c>
      <c r="L13" s="6" t="s">
        <v>33</v>
      </c>
      <c r="M13" s="6" t="s">
        <v>25</v>
      </c>
      <c r="N13" s="6" t="s">
        <v>98</v>
      </c>
      <c r="O13" s="12">
        <f t="shared" si="0"/>
        <v>0.31327113530245465</v>
      </c>
      <c r="P13" s="6" t="str">
        <f t="shared" si="1"/>
        <v>need improvement</v>
      </c>
    </row>
    <row r="14" spans="1:18" x14ac:dyDescent="0.3">
      <c r="A14" t="s">
        <v>84</v>
      </c>
      <c r="B14" s="6" t="s">
        <v>107</v>
      </c>
      <c r="C14" s="6" t="s">
        <v>85</v>
      </c>
      <c r="D14" s="6" t="s">
        <v>37</v>
      </c>
      <c r="E14" s="6" t="s">
        <v>86</v>
      </c>
      <c r="F14" s="6" t="s">
        <v>47</v>
      </c>
      <c r="G14" s="6">
        <v>27</v>
      </c>
      <c r="H14" s="6">
        <v>18.98</v>
      </c>
      <c r="I14" s="6">
        <v>512.46</v>
      </c>
      <c r="J14" s="6">
        <v>28.89</v>
      </c>
      <c r="K14" s="6">
        <v>139.32</v>
      </c>
      <c r="L14" s="6" t="s">
        <v>33</v>
      </c>
      <c r="M14" s="6" t="s">
        <v>41</v>
      </c>
      <c r="N14" s="6" t="s">
        <v>35</v>
      </c>
      <c r="O14" s="12">
        <f t="shared" si="0"/>
        <v>0.27186512118018963</v>
      </c>
      <c r="P14" s="6" t="str">
        <f t="shared" si="1"/>
        <v>need improvement</v>
      </c>
    </row>
    <row r="15" spans="1:18" x14ac:dyDescent="0.3">
      <c r="A15" t="s">
        <v>108</v>
      </c>
      <c r="B15" s="6" t="s">
        <v>109</v>
      </c>
      <c r="C15" s="6" t="s">
        <v>110</v>
      </c>
      <c r="D15" s="6" t="s">
        <v>51</v>
      </c>
      <c r="E15" s="6" t="s">
        <v>22</v>
      </c>
      <c r="F15" s="6" t="s">
        <v>23</v>
      </c>
      <c r="G15" s="6">
        <v>32</v>
      </c>
      <c r="H15" s="6">
        <v>57.84</v>
      </c>
      <c r="I15" s="6">
        <v>1850.88</v>
      </c>
      <c r="J15" s="6">
        <v>55.15</v>
      </c>
      <c r="K15" s="6">
        <v>675.73</v>
      </c>
      <c r="L15" s="6" t="s">
        <v>24</v>
      </c>
      <c r="M15" s="6" t="s">
        <v>25</v>
      </c>
      <c r="N15" s="6" t="s">
        <v>76</v>
      </c>
      <c r="O15" s="12">
        <f t="shared" si="0"/>
        <v>0.36508579702627936</v>
      </c>
      <c r="P15" s="6" t="str">
        <f t="shared" si="1"/>
        <v>need improvement</v>
      </c>
    </row>
    <row r="16" spans="1:18" x14ac:dyDescent="0.3">
      <c r="A16" t="s">
        <v>111</v>
      </c>
      <c r="B16" s="6" t="s">
        <v>112</v>
      </c>
      <c r="C16" s="6" t="s">
        <v>113</v>
      </c>
      <c r="D16" s="6" t="s">
        <v>55</v>
      </c>
      <c r="E16" s="6" t="s">
        <v>56</v>
      </c>
      <c r="F16" s="6" t="s">
        <v>57</v>
      </c>
      <c r="G16" s="6">
        <v>49</v>
      </c>
      <c r="H16" s="6">
        <v>58.77</v>
      </c>
      <c r="I16" s="6">
        <v>2879.73</v>
      </c>
      <c r="J16" s="6">
        <v>140.29</v>
      </c>
      <c r="K16" s="6">
        <v>779.44</v>
      </c>
      <c r="L16" s="6" t="s">
        <v>48</v>
      </c>
      <c r="M16" s="6" t="s">
        <v>41</v>
      </c>
      <c r="N16" s="6" t="s">
        <v>98</v>
      </c>
      <c r="O16" s="12">
        <f t="shared" si="0"/>
        <v>0.27066426366360735</v>
      </c>
      <c r="P16" s="6" t="str">
        <f t="shared" si="1"/>
        <v>excellent</v>
      </c>
    </row>
    <row r="17" spans="1:16" x14ac:dyDescent="0.3">
      <c r="A17" t="s">
        <v>114</v>
      </c>
      <c r="B17" s="6" t="s">
        <v>115</v>
      </c>
      <c r="C17" s="6" t="s">
        <v>110</v>
      </c>
      <c r="D17" s="6" t="s">
        <v>116</v>
      </c>
      <c r="E17" s="6" t="s">
        <v>22</v>
      </c>
      <c r="F17" s="6" t="s">
        <v>23</v>
      </c>
      <c r="G17" s="6">
        <v>43</v>
      </c>
      <c r="H17" s="6">
        <v>56.92</v>
      </c>
      <c r="I17" s="6">
        <v>2447.56</v>
      </c>
      <c r="J17" s="6">
        <v>140.4</v>
      </c>
      <c r="K17" s="6">
        <v>802.16</v>
      </c>
      <c r="L17" s="6" t="s">
        <v>24</v>
      </c>
      <c r="M17" s="6" t="s">
        <v>34</v>
      </c>
      <c r="N17" s="6" t="s">
        <v>76</v>
      </c>
      <c r="O17" s="12">
        <f t="shared" si="0"/>
        <v>0.3277386458350357</v>
      </c>
      <c r="P17" s="6" t="str">
        <f t="shared" si="1"/>
        <v>excellent</v>
      </c>
    </row>
    <row r="18" spans="1:16" x14ac:dyDescent="0.3">
      <c r="A18" t="s">
        <v>117</v>
      </c>
      <c r="B18" s="6" t="s">
        <v>118</v>
      </c>
      <c r="C18" s="6" t="s">
        <v>119</v>
      </c>
      <c r="D18" s="6" t="s">
        <v>37</v>
      </c>
      <c r="E18" s="6" t="s">
        <v>74</v>
      </c>
      <c r="F18" s="6" t="s">
        <v>75</v>
      </c>
      <c r="G18" s="6">
        <v>32</v>
      </c>
      <c r="H18" s="6">
        <v>43.45</v>
      </c>
      <c r="I18" s="6">
        <v>1390.4</v>
      </c>
      <c r="J18" s="6">
        <v>30.04</v>
      </c>
      <c r="K18" s="6">
        <v>560.36</v>
      </c>
      <c r="L18" s="6" t="s">
        <v>24</v>
      </c>
      <c r="M18" s="6" t="s">
        <v>41</v>
      </c>
      <c r="N18" s="6" t="s">
        <v>35</v>
      </c>
      <c r="O18" s="12">
        <f t="shared" si="0"/>
        <v>0.4030207134637514</v>
      </c>
      <c r="P18" s="6" t="str">
        <f t="shared" si="1"/>
        <v>need improvement</v>
      </c>
    </row>
    <row r="19" spans="1:16" x14ac:dyDescent="0.3">
      <c r="A19" t="s">
        <v>120</v>
      </c>
      <c r="B19" s="6" t="s">
        <v>121</v>
      </c>
      <c r="C19" s="6" t="s">
        <v>122</v>
      </c>
      <c r="D19" s="6" t="s">
        <v>123</v>
      </c>
      <c r="E19" s="6" t="s">
        <v>74</v>
      </c>
      <c r="F19" s="6" t="s">
        <v>75</v>
      </c>
      <c r="G19" s="6">
        <v>22</v>
      </c>
      <c r="H19" s="6">
        <v>42.59</v>
      </c>
      <c r="I19" s="6">
        <v>936.98</v>
      </c>
      <c r="J19" s="6">
        <v>29.87</v>
      </c>
      <c r="K19" s="6">
        <v>357.11</v>
      </c>
      <c r="L19" s="6" t="s">
        <v>33</v>
      </c>
      <c r="M19" s="6" t="s">
        <v>41</v>
      </c>
      <c r="N19" s="6" t="s">
        <v>76</v>
      </c>
      <c r="O19" s="12">
        <f t="shared" si="0"/>
        <v>0.38112873273709152</v>
      </c>
      <c r="P19" s="6" t="str">
        <f t="shared" si="1"/>
        <v>need improvement</v>
      </c>
    </row>
    <row r="20" spans="1:16" x14ac:dyDescent="0.3">
      <c r="A20" t="s">
        <v>124</v>
      </c>
      <c r="B20" s="6" t="s">
        <v>125</v>
      </c>
      <c r="C20" s="6" t="s">
        <v>126</v>
      </c>
      <c r="D20" s="6" t="s">
        <v>127</v>
      </c>
      <c r="E20" s="6" t="s">
        <v>63</v>
      </c>
      <c r="F20" s="6" t="s">
        <v>47</v>
      </c>
      <c r="G20" s="6">
        <v>48</v>
      </c>
      <c r="H20" s="6">
        <v>25.36</v>
      </c>
      <c r="I20" s="6">
        <v>1217.28</v>
      </c>
      <c r="J20" s="6">
        <v>49.68</v>
      </c>
      <c r="K20" s="6">
        <v>207.6</v>
      </c>
      <c r="L20" s="6" t="s">
        <v>33</v>
      </c>
      <c r="M20" s="6" t="s">
        <v>25</v>
      </c>
      <c r="N20" s="6" t="s">
        <v>76</v>
      </c>
      <c r="O20" s="12">
        <f t="shared" si="0"/>
        <v>0.17054416403785488</v>
      </c>
      <c r="P20" s="6" t="str">
        <f t="shared" si="1"/>
        <v>good</v>
      </c>
    </row>
    <row r="21" spans="1:16" x14ac:dyDescent="0.3">
      <c r="A21" t="s">
        <v>128</v>
      </c>
      <c r="B21" s="6" t="s">
        <v>129</v>
      </c>
      <c r="C21" s="6" t="s">
        <v>110</v>
      </c>
      <c r="D21" s="6" t="s">
        <v>123</v>
      </c>
      <c r="E21" s="6" t="s">
        <v>32</v>
      </c>
      <c r="F21" s="6" t="s">
        <v>23</v>
      </c>
      <c r="G21" s="6">
        <v>48</v>
      </c>
      <c r="H21" s="6">
        <v>30.07</v>
      </c>
      <c r="I21" s="6">
        <v>1443.36</v>
      </c>
      <c r="J21" s="6">
        <v>102.31</v>
      </c>
      <c r="K21" s="6">
        <v>477.05</v>
      </c>
      <c r="L21" s="6" t="s">
        <v>48</v>
      </c>
      <c r="M21" s="6" t="s">
        <v>25</v>
      </c>
      <c r="N21" s="6" t="s">
        <v>76</v>
      </c>
      <c r="O21" s="12">
        <f t="shared" si="0"/>
        <v>0.33051352399955664</v>
      </c>
      <c r="P21" s="6" t="str">
        <f t="shared" si="1"/>
        <v>need improvement</v>
      </c>
    </row>
    <row r="22" spans="1:16" x14ac:dyDescent="0.3">
      <c r="A22" t="s">
        <v>130</v>
      </c>
      <c r="B22" s="6" t="s">
        <v>131</v>
      </c>
      <c r="C22" s="6" t="s">
        <v>61</v>
      </c>
      <c r="D22" s="6" t="s">
        <v>123</v>
      </c>
      <c r="E22" s="6" t="s">
        <v>63</v>
      </c>
      <c r="F22" s="6" t="s">
        <v>47</v>
      </c>
      <c r="G22" s="6">
        <v>6</v>
      </c>
      <c r="H22" s="6">
        <v>32.17</v>
      </c>
      <c r="I22" s="6">
        <v>193.02</v>
      </c>
      <c r="J22" s="6">
        <v>14.45</v>
      </c>
      <c r="K22" s="6">
        <v>58.57</v>
      </c>
      <c r="L22" s="6" t="s">
        <v>48</v>
      </c>
      <c r="M22" s="6" t="s">
        <v>25</v>
      </c>
      <c r="N22" s="6" t="s">
        <v>76</v>
      </c>
      <c r="O22" s="12">
        <f t="shared" si="0"/>
        <v>0.30344005802507512</v>
      </c>
      <c r="P22" s="6" t="str">
        <f t="shared" si="1"/>
        <v>need improvement</v>
      </c>
    </row>
    <row r="23" spans="1:16" x14ac:dyDescent="0.3">
      <c r="A23" t="s">
        <v>132</v>
      </c>
      <c r="B23" s="6" t="s">
        <v>133</v>
      </c>
      <c r="C23" s="6" t="s">
        <v>134</v>
      </c>
      <c r="D23" s="6" t="s">
        <v>116</v>
      </c>
      <c r="E23" s="6" t="s">
        <v>32</v>
      </c>
      <c r="F23" s="6" t="s">
        <v>23</v>
      </c>
      <c r="G23" s="6">
        <v>37</v>
      </c>
      <c r="H23" s="6">
        <v>24.14</v>
      </c>
      <c r="I23" s="6">
        <v>893.18</v>
      </c>
      <c r="J23" s="6">
        <v>31.39</v>
      </c>
      <c r="K23" s="6">
        <v>195.79</v>
      </c>
      <c r="L23" s="6" t="s">
        <v>33</v>
      </c>
      <c r="M23" s="6" t="s">
        <v>34</v>
      </c>
      <c r="N23" s="6" t="s">
        <v>76</v>
      </c>
      <c r="O23" s="12">
        <f t="shared" si="0"/>
        <v>0.21920553527844333</v>
      </c>
      <c r="P23" s="6" t="str">
        <f t="shared" si="1"/>
        <v>need improvement</v>
      </c>
    </row>
    <row r="24" spans="1:16" x14ac:dyDescent="0.3">
      <c r="A24" t="s">
        <v>135</v>
      </c>
      <c r="B24" s="6" t="s">
        <v>136</v>
      </c>
      <c r="C24" s="6" t="s">
        <v>54</v>
      </c>
      <c r="D24" s="6" t="s">
        <v>31</v>
      </c>
      <c r="E24" s="6" t="s">
        <v>137</v>
      </c>
      <c r="F24" s="6" t="s">
        <v>68</v>
      </c>
      <c r="G24" s="6">
        <v>39</v>
      </c>
      <c r="H24" s="6">
        <v>37.840000000000003</v>
      </c>
      <c r="I24" s="6">
        <v>1475.76</v>
      </c>
      <c r="J24" s="6">
        <v>73.400000000000006</v>
      </c>
      <c r="K24" s="6">
        <v>310.36</v>
      </c>
      <c r="L24" s="6" t="s">
        <v>33</v>
      </c>
      <c r="M24" s="6" t="s">
        <v>41</v>
      </c>
      <c r="N24" s="6" t="s">
        <v>35</v>
      </c>
      <c r="O24" s="12">
        <f t="shared" si="0"/>
        <v>0.21030519867729172</v>
      </c>
      <c r="P24" s="6" t="str">
        <f t="shared" si="1"/>
        <v>need improvement</v>
      </c>
    </row>
    <row r="25" spans="1:16" x14ac:dyDescent="0.3">
      <c r="A25" t="s">
        <v>138</v>
      </c>
      <c r="B25" s="6" t="s">
        <v>139</v>
      </c>
      <c r="C25" s="6" t="s">
        <v>140</v>
      </c>
      <c r="D25" s="6" t="s">
        <v>141</v>
      </c>
      <c r="E25" s="6" t="s">
        <v>56</v>
      </c>
      <c r="F25" s="6" t="s">
        <v>57</v>
      </c>
      <c r="G25" s="6">
        <v>6</v>
      </c>
      <c r="H25" s="6">
        <v>68.77</v>
      </c>
      <c r="I25" s="6">
        <v>412.62</v>
      </c>
      <c r="J25" s="6">
        <v>17.18</v>
      </c>
      <c r="K25" s="6">
        <v>155.44</v>
      </c>
      <c r="L25" s="6" t="s">
        <v>33</v>
      </c>
      <c r="M25" s="6" t="s">
        <v>25</v>
      </c>
      <c r="N25" s="6" t="s">
        <v>142</v>
      </c>
      <c r="O25" s="12">
        <f t="shared" si="0"/>
        <v>0.37671465270709126</v>
      </c>
      <c r="P25" s="6" t="str">
        <f t="shared" si="1"/>
        <v>need improvement</v>
      </c>
    </row>
    <row r="26" spans="1:16" x14ac:dyDescent="0.3">
      <c r="A26" t="s">
        <v>143</v>
      </c>
      <c r="B26" s="6" t="s">
        <v>144</v>
      </c>
      <c r="C26" s="6" t="s">
        <v>145</v>
      </c>
      <c r="D26" s="6" t="s">
        <v>55</v>
      </c>
      <c r="E26" s="6" t="s">
        <v>86</v>
      </c>
      <c r="F26" s="6" t="s">
        <v>47</v>
      </c>
      <c r="G26" s="6">
        <v>6</v>
      </c>
      <c r="H26" s="6">
        <v>18.5</v>
      </c>
      <c r="I26" s="6">
        <v>111</v>
      </c>
      <c r="J26" s="6">
        <v>5.26</v>
      </c>
      <c r="K26" s="6">
        <v>29.24</v>
      </c>
      <c r="L26" s="6" t="s">
        <v>48</v>
      </c>
      <c r="M26" s="6" t="s">
        <v>34</v>
      </c>
      <c r="N26" s="6" t="s">
        <v>98</v>
      </c>
      <c r="O26" s="12">
        <f t="shared" si="0"/>
        <v>0.2634234234234234</v>
      </c>
      <c r="P26" s="6" t="str">
        <f t="shared" si="1"/>
        <v>need improvement</v>
      </c>
    </row>
    <row r="27" spans="1:16" x14ac:dyDescent="0.3">
      <c r="A27" t="s">
        <v>146</v>
      </c>
      <c r="B27" s="6" t="s">
        <v>147</v>
      </c>
      <c r="C27" s="6" t="s">
        <v>148</v>
      </c>
      <c r="D27" s="6" t="s">
        <v>37</v>
      </c>
      <c r="E27" s="6" t="s">
        <v>67</v>
      </c>
      <c r="F27" s="6" t="s">
        <v>68</v>
      </c>
      <c r="G27" s="6">
        <v>33</v>
      </c>
      <c r="H27" s="6">
        <v>28.96</v>
      </c>
      <c r="I27" s="6">
        <v>955.68</v>
      </c>
      <c r="J27" s="6">
        <v>49.07</v>
      </c>
      <c r="K27" s="6">
        <v>164.11</v>
      </c>
      <c r="L27" s="6" t="s">
        <v>33</v>
      </c>
      <c r="M27" s="6" t="s">
        <v>25</v>
      </c>
      <c r="N27" s="6" t="s">
        <v>35</v>
      </c>
      <c r="O27" s="12">
        <f t="shared" si="0"/>
        <v>0.17172065963502431</v>
      </c>
      <c r="P27" s="6" t="str">
        <f t="shared" si="1"/>
        <v>good</v>
      </c>
    </row>
    <row r="28" spans="1:16" x14ac:dyDescent="0.3">
      <c r="A28" t="s">
        <v>149</v>
      </c>
      <c r="B28" s="6" t="s">
        <v>150</v>
      </c>
      <c r="C28" s="6" t="s">
        <v>151</v>
      </c>
      <c r="D28" s="6" t="s">
        <v>55</v>
      </c>
      <c r="E28" s="6" t="s">
        <v>67</v>
      </c>
      <c r="F28" s="6" t="s">
        <v>68</v>
      </c>
      <c r="G28" s="6">
        <v>31</v>
      </c>
      <c r="H28" s="6">
        <v>35.020000000000003</v>
      </c>
      <c r="I28" s="6">
        <v>1085.6199999999999</v>
      </c>
      <c r="J28" s="6">
        <v>74.650000000000006</v>
      </c>
      <c r="K28" s="6">
        <v>313.47000000000003</v>
      </c>
      <c r="L28" s="6" t="s">
        <v>48</v>
      </c>
      <c r="M28" s="6" t="s">
        <v>25</v>
      </c>
      <c r="N28" s="6" t="s">
        <v>98</v>
      </c>
      <c r="O28" s="12">
        <f t="shared" si="0"/>
        <v>0.2887474438569666</v>
      </c>
      <c r="P28" s="6" t="str">
        <f t="shared" si="1"/>
        <v>need improvement</v>
      </c>
    </row>
    <row r="29" spans="1:16" x14ac:dyDescent="0.3">
      <c r="A29" t="s">
        <v>152</v>
      </c>
      <c r="B29" s="6" t="s">
        <v>153</v>
      </c>
      <c r="C29" s="6" t="s">
        <v>154</v>
      </c>
      <c r="D29" s="6" t="s">
        <v>55</v>
      </c>
      <c r="E29" s="6" t="s">
        <v>63</v>
      </c>
      <c r="F29" s="6" t="s">
        <v>47</v>
      </c>
      <c r="G29" s="6">
        <v>25</v>
      </c>
      <c r="H29" s="6">
        <v>31.57</v>
      </c>
      <c r="I29" s="6">
        <v>789.25</v>
      </c>
      <c r="J29" s="6">
        <v>56.47</v>
      </c>
      <c r="K29" s="6">
        <v>232.78</v>
      </c>
      <c r="L29" s="6" t="s">
        <v>33</v>
      </c>
      <c r="M29" s="6" t="s">
        <v>34</v>
      </c>
      <c r="N29" s="6" t="s">
        <v>98</v>
      </c>
      <c r="O29" s="12">
        <f t="shared" si="0"/>
        <v>0.29493823249920809</v>
      </c>
      <c r="P29" s="6" t="str">
        <f t="shared" si="1"/>
        <v>need improvement</v>
      </c>
    </row>
    <row r="30" spans="1:16" x14ac:dyDescent="0.3">
      <c r="A30" t="s">
        <v>155</v>
      </c>
      <c r="B30" s="6" t="s">
        <v>156</v>
      </c>
      <c r="C30" s="6" t="s">
        <v>157</v>
      </c>
      <c r="D30" s="6" t="s">
        <v>37</v>
      </c>
      <c r="E30" s="6" t="s">
        <v>81</v>
      </c>
      <c r="F30" s="6" t="s">
        <v>68</v>
      </c>
      <c r="G30" s="6">
        <v>14</v>
      </c>
      <c r="H30" s="6">
        <v>27.08</v>
      </c>
      <c r="I30" s="6">
        <v>379.12</v>
      </c>
      <c r="J30" s="6">
        <v>11.12</v>
      </c>
      <c r="K30" s="6">
        <v>151</v>
      </c>
      <c r="L30" s="6" t="s">
        <v>33</v>
      </c>
      <c r="M30" s="6" t="s">
        <v>41</v>
      </c>
      <c r="N30" s="6" t="s">
        <v>35</v>
      </c>
      <c r="O30" s="12">
        <f t="shared" si="0"/>
        <v>0.39829077864528378</v>
      </c>
      <c r="P30" s="6" t="str">
        <f t="shared" si="1"/>
        <v>need improvement</v>
      </c>
    </row>
    <row r="31" spans="1:16" x14ac:dyDescent="0.3">
      <c r="A31" t="s">
        <v>158</v>
      </c>
      <c r="B31" s="6" t="s">
        <v>159</v>
      </c>
      <c r="C31" s="6" t="s">
        <v>44</v>
      </c>
      <c r="D31" s="6" t="s">
        <v>37</v>
      </c>
      <c r="E31" s="6" t="s">
        <v>137</v>
      </c>
      <c r="F31" s="6" t="s">
        <v>68</v>
      </c>
      <c r="G31" s="6">
        <v>39</v>
      </c>
      <c r="H31" s="6">
        <v>35.32</v>
      </c>
      <c r="I31" s="6">
        <v>1377.48</v>
      </c>
      <c r="J31" s="6">
        <v>63.72</v>
      </c>
      <c r="K31" s="6">
        <v>221.76</v>
      </c>
      <c r="L31" s="6" t="s">
        <v>33</v>
      </c>
      <c r="M31" s="6" t="s">
        <v>34</v>
      </c>
      <c r="N31" s="6" t="s">
        <v>35</v>
      </c>
      <c r="O31" s="12">
        <f t="shared" si="0"/>
        <v>0.16098963324331386</v>
      </c>
      <c r="P31" s="6" t="str">
        <f t="shared" si="1"/>
        <v>good</v>
      </c>
    </row>
    <row r="32" spans="1:16" x14ac:dyDescent="0.3">
      <c r="A32" t="s">
        <v>160</v>
      </c>
      <c r="B32" s="6" t="s">
        <v>161</v>
      </c>
      <c r="C32" s="6" t="s">
        <v>162</v>
      </c>
      <c r="D32" s="6" t="s">
        <v>51</v>
      </c>
      <c r="E32" s="6" t="s">
        <v>67</v>
      </c>
      <c r="F32" s="6" t="s">
        <v>68</v>
      </c>
      <c r="G32" s="6">
        <v>6</v>
      </c>
      <c r="H32" s="6">
        <v>39.630000000000003</v>
      </c>
      <c r="I32" s="6">
        <v>237.78</v>
      </c>
      <c r="J32" s="6">
        <v>8.08</v>
      </c>
      <c r="K32" s="6">
        <v>94.7</v>
      </c>
      <c r="L32" s="6" t="s">
        <v>24</v>
      </c>
      <c r="M32" s="6" t="s">
        <v>41</v>
      </c>
      <c r="N32" s="6" t="s">
        <v>76</v>
      </c>
      <c r="O32" s="12">
        <f t="shared" si="0"/>
        <v>0.39826730591302884</v>
      </c>
      <c r="P32" s="6" t="str">
        <f t="shared" si="1"/>
        <v>need improvement</v>
      </c>
    </row>
    <row r="33" spans="1:16" x14ac:dyDescent="0.3">
      <c r="A33" t="s">
        <v>163</v>
      </c>
      <c r="B33" s="6" t="s">
        <v>164</v>
      </c>
      <c r="C33" s="6" t="s">
        <v>165</v>
      </c>
      <c r="D33" s="6" t="s">
        <v>141</v>
      </c>
      <c r="E33" s="6" t="s">
        <v>56</v>
      </c>
      <c r="F33" s="6" t="s">
        <v>57</v>
      </c>
      <c r="G33" s="6">
        <v>36</v>
      </c>
      <c r="H33" s="6">
        <v>68.400000000000006</v>
      </c>
      <c r="I33" s="6">
        <v>2462.4</v>
      </c>
      <c r="J33" s="6">
        <v>150.83000000000001</v>
      </c>
      <c r="K33" s="6">
        <v>871.57</v>
      </c>
      <c r="L33" s="6" t="s">
        <v>33</v>
      </c>
      <c r="M33" s="6" t="s">
        <v>25</v>
      </c>
      <c r="N33" s="6" t="s">
        <v>142</v>
      </c>
      <c r="O33" s="12">
        <f t="shared" si="0"/>
        <v>0.35395142949967512</v>
      </c>
      <c r="P33" s="6" t="str">
        <f t="shared" si="1"/>
        <v>excellent</v>
      </c>
    </row>
    <row r="34" spans="1:16" x14ac:dyDescent="0.3">
      <c r="A34" t="s">
        <v>166</v>
      </c>
      <c r="B34" s="6" t="s">
        <v>167</v>
      </c>
      <c r="C34" s="6" t="s">
        <v>126</v>
      </c>
      <c r="D34" s="6" t="s">
        <v>37</v>
      </c>
      <c r="E34" s="6" t="s">
        <v>74</v>
      </c>
      <c r="F34" s="6" t="s">
        <v>75</v>
      </c>
      <c r="G34" s="6">
        <v>1</v>
      </c>
      <c r="H34" s="6">
        <v>44.98</v>
      </c>
      <c r="I34" s="6">
        <v>44.98</v>
      </c>
      <c r="J34" s="6">
        <v>2.81</v>
      </c>
      <c r="K34" s="6">
        <v>17.170000000000002</v>
      </c>
      <c r="L34" s="6" t="s">
        <v>33</v>
      </c>
      <c r="M34" s="6" t="s">
        <v>34</v>
      </c>
      <c r="N34" s="6" t="s">
        <v>35</v>
      </c>
      <c r="O34" s="12">
        <f t="shared" si="0"/>
        <v>0.38172521120498004</v>
      </c>
      <c r="P34" s="6" t="str">
        <f t="shared" si="1"/>
        <v>need improvement</v>
      </c>
    </row>
    <row r="35" spans="1:16" x14ac:dyDescent="0.3">
      <c r="A35" t="s">
        <v>168</v>
      </c>
      <c r="B35" s="6" t="s">
        <v>169</v>
      </c>
      <c r="C35" s="6" t="s">
        <v>170</v>
      </c>
      <c r="D35" s="6" t="s">
        <v>171</v>
      </c>
      <c r="E35" s="6" t="s">
        <v>137</v>
      </c>
      <c r="F35" s="6" t="s">
        <v>68</v>
      </c>
      <c r="G35" s="6">
        <v>3</v>
      </c>
      <c r="H35" s="6">
        <v>37.74</v>
      </c>
      <c r="I35" s="6">
        <v>113.22</v>
      </c>
      <c r="J35" s="6">
        <v>4.04</v>
      </c>
      <c r="K35" s="6">
        <v>25.18</v>
      </c>
      <c r="L35" s="6" t="s">
        <v>33</v>
      </c>
      <c r="M35" s="6" t="s">
        <v>34</v>
      </c>
      <c r="N35" s="6" t="s">
        <v>35</v>
      </c>
      <c r="O35" s="12">
        <f t="shared" si="0"/>
        <v>0.22239886945769299</v>
      </c>
      <c r="P35" s="6" t="str">
        <f t="shared" si="1"/>
        <v>need improvement</v>
      </c>
    </row>
    <row r="36" spans="1:16" x14ac:dyDescent="0.3">
      <c r="A36" t="s">
        <v>172</v>
      </c>
      <c r="B36" s="6" t="s">
        <v>173</v>
      </c>
      <c r="C36" s="6" t="s">
        <v>174</v>
      </c>
      <c r="D36" s="6" t="s">
        <v>171</v>
      </c>
      <c r="E36" s="6" t="s">
        <v>74</v>
      </c>
      <c r="F36" s="6" t="s">
        <v>75</v>
      </c>
      <c r="G36" s="6">
        <v>12</v>
      </c>
      <c r="H36" s="6">
        <v>39.799999999999997</v>
      </c>
      <c r="I36" s="6">
        <v>477.6</v>
      </c>
      <c r="J36" s="6">
        <v>20.54</v>
      </c>
      <c r="K36" s="6">
        <v>157.06</v>
      </c>
      <c r="L36" s="6" t="s">
        <v>48</v>
      </c>
      <c r="M36" s="6" t="s">
        <v>34</v>
      </c>
      <c r="N36" s="6" t="s">
        <v>35</v>
      </c>
      <c r="O36" s="12">
        <f t="shared" si="0"/>
        <v>0.32885259631490787</v>
      </c>
      <c r="P36" s="6" t="str">
        <f t="shared" si="1"/>
        <v>need improvement</v>
      </c>
    </row>
    <row r="37" spans="1:16" x14ac:dyDescent="0.3">
      <c r="A37" t="s">
        <v>175</v>
      </c>
      <c r="B37" s="6" t="s">
        <v>176</v>
      </c>
      <c r="C37" s="6" t="s">
        <v>177</v>
      </c>
      <c r="D37" s="6" t="s">
        <v>51</v>
      </c>
      <c r="E37" s="6" t="s">
        <v>46</v>
      </c>
      <c r="F37" s="6" t="s">
        <v>47</v>
      </c>
      <c r="G37" s="6">
        <v>26</v>
      </c>
      <c r="H37" s="6">
        <v>43.23</v>
      </c>
      <c r="I37" s="6">
        <v>1123.98</v>
      </c>
      <c r="J37" s="6">
        <v>57.2</v>
      </c>
      <c r="K37" s="6">
        <v>234.78</v>
      </c>
      <c r="L37" s="6" t="s">
        <v>33</v>
      </c>
      <c r="M37" s="6" t="s">
        <v>41</v>
      </c>
      <c r="N37" s="6" t="s">
        <v>76</v>
      </c>
      <c r="O37" s="12">
        <f t="shared" si="0"/>
        <v>0.20888272033310201</v>
      </c>
      <c r="P37" s="6" t="str">
        <f t="shared" si="1"/>
        <v>need improvement</v>
      </c>
    </row>
    <row r="38" spans="1:16" x14ac:dyDescent="0.3">
      <c r="A38" t="s">
        <v>178</v>
      </c>
      <c r="B38" s="6" t="s">
        <v>179</v>
      </c>
      <c r="C38" s="6" t="s">
        <v>44</v>
      </c>
      <c r="D38" s="6" t="s">
        <v>37</v>
      </c>
      <c r="E38" s="6" t="s">
        <v>56</v>
      </c>
      <c r="F38" s="6" t="s">
        <v>57</v>
      </c>
      <c r="G38" s="6">
        <v>17</v>
      </c>
      <c r="H38" s="6">
        <v>66.34</v>
      </c>
      <c r="I38" s="6">
        <v>1127.78</v>
      </c>
      <c r="J38" s="6">
        <v>81.150000000000006</v>
      </c>
      <c r="K38" s="6">
        <v>366.63</v>
      </c>
      <c r="L38" s="6" t="s">
        <v>33</v>
      </c>
      <c r="M38" s="6" t="s">
        <v>41</v>
      </c>
      <c r="N38" s="6" t="s">
        <v>35</v>
      </c>
      <c r="O38" s="12">
        <f t="shared" si="0"/>
        <v>0.32508999982266046</v>
      </c>
      <c r="P38" s="6" t="str">
        <f t="shared" si="1"/>
        <v>need improvement</v>
      </c>
    </row>
    <row r="39" spans="1:16" x14ac:dyDescent="0.3">
      <c r="A39" t="s">
        <v>180</v>
      </c>
      <c r="B39" s="6" t="s">
        <v>181</v>
      </c>
      <c r="C39" s="6" t="s">
        <v>182</v>
      </c>
      <c r="D39" s="6" t="s">
        <v>116</v>
      </c>
      <c r="E39" s="6" t="s">
        <v>74</v>
      </c>
      <c r="F39" s="6" t="s">
        <v>75</v>
      </c>
      <c r="G39" s="6">
        <v>4</v>
      </c>
      <c r="H39" s="6">
        <v>33.869999999999997</v>
      </c>
      <c r="I39" s="6">
        <v>135.47999999999999</v>
      </c>
      <c r="J39" s="6">
        <v>6.59</v>
      </c>
      <c r="K39" s="6">
        <v>28.89</v>
      </c>
      <c r="L39" s="6" t="s">
        <v>24</v>
      </c>
      <c r="M39" s="6" t="s">
        <v>41</v>
      </c>
      <c r="N39" s="6" t="s">
        <v>76</v>
      </c>
      <c r="O39" s="12">
        <f t="shared" si="0"/>
        <v>0.21324180690876884</v>
      </c>
      <c r="P39" s="6" t="str">
        <f t="shared" si="1"/>
        <v>need improvement</v>
      </c>
    </row>
    <row r="40" spans="1:16" x14ac:dyDescent="0.3">
      <c r="A40" t="s">
        <v>183</v>
      </c>
      <c r="B40" s="6" t="s">
        <v>184</v>
      </c>
      <c r="C40" s="6" t="s">
        <v>185</v>
      </c>
      <c r="D40" s="6" t="s">
        <v>37</v>
      </c>
      <c r="E40" s="6" t="s">
        <v>56</v>
      </c>
      <c r="F40" s="6" t="s">
        <v>57</v>
      </c>
      <c r="G40" s="6">
        <v>10</v>
      </c>
      <c r="H40" s="6">
        <v>64.650000000000006</v>
      </c>
      <c r="I40" s="6">
        <v>646.5</v>
      </c>
      <c r="J40" s="6">
        <v>17.89</v>
      </c>
      <c r="K40" s="6">
        <v>228.61</v>
      </c>
      <c r="L40" s="6" t="s">
        <v>48</v>
      </c>
      <c r="M40" s="6" t="s">
        <v>25</v>
      </c>
      <c r="N40" s="6" t="s">
        <v>35</v>
      </c>
      <c r="O40" s="12">
        <f t="shared" si="0"/>
        <v>0.35361175560711527</v>
      </c>
      <c r="P40" s="6" t="str">
        <f t="shared" si="1"/>
        <v>need improvement</v>
      </c>
    </row>
    <row r="41" spans="1:16" x14ac:dyDescent="0.3">
      <c r="A41" t="s">
        <v>186</v>
      </c>
      <c r="B41" s="6" t="s">
        <v>187</v>
      </c>
      <c r="C41" s="6" t="s">
        <v>188</v>
      </c>
      <c r="D41" s="6" t="s">
        <v>141</v>
      </c>
      <c r="E41" s="6" t="s">
        <v>67</v>
      </c>
      <c r="F41" s="6" t="s">
        <v>68</v>
      </c>
      <c r="G41" s="6">
        <v>12</v>
      </c>
      <c r="H41" s="6">
        <v>29.56</v>
      </c>
      <c r="I41" s="6">
        <v>354.72</v>
      </c>
      <c r="J41" s="6">
        <v>21.4</v>
      </c>
      <c r="K41" s="6">
        <v>63.32</v>
      </c>
      <c r="L41" s="6" t="s">
        <v>33</v>
      </c>
      <c r="M41" s="6" t="s">
        <v>25</v>
      </c>
      <c r="N41" s="6" t="s">
        <v>142</v>
      </c>
      <c r="O41" s="12">
        <f t="shared" si="0"/>
        <v>0.17850699142986015</v>
      </c>
      <c r="P41" s="6" t="str">
        <f t="shared" si="1"/>
        <v>good</v>
      </c>
    </row>
    <row r="42" spans="1:16" x14ac:dyDescent="0.3">
      <c r="A42" t="s">
        <v>189</v>
      </c>
      <c r="B42" s="6" t="s">
        <v>190</v>
      </c>
      <c r="C42" s="6" t="s">
        <v>191</v>
      </c>
      <c r="D42" s="6" t="s">
        <v>21</v>
      </c>
      <c r="E42" s="6" t="s">
        <v>74</v>
      </c>
      <c r="F42" s="6" t="s">
        <v>75</v>
      </c>
      <c r="G42" s="6">
        <v>4</v>
      </c>
      <c r="H42" s="6">
        <v>35.36</v>
      </c>
      <c r="I42" s="6">
        <v>141.44</v>
      </c>
      <c r="J42" s="6">
        <v>8.66</v>
      </c>
      <c r="K42" s="6">
        <v>32.78</v>
      </c>
      <c r="L42" s="6" t="s">
        <v>48</v>
      </c>
      <c r="M42" s="6" t="s">
        <v>34</v>
      </c>
      <c r="N42" s="6" t="s">
        <v>98</v>
      </c>
      <c r="O42" s="12">
        <f t="shared" si="0"/>
        <v>0.23175904977375567</v>
      </c>
      <c r="P42" s="6" t="str">
        <f t="shared" si="1"/>
        <v>need improvement</v>
      </c>
    </row>
    <row r="43" spans="1:16" x14ac:dyDescent="0.3">
      <c r="A43" t="s">
        <v>192</v>
      </c>
      <c r="B43" s="6" t="s">
        <v>193</v>
      </c>
      <c r="C43" s="6" t="s">
        <v>194</v>
      </c>
      <c r="D43" s="6" t="s">
        <v>37</v>
      </c>
      <c r="E43" s="6" t="s">
        <v>63</v>
      </c>
      <c r="F43" s="6" t="s">
        <v>47</v>
      </c>
      <c r="G43" s="6">
        <v>28</v>
      </c>
      <c r="H43" s="6">
        <v>31.42</v>
      </c>
      <c r="I43" s="6">
        <v>879.76</v>
      </c>
      <c r="J43" s="6">
        <v>69.319999999999993</v>
      </c>
      <c r="K43" s="6">
        <v>250.44</v>
      </c>
      <c r="L43" s="6" t="s">
        <v>24</v>
      </c>
      <c r="M43" s="6" t="s">
        <v>41</v>
      </c>
      <c r="N43" s="6" t="s">
        <v>35</v>
      </c>
      <c r="O43" s="12">
        <f t="shared" si="0"/>
        <v>0.28466854596708191</v>
      </c>
      <c r="P43" s="6" t="str">
        <f t="shared" si="1"/>
        <v>need improvement</v>
      </c>
    </row>
    <row r="44" spans="1:16" x14ac:dyDescent="0.3">
      <c r="A44" t="s">
        <v>195</v>
      </c>
      <c r="B44" s="6" t="s">
        <v>196</v>
      </c>
      <c r="C44" s="6" t="s">
        <v>197</v>
      </c>
      <c r="D44" s="6" t="s">
        <v>21</v>
      </c>
      <c r="E44" s="6" t="s">
        <v>22</v>
      </c>
      <c r="F44" s="6" t="s">
        <v>23</v>
      </c>
      <c r="G44" s="6">
        <v>35</v>
      </c>
      <c r="H44" s="6">
        <v>55.12</v>
      </c>
      <c r="I44" s="6">
        <v>1929.2</v>
      </c>
      <c r="J44" s="6">
        <v>58.22</v>
      </c>
      <c r="K44" s="6">
        <v>645.98</v>
      </c>
      <c r="L44" s="6" t="s">
        <v>24</v>
      </c>
      <c r="M44" s="6" t="s">
        <v>25</v>
      </c>
      <c r="N44" s="6" t="s">
        <v>98</v>
      </c>
      <c r="O44" s="12">
        <f t="shared" si="0"/>
        <v>0.3348434584283641</v>
      </c>
      <c r="P44" s="6" t="str">
        <f t="shared" si="1"/>
        <v>need improvement</v>
      </c>
    </row>
    <row r="45" spans="1:16" x14ac:dyDescent="0.3">
      <c r="A45" t="s">
        <v>198</v>
      </c>
      <c r="B45" s="6" t="s">
        <v>199</v>
      </c>
      <c r="C45" s="6" t="s">
        <v>200</v>
      </c>
      <c r="D45" s="6" t="s">
        <v>123</v>
      </c>
      <c r="E45" s="6" t="s">
        <v>67</v>
      </c>
      <c r="F45" s="6" t="s">
        <v>68</v>
      </c>
      <c r="G45" s="6">
        <v>41</v>
      </c>
      <c r="H45" s="6">
        <v>33.94</v>
      </c>
      <c r="I45" s="6">
        <v>1391.54</v>
      </c>
      <c r="J45" s="6">
        <v>33.26</v>
      </c>
      <c r="K45" s="6">
        <v>435.78</v>
      </c>
      <c r="L45" s="6" t="s">
        <v>24</v>
      </c>
      <c r="M45" s="6" t="s">
        <v>41</v>
      </c>
      <c r="N45" s="6" t="s">
        <v>76</v>
      </c>
      <c r="O45" s="12">
        <f t="shared" si="0"/>
        <v>0.31316383287580662</v>
      </c>
      <c r="P45" s="6" t="str">
        <f t="shared" si="1"/>
        <v>need improvement</v>
      </c>
    </row>
    <row r="46" spans="1:16" x14ac:dyDescent="0.3">
      <c r="A46" t="s">
        <v>201</v>
      </c>
      <c r="B46" s="6" t="s">
        <v>107</v>
      </c>
      <c r="C46" s="6" t="s">
        <v>119</v>
      </c>
      <c r="D46" s="6" t="s">
        <v>116</v>
      </c>
      <c r="E46" s="6" t="s">
        <v>67</v>
      </c>
      <c r="F46" s="6" t="s">
        <v>68</v>
      </c>
      <c r="G46" s="6">
        <v>20</v>
      </c>
      <c r="H46" s="6">
        <v>38.43</v>
      </c>
      <c r="I46" s="6">
        <v>768.6</v>
      </c>
      <c r="J46" s="6">
        <v>60.07</v>
      </c>
      <c r="K46" s="6">
        <v>258.52999999999997</v>
      </c>
      <c r="L46" s="6" t="s">
        <v>48</v>
      </c>
      <c r="M46" s="6" t="s">
        <v>41</v>
      </c>
      <c r="N46" s="6" t="s">
        <v>76</v>
      </c>
      <c r="O46" s="12">
        <f t="shared" si="0"/>
        <v>0.33636481915170435</v>
      </c>
      <c r="P46" s="6" t="str">
        <f t="shared" si="1"/>
        <v>need improvement</v>
      </c>
    </row>
    <row r="47" spans="1:16" x14ac:dyDescent="0.3">
      <c r="A47" t="s">
        <v>202</v>
      </c>
      <c r="B47" s="6" t="s">
        <v>203</v>
      </c>
      <c r="C47" s="6" t="s">
        <v>122</v>
      </c>
      <c r="D47" s="6" t="s">
        <v>45</v>
      </c>
      <c r="E47" s="6" t="s">
        <v>74</v>
      </c>
      <c r="F47" s="6" t="s">
        <v>75</v>
      </c>
      <c r="G47" s="6">
        <v>23</v>
      </c>
      <c r="H47" s="6">
        <v>35.07</v>
      </c>
      <c r="I47" s="6">
        <v>806.61</v>
      </c>
      <c r="J47" s="6">
        <v>21.23</v>
      </c>
      <c r="K47" s="6">
        <v>210.38</v>
      </c>
      <c r="L47" s="6" t="s">
        <v>24</v>
      </c>
      <c r="M47" s="6" t="s">
        <v>41</v>
      </c>
      <c r="N47" s="6" t="s">
        <v>49</v>
      </c>
      <c r="O47" s="12">
        <f t="shared" si="0"/>
        <v>0.26081997495691844</v>
      </c>
      <c r="P47" s="6" t="str">
        <f t="shared" si="1"/>
        <v>need improvement</v>
      </c>
    </row>
    <row r="48" spans="1:16" x14ac:dyDescent="0.3">
      <c r="A48" t="s">
        <v>204</v>
      </c>
      <c r="B48" s="6" t="s">
        <v>205</v>
      </c>
      <c r="C48" s="6" t="s">
        <v>113</v>
      </c>
      <c r="D48" s="6" t="s">
        <v>206</v>
      </c>
      <c r="E48" s="6" t="s">
        <v>56</v>
      </c>
      <c r="F48" s="6" t="s">
        <v>57</v>
      </c>
      <c r="G48" s="6">
        <v>35</v>
      </c>
      <c r="H48" s="6">
        <v>71.44</v>
      </c>
      <c r="I48" s="6">
        <v>2500.4</v>
      </c>
      <c r="J48" s="6">
        <v>166.81</v>
      </c>
      <c r="K48" s="6">
        <v>933.59</v>
      </c>
      <c r="L48" s="6" t="s">
        <v>33</v>
      </c>
      <c r="M48" s="6" t="s">
        <v>34</v>
      </c>
      <c r="N48" s="6" t="s">
        <v>207</v>
      </c>
      <c r="O48" s="12">
        <f t="shared" si="0"/>
        <v>0.37337625979843225</v>
      </c>
      <c r="P48" s="6" t="str">
        <f t="shared" si="1"/>
        <v>excellent</v>
      </c>
    </row>
    <row r="49" spans="1:16" x14ac:dyDescent="0.3">
      <c r="A49" t="s">
        <v>208</v>
      </c>
      <c r="B49" s="6" t="s">
        <v>209</v>
      </c>
      <c r="C49" s="6" t="s">
        <v>185</v>
      </c>
      <c r="D49" s="6" t="s">
        <v>55</v>
      </c>
      <c r="E49" s="6" t="s">
        <v>32</v>
      </c>
      <c r="F49" s="6" t="s">
        <v>23</v>
      </c>
      <c r="G49" s="6">
        <v>11</v>
      </c>
      <c r="H49" s="6">
        <v>26.05</v>
      </c>
      <c r="I49" s="6">
        <v>286.55</v>
      </c>
      <c r="J49" s="6">
        <v>13.39</v>
      </c>
      <c r="K49" s="6">
        <v>75.16</v>
      </c>
      <c r="L49" s="6" t="s">
        <v>33</v>
      </c>
      <c r="M49" s="6" t="s">
        <v>25</v>
      </c>
      <c r="N49" s="6" t="s">
        <v>98</v>
      </c>
      <c r="O49" s="12">
        <f t="shared" si="0"/>
        <v>0.26229279357878205</v>
      </c>
      <c r="P49" s="6" t="str">
        <f t="shared" si="1"/>
        <v>need improvement</v>
      </c>
    </row>
    <row r="50" spans="1:16" x14ac:dyDescent="0.3">
      <c r="A50" t="s">
        <v>210</v>
      </c>
      <c r="B50" s="6" t="s">
        <v>211</v>
      </c>
      <c r="C50" s="6" t="s">
        <v>54</v>
      </c>
      <c r="D50" s="6" t="s">
        <v>31</v>
      </c>
      <c r="E50" s="6" t="s">
        <v>81</v>
      </c>
      <c r="F50" s="6" t="s">
        <v>68</v>
      </c>
      <c r="G50" s="6">
        <v>46</v>
      </c>
      <c r="H50" s="6">
        <v>26.67</v>
      </c>
      <c r="I50" s="6">
        <v>1226.82</v>
      </c>
      <c r="J50" s="6">
        <v>83.55</v>
      </c>
      <c r="K50" s="6">
        <v>430.27</v>
      </c>
      <c r="L50" s="6" t="s">
        <v>24</v>
      </c>
      <c r="M50" s="6" t="s">
        <v>41</v>
      </c>
      <c r="N50" s="6" t="s">
        <v>35</v>
      </c>
      <c r="O50" s="12">
        <f t="shared" si="0"/>
        <v>0.35071974698814823</v>
      </c>
      <c r="P50" s="6" t="str">
        <f t="shared" si="1"/>
        <v>need improvement</v>
      </c>
    </row>
    <row r="51" spans="1:16" x14ac:dyDescent="0.3">
      <c r="A51" t="s">
        <v>212</v>
      </c>
      <c r="B51" s="6" t="s">
        <v>213</v>
      </c>
      <c r="C51" s="6" t="s">
        <v>148</v>
      </c>
      <c r="D51" s="6" t="s">
        <v>31</v>
      </c>
      <c r="E51" s="6" t="s">
        <v>137</v>
      </c>
      <c r="F51" s="6" t="s">
        <v>68</v>
      </c>
      <c r="G51" s="6">
        <v>12</v>
      </c>
      <c r="H51" s="6">
        <v>42.84</v>
      </c>
      <c r="I51" s="6">
        <v>514.08000000000004</v>
      </c>
      <c r="J51" s="6">
        <v>22.74</v>
      </c>
      <c r="K51" s="6">
        <v>155.34</v>
      </c>
      <c r="L51" s="6" t="s">
        <v>48</v>
      </c>
      <c r="M51" s="6" t="s">
        <v>25</v>
      </c>
      <c r="N51" s="6" t="s">
        <v>35</v>
      </c>
      <c r="O51" s="12">
        <f t="shared" si="0"/>
        <v>0.30217086834733892</v>
      </c>
      <c r="P51" s="6" t="str">
        <f t="shared" si="1"/>
        <v>need improvement</v>
      </c>
    </row>
    <row r="52" spans="1:16" x14ac:dyDescent="0.3">
      <c r="A52" t="s">
        <v>214</v>
      </c>
      <c r="B52" s="6" t="s">
        <v>215</v>
      </c>
      <c r="C52" s="6" t="s">
        <v>216</v>
      </c>
      <c r="D52" s="6" t="s">
        <v>116</v>
      </c>
      <c r="E52" s="6" t="s">
        <v>32</v>
      </c>
      <c r="F52" s="6" t="s">
        <v>23</v>
      </c>
      <c r="G52" s="6">
        <v>18</v>
      </c>
      <c r="H52" s="6">
        <v>30.89</v>
      </c>
      <c r="I52" s="6">
        <v>556.02</v>
      </c>
      <c r="J52" s="6">
        <v>12</v>
      </c>
      <c r="K52" s="6">
        <v>220.02</v>
      </c>
      <c r="L52" s="6" t="s">
        <v>33</v>
      </c>
      <c r="M52" s="6" t="s">
        <v>25</v>
      </c>
      <c r="N52" s="6" t="s">
        <v>76</v>
      </c>
      <c r="O52" s="12">
        <f t="shared" si="0"/>
        <v>0.39570519046077485</v>
      </c>
      <c r="P52" s="6" t="str">
        <f t="shared" si="1"/>
        <v>need improvement</v>
      </c>
    </row>
    <row r="53" spans="1:16" x14ac:dyDescent="0.3">
      <c r="A53" t="s">
        <v>217</v>
      </c>
      <c r="B53" s="6" t="s">
        <v>218</v>
      </c>
      <c r="C53" s="6" t="s">
        <v>219</v>
      </c>
      <c r="D53" s="6" t="s">
        <v>55</v>
      </c>
      <c r="E53" s="6" t="s">
        <v>22</v>
      </c>
      <c r="F53" s="6" t="s">
        <v>23</v>
      </c>
      <c r="G53" s="6">
        <v>21</v>
      </c>
      <c r="H53" s="6">
        <v>52.41</v>
      </c>
      <c r="I53" s="6">
        <v>1100.6099999999999</v>
      </c>
      <c r="J53" s="6">
        <v>81.099999999999994</v>
      </c>
      <c r="K53" s="6">
        <v>284.51</v>
      </c>
      <c r="L53" s="6" t="s">
        <v>48</v>
      </c>
      <c r="M53" s="6" t="s">
        <v>34</v>
      </c>
      <c r="N53" s="6" t="s">
        <v>98</v>
      </c>
      <c r="O53" s="12">
        <f t="shared" si="0"/>
        <v>0.25850210337903529</v>
      </c>
      <c r="P53" s="6" t="str">
        <f t="shared" si="1"/>
        <v>need improvement</v>
      </c>
    </row>
    <row r="54" spans="1:16" x14ac:dyDescent="0.3">
      <c r="A54" t="s">
        <v>220</v>
      </c>
      <c r="B54" s="6" t="s">
        <v>221</v>
      </c>
      <c r="C54" s="6" t="s">
        <v>222</v>
      </c>
      <c r="D54" s="6" t="s">
        <v>206</v>
      </c>
      <c r="E54" s="6" t="s">
        <v>137</v>
      </c>
      <c r="F54" s="6" t="s">
        <v>68</v>
      </c>
      <c r="G54" s="6">
        <v>17</v>
      </c>
      <c r="H54" s="6">
        <v>38.64</v>
      </c>
      <c r="I54" s="6">
        <v>656.88</v>
      </c>
      <c r="J54" s="6">
        <v>13.86</v>
      </c>
      <c r="K54" s="6">
        <v>167.02</v>
      </c>
      <c r="L54" s="6" t="s">
        <v>33</v>
      </c>
      <c r="M54" s="6" t="s">
        <v>25</v>
      </c>
      <c r="N54" s="6" t="s">
        <v>207</v>
      </c>
      <c r="O54" s="12">
        <f t="shared" si="0"/>
        <v>0.25426257459505541</v>
      </c>
      <c r="P54" s="6" t="str">
        <f t="shared" si="1"/>
        <v>need improvement</v>
      </c>
    </row>
    <row r="55" spans="1:16" x14ac:dyDescent="0.3">
      <c r="A55" t="s">
        <v>223</v>
      </c>
      <c r="B55" s="6" t="s">
        <v>224</v>
      </c>
      <c r="C55" s="6" t="s">
        <v>191</v>
      </c>
      <c r="D55" s="6" t="s">
        <v>127</v>
      </c>
      <c r="E55" s="6" t="s">
        <v>32</v>
      </c>
      <c r="F55" s="6" t="s">
        <v>23</v>
      </c>
      <c r="G55" s="6">
        <v>41</v>
      </c>
      <c r="H55" s="6">
        <v>25.79</v>
      </c>
      <c r="I55" s="6">
        <v>1057.3900000000001</v>
      </c>
      <c r="J55" s="6">
        <v>71.22</v>
      </c>
      <c r="K55" s="6">
        <v>248.17</v>
      </c>
      <c r="L55" s="6" t="s">
        <v>33</v>
      </c>
      <c r="M55" s="6" t="s">
        <v>34</v>
      </c>
      <c r="N55" s="6" t="s">
        <v>76</v>
      </c>
      <c r="O55" s="12">
        <f t="shared" si="0"/>
        <v>0.23470053622599038</v>
      </c>
      <c r="P55" s="6" t="str">
        <f t="shared" si="1"/>
        <v>need improvement</v>
      </c>
    </row>
    <row r="56" spans="1:16" x14ac:dyDescent="0.3">
      <c r="A56" t="s">
        <v>225</v>
      </c>
      <c r="B56" s="6" t="s">
        <v>226</v>
      </c>
      <c r="C56" s="6" t="s">
        <v>227</v>
      </c>
      <c r="D56" s="6" t="s">
        <v>127</v>
      </c>
      <c r="E56" s="6" t="s">
        <v>137</v>
      </c>
      <c r="F56" s="6" t="s">
        <v>68</v>
      </c>
      <c r="G56" s="6">
        <v>41</v>
      </c>
      <c r="H56" s="6">
        <v>41.13</v>
      </c>
      <c r="I56" s="6">
        <v>1686.33</v>
      </c>
      <c r="J56" s="6">
        <v>80.12</v>
      </c>
      <c r="K56" s="6">
        <v>458.21</v>
      </c>
      <c r="L56" s="6" t="s">
        <v>33</v>
      </c>
      <c r="M56" s="6" t="s">
        <v>41</v>
      </c>
      <c r="N56" s="6" t="s">
        <v>76</v>
      </c>
      <c r="O56" s="12">
        <f t="shared" si="0"/>
        <v>0.27172024455474314</v>
      </c>
      <c r="P56" s="6" t="str">
        <f t="shared" si="1"/>
        <v>need improvement</v>
      </c>
    </row>
    <row r="57" spans="1:16" x14ac:dyDescent="0.3">
      <c r="A57" t="s">
        <v>228</v>
      </c>
      <c r="B57" s="6" t="s">
        <v>229</v>
      </c>
      <c r="C57" s="6" t="s">
        <v>113</v>
      </c>
      <c r="D57" s="6" t="s">
        <v>51</v>
      </c>
      <c r="E57" s="6" t="s">
        <v>56</v>
      </c>
      <c r="F57" s="6" t="s">
        <v>57</v>
      </c>
      <c r="G57" s="6">
        <v>33</v>
      </c>
      <c r="H57" s="6">
        <v>55.67</v>
      </c>
      <c r="I57" s="6">
        <v>1837.11</v>
      </c>
      <c r="J57" s="6">
        <v>144.32</v>
      </c>
      <c r="K57" s="6">
        <v>372.79</v>
      </c>
      <c r="L57" s="6" t="s">
        <v>24</v>
      </c>
      <c r="M57" s="6" t="s">
        <v>25</v>
      </c>
      <c r="N57" s="6" t="s">
        <v>76</v>
      </c>
      <c r="O57" s="12">
        <f t="shared" si="0"/>
        <v>0.2029219807197174</v>
      </c>
      <c r="P57" s="6" t="str">
        <f t="shared" si="1"/>
        <v>need improvement</v>
      </c>
    </row>
    <row r="58" spans="1:16" x14ac:dyDescent="0.3">
      <c r="A58" t="s">
        <v>230</v>
      </c>
      <c r="B58" s="6" t="s">
        <v>231</v>
      </c>
      <c r="C58" s="6" t="s">
        <v>232</v>
      </c>
      <c r="D58" s="6" t="s">
        <v>127</v>
      </c>
      <c r="E58" s="6" t="s">
        <v>56</v>
      </c>
      <c r="F58" s="6" t="s">
        <v>57</v>
      </c>
      <c r="G58" s="6">
        <v>18</v>
      </c>
      <c r="H58" s="6">
        <v>50.87</v>
      </c>
      <c r="I58" s="6">
        <v>915.66</v>
      </c>
      <c r="J58" s="6">
        <v>49.93</v>
      </c>
      <c r="K58" s="6">
        <v>145.72999999999999</v>
      </c>
      <c r="L58" s="6" t="s">
        <v>24</v>
      </c>
      <c r="M58" s="6" t="s">
        <v>34</v>
      </c>
      <c r="N58" s="6" t="s">
        <v>76</v>
      </c>
      <c r="O58" s="12">
        <f t="shared" si="0"/>
        <v>0.15915296070593887</v>
      </c>
      <c r="P58" s="6" t="str">
        <f t="shared" si="1"/>
        <v>good</v>
      </c>
    </row>
    <row r="59" spans="1:16" x14ac:dyDescent="0.3">
      <c r="A59" t="s">
        <v>233</v>
      </c>
      <c r="B59" s="6" t="s">
        <v>234</v>
      </c>
      <c r="C59" s="6" t="s">
        <v>235</v>
      </c>
      <c r="D59" s="6" t="s">
        <v>141</v>
      </c>
      <c r="E59" s="6" t="s">
        <v>81</v>
      </c>
      <c r="F59" s="6" t="s">
        <v>68</v>
      </c>
      <c r="G59" s="6">
        <v>14</v>
      </c>
      <c r="H59" s="6">
        <v>26.7</v>
      </c>
      <c r="I59" s="6">
        <v>373.8</v>
      </c>
      <c r="J59" s="6">
        <v>11.84</v>
      </c>
      <c r="K59" s="6">
        <v>144.96</v>
      </c>
      <c r="L59" s="6" t="s">
        <v>48</v>
      </c>
      <c r="M59" s="6" t="s">
        <v>25</v>
      </c>
      <c r="N59" s="6" t="s">
        <v>142</v>
      </c>
      <c r="O59" s="12">
        <f t="shared" si="0"/>
        <v>0.38780096308186196</v>
      </c>
      <c r="P59" s="6" t="str">
        <f t="shared" si="1"/>
        <v>need improvement</v>
      </c>
    </row>
    <row r="60" spans="1:16" x14ac:dyDescent="0.3">
      <c r="A60" t="s">
        <v>236</v>
      </c>
      <c r="B60" s="6" t="s">
        <v>237</v>
      </c>
      <c r="C60" s="6" t="s">
        <v>238</v>
      </c>
      <c r="D60" s="6" t="s">
        <v>21</v>
      </c>
      <c r="E60" s="6" t="s">
        <v>32</v>
      </c>
      <c r="F60" s="6" t="s">
        <v>23</v>
      </c>
      <c r="G60" s="6">
        <v>16</v>
      </c>
      <c r="H60" s="6">
        <v>28.96</v>
      </c>
      <c r="I60" s="6">
        <v>463.36</v>
      </c>
      <c r="J60" s="6">
        <v>35.65</v>
      </c>
      <c r="K60" s="6">
        <v>139.71</v>
      </c>
      <c r="L60" s="6" t="s">
        <v>24</v>
      </c>
      <c r="M60" s="6" t="s">
        <v>41</v>
      </c>
      <c r="N60" s="6" t="s">
        <v>98</v>
      </c>
      <c r="O60" s="12">
        <f t="shared" si="0"/>
        <v>0.30151502071823205</v>
      </c>
      <c r="P60" s="6" t="str">
        <f t="shared" si="1"/>
        <v>need improvement</v>
      </c>
    </row>
    <row r="61" spans="1:16" x14ac:dyDescent="0.3">
      <c r="A61" t="s">
        <v>239</v>
      </c>
      <c r="B61" s="6" t="s">
        <v>240</v>
      </c>
      <c r="C61" s="6" t="s">
        <v>113</v>
      </c>
      <c r="D61" s="6" t="s">
        <v>241</v>
      </c>
      <c r="E61" s="6" t="s">
        <v>32</v>
      </c>
      <c r="F61" s="6" t="s">
        <v>23</v>
      </c>
      <c r="G61" s="6">
        <v>47</v>
      </c>
      <c r="H61" s="6">
        <v>23.03</v>
      </c>
      <c r="I61" s="6">
        <v>1082.4100000000001</v>
      </c>
      <c r="J61" s="6">
        <v>50.12</v>
      </c>
      <c r="K61" s="6">
        <v>186.29</v>
      </c>
      <c r="L61" s="6" t="s">
        <v>48</v>
      </c>
      <c r="M61" s="6" t="s">
        <v>25</v>
      </c>
      <c r="N61" s="6" t="s">
        <v>35</v>
      </c>
      <c r="O61" s="12">
        <f t="shared" si="0"/>
        <v>0.1721066878539555</v>
      </c>
      <c r="P61" s="6" t="str">
        <f t="shared" si="1"/>
        <v>good</v>
      </c>
    </row>
    <row r="62" spans="1:16" x14ac:dyDescent="0.3">
      <c r="A62" t="s">
        <v>242</v>
      </c>
      <c r="B62" s="6" t="s">
        <v>243</v>
      </c>
      <c r="C62" s="6" t="s">
        <v>238</v>
      </c>
      <c r="D62" s="6" t="s">
        <v>206</v>
      </c>
      <c r="E62" s="6" t="s">
        <v>22</v>
      </c>
      <c r="F62" s="6" t="s">
        <v>23</v>
      </c>
      <c r="G62" s="6">
        <v>18</v>
      </c>
      <c r="H62" s="6">
        <v>50.03</v>
      </c>
      <c r="I62" s="6">
        <v>900.54</v>
      </c>
      <c r="J62" s="6">
        <v>68.44</v>
      </c>
      <c r="K62" s="6">
        <v>202.1</v>
      </c>
      <c r="L62" s="6" t="s">
        <v>48</v>
      </c>
      <c r="M62" s="6" t="s">
        <v>25</v>
      </c>
      <c r="N62" s="6" t="s">
        <v>207</v>
      </c>
      <c r="O62" s="12">
        <f t="shared" si="0"/>
        <v>0.22442090301374731</v>
      </c>
      <c r="P62" s="6" t="str">
        <f t="shared" si="1"/>
        <v>need improvement</v>
      </c>
    </row>
    <row r="63" spans="1:16" x14ac:dyDescent="0.3">
      <c r="A63" t="s">
        <v>244</v>
      </c>
      <c r="B63" s="6" t="s">
        <v>245</v>
      </c>
      <c r="C63" s="6" t="s">
        <v>246</v>
      </c>
      <c r="D63" s="6" t="s">
        <v>31</v>
      </c>
      <c r="E63" s="6" t="s">
        <v>74</v>
      </c>
      <c r="F63" s="6" t="s">
        <v>75</v>
      </c>
      <c r="G63" s="6">
        <v>38</v>
      </c>
      <c r="H63" s="6">
        <v>32.07</v>
      </c>
      <c r="I63" s="6">
        <v>1218.6600000000001</v>
      </c>
      <c r="J63" s="6">
        <v>54.49</v>
      </c>
      <c r="K63" s="6">
        <v>214.17</v>
      </c>
      <c r="L63" s="6" t="s">
        <v>48</v>
      </c>
      <c r="M63" s="6" t="s">
        <v>41</v>
      </c>
      <c r="N63" s="6" t="s">
        <v>35</v>
      </c>
      <c r="O63" s="12">
        <f t="shared" si="0"/>
        <v>0.17574220865540838</v>
      </c>
      <c r="P63" s="6" t="str">
        <f t="shared" si="1"/>
        <v>good</v>
      </c>
    </row>
    <row r="64" spans="1:16" x14ac:dyDescent="0.3">
      <c r="A64" t="s">
        <v>247</v>
      </c>
      <c r="B64" s="6" t="s">
        <v>248</v>
      </c>
      <c r="C64" s="6" t="s">
        <v>249</v>
      </c>
      <c r="D64" s="6" t="s">
        <v>45</v>
      </c>
      <c r="E64" s="6" t="s">
        <v>46</v>
      </c>
      <c r="F64" s="6" t="s">
        <v>47</v>
      </c>
      <c r="G64" s="6">
        <v>23</v>
      </c>
      <c r="H64" s="6">
        <v>50.96</v>
      </c>
      <c r="I64" s="6">
        <v>1172.08</v>
      </c>
      <c r="J64" s="6">
        <v>61</v>
      </c>
      <c r="K64" s="6">
        <v>375.08</v>
      </c>
      <c r="L64" s="6" t="s">
        <v>48</v>
      </c>
      <c r="M64" s="6" t="s">
        <v>34</v>
      </c>
      <c r="N64" s="6" t="s">
        <v>49</v>
      </c>
      <c r="O64" s="12">
        <f t="shared" si="0"/>
        <v>0.32001228585079516</v>
      </c>
      <c r="P64" s="6" t="str">
        <f t="shared" si="1"/>
        <v>need improvement</v>
      </c>
    </row>
    <row r="65" spans="1:16" x14ac:dyDescent="0.3">
      <c r="A65" t="s">
        <v>250</v>
      </c>
      <c r="B65" s="6" t="s">
        <v>251</v>
      </c>
      <c r="C65" s="6" t="s">
        <v>252</v>
      </c>
      <c r="D65" s="6" t="s">
        <v>127</v>
      </c>
      <c r="E65" s="6" t="s">
        <v>56</v>
      </c>
      <c r="F65" s="6" t="s">
        <v>57</v>
      </c>
      <c r="G65" s="6">
        <v>46</v>
      </c>
      <c r="H65" s="6">
        <v>70.599999999999994</v>
      </c>
      <c r="I65" s="6">
        <v>3247.6</v>
      </c>
      <c r="J65" s="6">
        <v>166.91</v>
      </c>
      <c r="K65" s="6">
        <v>1240.69</v>
      </c>
      <c r="L65" s="6" t="s">
        <v>48</v>
      </c>
      <c r="M65" s="6" t="s">
        <v>34</v>
      </c>
      <c r="N65" s="6" t="s">
        <v>76</v>
      </c>
      <c r="O65" s="12">
        <f t="shared" si="0"/>
        <v>0.3820328858233773</v>
      </c>
      <c r="P65" s="6" t="str">
        <f t="shared" si="1"/>
        <v>excellent</v>
      </c>
    </row>
    <row r="66" spans="1:16" x14ac:dyDescent="0.3">
      <c r="A66" t="s">
        <v>253</v>
      </c>
      <c r="B66" s="6" t="s">
        <v>254</v>
      </c>
      <c r="C66" s="6" t="s">
        <v>148</v>
      </c>
      <c r="D66" s="6" t="s">
        <v>127</v>
      </c>
      <c r="E66" s="6" t="s">
        <v>56</v>
      </c>
      <c r="F66" s="6" t="s">
        <v>57</v>
      </c>
      <c r="G66" s="6">
        <v>15</v>
      </c>
      <c r="H66" s="6">
        <v>53.36</v>
      </c>
      <c r="I66" s="6">
        <v>800.4</v>
      </c>
      <c r="J66" s="6">
        <v>56.29</v>
      </c>
      <c r="K66" s="6">
        <v>144.11000000000001</v>
      </c>
      <c r="L66" s="6" t="s">
        <v>24</v>
      </c>
      <c r="M66" s="6" t="s">
        <v>25</v>
      </c>
      <c r="N66" s="6" t="s">
        <v>76</v>
      </c>
      <c r="O66" s="12">
        <f t="shared" si="0"/>
        <v>0.18004747626186909</v>
      </c>
      <c r="P66" s="6" t="str">
        <f t="shared" si="1"/>
        <v>good</v>
      </c>
    </row>
    <row r="67" spans="1:16" x14ac:dyDescent="0.3">
      <c r="A67" t="s">
        <v>255</v>
      </c>
      <c r="B67" s="6" t="s">
        <v>256</v>
      </c>
      <c r="C67" s="6" t="s">
        <v>257</v>
      </c>
      <c r="D67" s="6" t="s">
        <v>206</v>
      </c>
      <c r="E67" s="6" t="s">
        <v>46</v>
      </c>
      <c r="F67" s="6" t="s">
        <v>47</v>
      </c>
      <c r="G67" s="6">
        <v>42</v>
      </c>
      <c r="H67" s="6">
        <v>39.840000000000003</v>
      </c>
      <c r="I67" s="6">
        <v>1673.28</v>
      </c>
      <c r="J67" s="6">
        <v>132.74</v>
      </c>
      <c r="K67" s="6">
        <v>196.54</v>
      </c>
      <c r="L67" s="6" t="s">
        <v>24</v>
      </c>
      <c r="M67" s="6" t="s">
        <v>41</v>
      </c>
      <c r="N67" s="6" t="s">
        <v>207</v>
      </c>
      <c r="O67" s="12">
        <f t="shared" si="0"/>
        <v>0.11745792694587875</v>
      </c>
      <c r="P67" s="6" t="str">
        <f t="shared" si="1"/>
        <v>good</v>
      </c>
    </row>
    <row r="68" spans="1:16" x14ac:dyDescent="0.3">
      <c r="A68" t="s">
        <v>258</v>
      </c>
      <c r="B68" s="6" t="s">
        <v>259</v>
      </c>
      <c r="C68" s="6" t="s">
        <v>232</v>
      </c>
      <c r="D68" s="6" t="s">
        <v>127</v>
      </c>
      <c r="E68" s="6" t="s">
        <v>74</v>
      </c>
      <c r="F68" s="6" t="s">
        <v>75</v>
      </c>
      <c r="G68" s="6">
        <v>31</v>
      </c>
      <c r="H68" s="6">
        <v>38.26</v>
      </c>
      <c r="I68" s="6">
        <v>1186.06</v>
      </c>
      <c r="J68" s="6">
        <v>69.33</v>
      </c>
      <c r="K68" s="6">
        <v>341.73</v>
      </c>
      <c r="L68" s="6" t="s">
        <v>33</v>
      </c>
      <c r="M68" s="6" t="s">
        <v>25</v>
      </c>
      <c r="N68" s="6" t="s">
        <v>76</v>
      </c>
      <c r="O68" s="12">
        <f t="shared" si="0"/>
        <v>0.28812201743588017</v>
      </c>
      <c r="P68" s="6" t="str">
        <f t="shared" si="1"/>
        <v>need improvement</v>
      </c>
    </row>
    <row r="69" spans="1:16" x14ac:dyDescent="0.3">
      <c r="A69" t="s">
        <v>260</v>
      </c>
      <c r="B69" s="6" t="s">
        <v>261</v>
      </c>
      <c r="C69" s="6" t="s">
        <v>235</v>
      </c>
      <c r="D69" s="6" t="s">
        <v>171</v>
      </c>
      <c r="E69" s="6" t="s">
        <v>81</v>
      </c>
      <c r="F69" s="6" t="s">
        <v>68</v>
      </c>
      <c r="G69" s="6">
        <v>2</v>
      </c>
      <c r="H69" s="6">
        <v>23.09</v>
      </c>
      <c r="I69" s="6">
        <v>46.18</v>
      </c>
      <c r="J69" s="6">
        <v>2.52</v>
      </c>
      <c r="K69" s="6">
        <v>12.66</v>
      </c>
      <c r="L69" s="6" t="s">
        <v>33</v>
      </c>
      <c r="M69" s="6" t="s">
        <v>34</v>
      </c>
      <c r="N69" s="6" t="s">
        <v>35</v>
      </c>
      <c r="O69" s="12">
        <f t="shared" si="0"/>
        <v>0.27414465136422694</v>
      </c>
      <c r="P69" s="6" t="str">
        <f t="shared" si="1"/>
        <v>need improvement</v>
      </c>
    </row>
    <row r="70" spans="1:16" x14ac:dyDescent="0.3">
      <c r="A70" t="s">
        <v>262</v>
      </c>
      <c r="B70" s="6" t="s">
        <v>263</v>
      </c>
      <c r="C70" s="6" t="s">
        <v>66</v>
      </c>
      <c r="D70" s="6" t="s">
        <v>123</v>
      </c>
      <c r="E70" s="6" t="s">
        <v>46</v>
      </c>
      <c r="F70" s="6" t="s">
        <v>47</v>
      </c>
      <c r="G70" s="6">
        <v>40</v>
      </c>
      <c r="H70" s="6">
        <v>46.81</v>
      </c>
      <c r="I70" s="6">
        <v>1872.4</v>
      </c>
      <c r="J70" s="6">
        <v>43.01</v>
      </c>
      <c r="K70" s="6">
        <v>549.39</v>
      </c>
      <c r="L70" s="6" t="s">
        <v>24</v>
      </c>
      <c r="M70" s="6" t="s">
        <v>41</v>
      </c>
      <c r="N70" s="6" t="s">
        <v>76</v>
      </c>
      <c r="O70" s="12">
        <f t="shared" ref="O70:O133" si="2">K70/I70</f>
        <v>0.29341486861781668</v>
      </c>
      <c r="P70" s="6" t="str">
        <f t="shared" ref="P70:P133" si="3">IF(AND(O70&gt;20%,I70&gt;2000),"excellent",IF(AND(O70&gt;=10%,O70&lt;=20%),"good","need improvement"))</f>
        <v>need improvement</v>
      </c>
    </row>
    <row r="71" spans="1:16" x14ac:dyDescent="0.3">
      <c r="A71" t="s">
        <v>264</v>
      </c>
      <c r="B71" s="6" t="s">
        <v>265</v>
      </c>
      <c r="C71" s="6" t="s">
        <v>266</v>
      </c>
      <c r="D71" s="6" t="s">
        <v>51</v>
      </c>
      <c r="E71" s="6" t="s">
        <v>46</v>
      </c>
      <c r="F71" s="6" t="s">
        <v>47</v>
      </c>
      <c r="G71" s="6">
        <v>43</v>
      </c>
      <c r="H71" s="6">
        <v>57.01</v>
      </c>
      <c r="I71" s="6">
        <v>2451.4299999999998</v>
      </c>
      <c r="J71" s="6">
        <v>115.04</v>
      </c>
      <c r="K71" s="6">
        <v>960.39</v>
      </c>
      <c r="L71" s="6" t="s">
        <v>33</v>
      </c>
      <c r="M71" s="6" t="s">
        <v>25</v>
      </c>
      <c r="N71" s="6" t="s">
        <v>76</v>
      </c>
      <c r="O71" s="12">
        <f t="shared" si="2"/>
        <v>0.39176725421488684</v>
      </c>
      <c r="P71" s="6" t="str">
        <f t="shared" si="3"/>
        <v>excellent</v>
      </c>
    </row>
    <row r="72" spans="1:16" x14ac:dyDescent="0.3">
      <c r="A72" t="s">
        <v>267</v>
      </c>
      <c r="B72" s="6" t="s">
        <v>268</v>
      </c>
      <c r="C72" s="6" t="s">
        <v>269</v>
      </c>
      <c r="D72" s="6" t="s">
        <v>62</v>
      </c>
      <c r="E72" s="6" t="s">
        <v>86</v>
      </c>
      <c r="F72" s="6" t="s">
        <v>47</v>
      </c>
      <c r="G72" s="6">
        <v>15</v>
      </c>
      <c r="H72" s="6">
        <v>22.23</v>
      </c>
      <c r="I72" s="6">
        <v>333.45</v>
      </c>
      <c r="J72" s="6">
        <v>16.89</v>
      </c>
      <c r="K72" s="6">
        <v>125.31</v>
      </c>
      <c r="L72" s="6" t="s">
        <v>48</v>
      </c>
      <c r="M72" s="6" t="s">
        <v>34</v>
      </c>
      <c r="N72" s="6" t="s">
        <v>98</v>
      </c>
      <c r="O72" s="12">
        <f t="shared" si="2"/>
        <v>0.37579847053531268</v>
      </c>
      <c r="P72" s="6" t="str">
        <f t="shared" si="3"/>
        <v>need improvement</v>
      </c>
    </row>
    <row r="73" spans="1:16" x14ac:dyDescent="0.3">
      <c r="A73" t="s">
        <v>270</v>
      </c>
      <c r="B73" s="6" t="s">
        <v>271</v>
      </c>
      <c r="C73" s="6" t="s">
        <v>272</v>
      </c>
      <c r="D73" s="6" t="s">
        <v>171</v>
      </c>
      <c r="E73" s="6" t="s">
        <v>81</v>
      </c>
      <c r="F73" s="6" t="s">
        <v>68</v>
      </c>
      <c r="G73" s="6">
        <v>15</v>
      </c>
      <c r="H73" s="6">
        <v>19.23</v>
      </c>
      <c r="I73" s="6">
        <v>288.45</v>
      </c>
      <c r="J73" s="6">
        <v>20.22</v>
      </c>
      <c r="K73" s="6">
        <v>35.729999999999997</v>
      </c>
      <c r="L73" s="6" t="s">
        <v>24</v>
      </c>
      <c r="M73" s="6" t="s">
        <v>25</v>
      </c>
      <c r="N73" s="6" t="s">
        <v>35</v>
      </c>
      <c r="O73" s="12">
        <f t="shared" si="2"/>
        <v>0.12386895475819032</v>
      </c>
      <c r="P73" s="6" t="str">
        <f t="shared" si="3"/>
        <v>good</v>
      </c>
    </row>
    <row r="74" spans="1:16" x14ac:dyDescent="0.3">
      <c r="A74" t="s">
        <v>273</v>
      </c>
      <c r="B74" s="6" t="s">
        <v>274</v>
      </c>
      <c r="C74" s="6" t="s">
        <v>151</v>
      </c>
      <c r="D74" s="6" t="s">
        <v>37</v>
      </c>
      <c r="E74" s="6" t="s">
        <v>137</v>
      </c>
      <c r="F74" s="6" t="s">
        <v>68</v>
      </c>
      <c r="G74" s="6">
        <v>34</v>
      </c>
      <c r="H74" s="6">
        <v>45.54</v>
      </c>
      <c r="I74" s="6">
        <v>1548.36</v>
      </c>
      <c r="J74" s="6">
        <v>36.76</v>
      </c>
      <c r="K74" s="6">
        <v>559.6</v>
      </c>
      <c r="L74" s="6" t="s">
        <v>24</v>
      </c>
      <c r="M74" s="6" t="s">
        <v>25</v>
      </c>
      <c r="N74" s="6" t="s">
        <v>35</v>
      </c>
      <c r="O74" s="12">
        <f t="shared" si="2"/>
        <v>0.36141465808984996</v>
      </c>
      <c r="P74" s="6" t="str">
        <f t="shared" si="3"/>
        <v>need improvement</v>
      </c>
    </row>
    <row r="75" spans="1:16" x14ac:dyDescent="0.3">
      <c r="A75" t="s">
        <v>275</v>
      </c>
      <c r="B75" s="6" t="s">
        <v>276</v>
      </c>
      <c r="C75" s="6" t="s">
        <v>277</v>
      </c>
      <c r="D75" s="6" t="s">
        <v>171</v>
      </c>
      <c r="E75" s="6" t="s">
        <v>56</v>
      </c>
      <c r="F75" s="6" t="s">
        <v>57</v>
      </c>
      <c r="G75" s="6">
        <v>33</v>
      </c>
      <c r="H75" s="6">
        <v>63.88</v>
      </c>
      <c r="I75" s="6">
        <v>2108.04</v>
      </c>
      <c r="J75" s="6">
        <v>111.7</v>
      </c>
      <c r="K75" s="6">
        <v>676.34</v>
      </c>
      <c r="L75" s="6" t="s">
        <v>24</v>
      </c>
      <c r="M75" s="6" t="s">
        <v>41</v>
      </c>
      <c r="N75" s="6" t="s">
        <v>35</v>
      </c>
      <c r="O75" s="12">
        <f t="shared" si="2"/>
        <v>0.32083831426348647</v>
      </c>
      <c r="P75" s="6" t="str">
        <f t="shared" si="3"/>
        <v>excellent</v>
      </c>
    </row>
    <row r="76" spans="1:16" x14ac:dyDescent="0.3">
      <c r="A76" t="s">
        <v>278</v>
      </c>
      <c r="B76" s="6" t="s">
        <v>279</v>
      </c>
      <c r="C76" s="6" t="s">
        <v>148</v>
      </c>
      <c r="D76" s="6" t="s">
        <v>241</v>
      </c>
      <c r="E76" s="6" t="s">
        <v>32</v>
      </c>
      <c r="F76" s="6" t="s">
        <v>23</v>
      </c>
      <c r="G76" s="6">
        <v>39</v>
      </c>
      <c r="H76" s="6">
        <v>25.38</v>
      </c>
      <c r="I76" s="6">
        <v>989.82</v>
      </c>
      <c r="J76" s="6">
        <v>50.82</v>
      </c>
      <c r="K76" s="6">
        <v>237</v>
      </c>
      <c r="L76" s="6" t="s">
        <v>33</v>
      </c>
      <c r="M76" s="6" t="s">
        <v>34</v>
      </c>
      <c r="N76" s="6" t="s">
        <v>35</v>
      </c>
      <c r="O76" s="12">
        <f t="shared" si="2"/>
        <v>0.23943747348002667</v>
      </c>
      <c r="P76" s="6" t="str">
        <f t="shared" si="3"/>
        <v>need improvement</v>
      </c>
    </row>
    <row r="77" spans="1:16" x14ac:dyDescent="0.3">
      <c r="A77" t="s">
        <v>280</v>
      </c>
      <c r="B77" s="6" t="s">
        <v>281</v>
      </c>
      <c r="C77" s="6" t="s">
        <v>282</v>
      </c>
      <c r="D77" s="6" t="s">
        <v>70</v>
      </c>
      <c r="E77" s="6" t="s">
        <v>74</v>
      </c>
      <c r="F77" s="6" t="s">
        <v>75</v>
      </c>
      <c r="G77" s="6">
        <v>9</v>
      </c>
      <c r="H77" s="6">
        <v>38.979999999999997</v>
      </c>
      <c r="I77" s="6">
        <v>350.82</v>
      </c>
      <c r="J77" s="6">
        <v>25.56</v>
      </c>
      <c r="K77" s="6">
        <v>100.26</v>
      </c>
      <c r="L77" s="6" t="s">
        <v>24</v>
      </c>
      <c r="M77" s="6" t="s">
        <v>25</v>
      </c>
      <c r="N77" s="6" t="s">
        <v>76</v>
      </c>
      <c r="O77" s="12">
        <f t="shared" si="2"/>
        <v>0.28578758337609034</v>
      </c>
      <c r="P77" s="6" t="str">
        <f t="shared" si="3"/>
        <v>need improvement</v>
      </c>
    </row>
    <row r="78" spans="1:16" x14ac:dyDescent="0.3">
      <c r="A78" t="s">
        <v>283</v>
      </c>
      <c r="B78" s="6" t="s">
        <v>284</v>
      </c>
      <c r="C78" s="6" t="s">
        <v>285</v>
      </c>
      <c r="D78" s="6" t="s">
        <v>141</v>
      </c>
      <c r="E78" s="6" t="s">
        <v>63</v>
      </c>
      <c r="F78" s="6" t="s">
        <v>47</v>
      </c>
      <c r="G78" s="6">
        <v>14</v>
      </c>
      <c r="H78" s="6">
        <v>35.86</v>
      </c>
      <c r="I78" s="6">
        <v>502.04</v>
      </c>
      <c r="J78" s="6">
        <v>40.130000000000003</v>
      </c>
      <c r="K78" s="6">
        <v>181.91</v>
      </c>
      <c r="L78" s="6" t="s">
        <v>48</v>
      </c>
      <c r="M78" s="6" t="s">
        <v>41</v>
      </c>
      <c r="N78" s="6" t="s">
        <v>142</v>
      </c>
      <c r="O78" s="12">
        <f t="shared" si="2"/>
        <v>0.36234164608397734</v>
      </c>
      <c r="P78" s="6" t="str">
        <f t="shared" si="3"/>
        <v>need improvement</v>
      </c>
    </row>
    <row r="79" spans="1:16" x14ac:dyDescent="0.3">
      <c r="A79" t="s">
        <v>286</v>
      </c>
      <c r="B79" s="6" t="s">
        <v>287</v>
      </c>
      <c r="C79" s="6" t="s">
        <v>288</v>
      </c>
      <c r="D79" s="6" t="s">
        <v>127</v>
      </c>
      <c r="E79" s="6" t="s">
        <v>81</v>
      </c>
      <c r="F79" s="6" t="s">
        <v>68</v>
      </c>
      <c r="G79" s="6">
        <v>49</v>
      </c>
      <c r="H79" s="6">
        <v>21.37</v>
      </c>
      <c r="I79" s="6">
        <v>1047.1300000000001</v>
      </c>
      <c r="J79" s="6">
        <v>65.98</v>
      </c>
      <c r="K79" s="6">
        <v>221.65</v>
      </c>
      <c r="L79" s="6" t="s">
        <v>48</v>
      </c>
      <c r="M79" s="6" t="s">
        <v>41</v>
      </c>
      <c r="N79" s="6" t="s">
        <v>76</v>
      </c>
      <c r="O79" s="12">
        <f t="shared" si="2"/>
        <v>0.21167381318460934</v>
      </c>
      <c r="P79" s="6" t="str">
        <f t="shared" si="3"/>
        <v>need improvement</v>
      </c>
    </row>
    <row r="80" spans="1:16" x14ac:dyDescent="0.3">
      <c r="A80" t="s">
        <v>289</v>
      </c>
      <c r="B80" s="6" t="s">
        <v>205</v>
      </c>
      <c r="C80" s="6" t="s">
        <v>290</v>
      </c>
      <c r="D80" s="6" t="s">
        <v>62</v>
      </c>
      <c r="E80" s="6" t="s">
        <v>32</v>
      </c>
      <c r="F80" s="6" t="s">
        <v>23</v>
      </c>
      <c r="G80" s="6">
        <v>42</v>
      </c>
      <c r="H80" s="6">
        <v>24.57</v>
      </c>
      <c r="I80" s="6">
        <v>1031.94</v>
      </c>
      <c r="J80" s="6">
        <v>56.45</v>
      </c>
      <c r="K80" s="6">
        <v>219.49</v>
      </c>
      <c r="L80" s="6" t="s">
        <v>33</v>
      </c>
      <c r="M80" s="6" t="s">
        <v>25</v>
      </c>
      <c r="N80" s="6" t="s">
        <v>98</v>
      </c>
      <c r="O80" s="12">
        <f t="shared" si="2"/>
        <v>0.2126964746012365</v>
      </c>
      <c r="P80" s="6" t="str">
        <f t="shared" si="3"/>
        <v>need improvement</v>
      </c>
    </row>
    <row r="81" spans="1:16" x14ac:dyDescent="0.3">
      <c r="A81" t="s">
        <v>291</v>
      </c>
      <c r="B81" s="6" t="s">
        <v>292</v>
      </c>
      <c r="C81" s="6" t="s">
        <v>290</v>
      </c>
      <c r="D81" s="6" t="s">
        <v>116</v>
      </c>
      <c r="E81" s="6" t="s">
        <v>32</v>
      </c>
      <c r="F81" s="6" t="s">
        <v>23</v>
      </c>
      <c r="G81" s="6">
        <v>42</v>
      </c>
      <c r="H81" s="6">
        <v>26.39</v>
      </c>
      <c r="I81" s="6">
        <v>1108.3800000000001</v>
      </c>
      <c r="J81" s="6">
        <v>44.56</v>
      </c>
      <c r="K81" s="6">
        <v>307.82</v>
      </c>
      <c r="L81" s="6" t="s">
        <v>33</v>
      </c>
      <c r="M81" s="6" t="s">
        <v>25</v>
      </c>
      <c r="N81" s="6" t="s">
        <v>76</v>
      </c>
      <c r="O81" s="12">
        <f t="shared" si="2"/>
        <v>0.27772063732654861</v>
      </c>
      <c r="P81" s="6" t="str">
        <f t="shared" si="3"/>
        <v>need improvement</v>
      </c>
    </row>
    <row r="82" spans="1:16" x14ac:dyDescent="0.3">
      <c r="A82" t="s">
        <v>293</v>
      </c>
      <c r="B82" s="6" t="s">
        <v>294</v>
      </c>
      <c r="C82" s="6" t="s">
        <v>288</v>
      </c>
      <c r="D82" s="6" t="s">
        <v>55</v>
      </c>
      <c r="E82" s="6" t="s">
        <v>63</v>
      </c>
      <c r="F82" s="6" t="s">
        <v>47</v>
      </c>
      <c r="G82" s="6">
        <v>50</v>
      </c>
      <c r="H82" s="6">
        <v>29.73</v>
      </c>
      <c r="I82" s="6">
        <v>1486.5</v>
      </c>
      <c r="J82" s="6">
        <v>96.77</v>
      </c>
      <c r="K82" s="6">
        <v>389.73</v>
      </c>
      <c r="L82" s="6" t="s">
        <v>48</v>
      </c>
      <c r="M82" s="6" t="s">
        <v>25</v>
      </c>
      <c r="N82" s="6" t="s">
        <v>98</v>
      </c>
      <c r="O82" s="12">
        <f t="shared" si="2"/>
        <v>0.26217961654894045</v>
      </c>
      <c r="P82" s="6" t="str">
        <f t="shared" si="3"/>
        <v>need improvement</v>
      </c>
    </row>
    <row r="83" spans="1:16" x14ac:dyDescent="0.3">
      <c r="A83" t="s">
        <v>295</v>
      </c>
      <c r="B83" s="6" t="s">
        <v>296</v>
      </c>
      <c r="C83" s="6" t="s">
        <v>285</v>
      </c>
      <c r="D83" s="6" t="s">
        <v>51</v>
      </c>
      <c r="E83" s="6" t="s">
        <v>81</v>
      </c>
      <c r="F83" s="6" t="s">
        <v>68</v>
      </c>
      <c r="G83" s="6">
        <v>39</v>
      </c>
      <c r="H83" s="6">
        <v>20.56</v>
      </c>
      <c r="I83" s="6">
        <v>801.84</v>
      </c>
      <c r="J83" s="6">
        <v>43.55</v>
      </c>
      <c r="K83" s="6">
        <v>153.79</v>
      </c>
      <c r="L83" s="6" t="s">
        <v>24</v>
      </c>
      <c r="M83" s="6" t="s">
        <v>25</v>
      </c>
      <c r="N83" s="6" t="s">
        <v>76</v>
      </c>
      <c r="O83" s="12">
        <f t="shared" si="2"/>
        <v>0.19179636835278857</v>
      </c>
      <c r="P83" s="6" t="str">
        <f t="shared" si="3"/>
        <v>good</v>
      </c>
    </row>
    <row r="84" spans="1:16" x14ac:dyDescent="0.3">
      <c r="A84" t="s">
        <v>297</v>
      </c>
      <c r="B84" s="6" t="s">
        <v>298</v>
      </c>
      <c r="C84" s="6" t="s">
        <v>30</v>
      </c>
      <c r="D84" s="6" t="s">
        <v>51</v>
      </c>
      <c r="E84" s="6" t="s">
        <v>81</v>
      </c>
      <c r="F84" s="6" t="s">
        <v>68</v>
      </c>
      <c r="G84" s="6">
        <v>48</v>
      </c>
      <c r="H84" s="6">
        <v>24.36</v>
      </c>
      <c r="I84" s="6">
        <v>1169.28</v>
      </c>
      <c r="J84" s="6">
        <v>81.599999999999994</v>
      </c>
      <c r="K84" s="6">
        <v>343.68</v>
      </c>
      <c r="L84" s="6" t="s">
        <v>48</v>
      </c>
      <c r="M84" s="6" t="s">
        <v>41</v>
      </c>
      <c r="N84" s="6" t="s">
        <v>76</v>
      </c>
      <c r="O84" s="12">
        <f t="shared" si="2"/>
        <v>0.29392446633825947</v>
      </c>
      <c r="P84" s="6" t="str">
        <f t="shared" si="3"/>
        <v>need improvement</v>
      </c>
    </row>
    <row r="85" spans="1:16" x14ac:dyDescent="0.3">
      <c r="A85" t="s">
        <v>299</v>
      </c>
      <c r="B85" s="6" t="s">
        <v>300</v>
      </c>
      <c r="C85" s="6" t="s">
        <v>301</v>
      </c>
      <c r="D85" s="6" t="s">
        <v>241</v>
      </c>
      <c r="E85" s="6" t="s">
        <v>67</v>
      </c>
      <c r="F85" s="6" t="s">
        <v>68</v>
      </c>
      <c r="G85" s="6">
        <v>40</v>
      </c>
      <c r="H85" s="6">
        <v>27.95</v>
      </c>
      <c r="I85" s="6">
        <v>1118</v>
      </c>
      <c r="J85" s="6">
        <v>37.590000000000003</v>
      </c>
      <c r="K85" s="6">
        <v>180.41</v>
      </c>
      <c r="L85" s="6" t="s">
        <v>48</v>
      </c>
      <c r="M85" s="6" t="s">
        <v>41</v>
      </c>
      <c r="N85" s="6" t="s">
        <v>35</v>
      </c>
      <c r="O85" s="12">
        <f t="shared" si="2"/>
        <v>0.16136851520572451</v>
      </c>
      <c r="P85" s="6" t="str">
        <f t="shared" si="3"/>
        <v>good</v>
      </c>
    </row>
    <row r="86" spans="1:16" x14ac:dyDescent="0.3">
      <c r="A86" t="s">
        <v>302</v>
      </c>
      <c r="B86" s="6" t="s">
        <v>303</v>
      </c>
      <c r="C86" s="6" t="s">
        <v>191</v>
      </c>
      <c r="D86" s="6" t="s">
        <v>70</v>
      </c>
      <c r="E86" s="6" t="s">
        <v>137</v>
      </c>
      <c r="F86" s="6" t="s">
        <v>68</v>
      </c>
      <c r="G86" s="6">
        <v>21</v>
      </c>
      <c r="H86" s="6">
        <v>40.19</v>
      </c>
      <c r="I86" s="6">
        <v>843.99</v>
      </c>
      <c r="J86" s="6">
        <v>32.4</v>
      </c>
      <c r="K86" s="6">
        <v>223.59</v>
      </c>
      <c r="L86" s="6" t="s">
        <v>33</v>
      </c>
      <c r="M86" s="6" t="s">
        <v>34</v>
      </c>
      <c r="N86" s="6" t="s">
        <v>76</v>
      </c>
      <c r="O86" s="12">
        <f t="shared" si="2"/>
        <v>0.26492020047630899</v>
      </c>
      <c r="P86" s="6" t="str">
        <f t="shared" si="3"/>
        <v>need improvement</v>
      </c>
    </row>
    <row r="87" spans="1:16" x14ac:dyDescent="0.3">
      <c r="A87" t="s">
        <v>304</v>
      </c>
      <c r="B87" s="6" t="s">
        <v>159</v>
      </c>
      <c r="C87" s="6" t="s">
        <v>145</v>
      </c>
      <c r="D87" s="6" t="s">
        <v>116</v>
      </c>
      <c r="E87" s="6" t="s">
        <v>86</v>
      </c>
      <c r="F87" s="6" t="s">
        <v>47</v>
      </c>
      <c r="G87" s="6">
        <v>26</v>
      </c>
      <c r="H87" s="6">
        <v>16.670000000000002</v>
      </c>
      <c r="I87" s="6">
        <v>433.42</v>
      </c>
      <c r="J87" s="6">
        <v>32.79</v>
      </c>
      <c r="K87" s="6">
        <v>69.13</v>
      </c>
      <c r="L87" s="6" t="s">
        <v>48</v>
      </c>
      <c r="M87" s="6" t="s">
        <v>34</v>
      </c>
      <c r="N87" s="6" t="s">
        <v>76</v>
      </c>
      <c r="O87" s="12">
        <f t="shared" si="2"/>
        <v>0.15949886945687783</v>
      </c>
      <c r="P87" s="6" t="str">
        <f t="shared" si="3"/>
        <v>good</v>
      </c>
    </row>
    <row r="88" spans="1:16" x14ac:dyDescent="0.3">
      <c r="A88" t="s">
        <v>305</v>
      </c>
      <c r="B88" s="6" t="s">
        <v>306</v>
      </c>
      <c r="C88" s="6" t="s">
        <v>307</v>
      </c>
      <c r="D88" s="6" t="s">
        <v>45</v>
      </c>
      <c r="E88" s="6" t="s">
        <v>46</v>
      </c>
      <c r="F88" s="6" t="s">
        <v>47</v>
      </c>
      <c r="G88" s="6">
        <v>28</v>
      </c>
      <c r="H88" s="6">
        <v>39.85</v>
      </c>
      <c r="I88" s="6">
        <v>1115.8</v>
      </c>
      <c r="J88" s="6">
        <v>43.87</v>
      </c>
      <c r="K88" s="6">
        <v>175.93</v>
      </c>
      <c r="L88" s="6" t="s">
        <v>48</v>
      </c>
      <c r="M88" s="6" t="s">
        <v>25</v>
      </c>
      <c r="N88" s="6" t="s">
        <v>49</v>
      </c>
      <c r="O88" s="12">
        <f t="shared" si="2"/>
        <v>0.15767162573937982</v>
      </c>
      <c r="P88" s="6" t="str">
        <f t="shared" si="3"/>
        <v>good</v>
      </c>
    </row>
    <row r="89" spans="1:16" x14ac:dyDescent="0.3">
      <c r="A89" t="s">
        <v>308</v>
      </c>
      <c r="B89" s="6" t="s">
        <v>309</v>
      </c>
      <c r="C89" s="6" t="s">
        <v>307</v>
      </c>
      <c r="D89" s="6" t="s">
        <v>62</v>
      </c>
      <c r="E89" s="6" t="s">
        <v>86</v>
      </c>
      <c r="F89" s="6" t="s">
        <v>47</v>
      </c>
      <c r="G89" s="6">
        <v>47</v>
      </c>
      <c r="H89" s="6">
        <v>15.97</v>
      </c>
      <c r="I89" s="6">
        <v>750.59</v>
      </c>
      <c r="J89" s="6">
        <v>48.55</v>
      </c>
      <c r="K89" s="6">
        <v>102.79</v>
      </c>
      <c r="L89" s="6" t="s">
        <v>48</v>
      </c>
      <c r="M89" s="6" t="s">
        <v>41</v>
      </c>
      <c r="N89" s="6" t="s">
        <v>98</v>
      </c>
      <c r="O89" s="12">
        <f t="shared" si="2"/>
        <v>0.13694560279246992</v>
      </c>
      <c r="P89" s="6" t="str">
        <f t="shared" si="3"/>
        <v>good</v>
      </c>
    </row>
    <row r="90" spans="1:16" x14ac:dyDescent="0.3">
      <c r="A90" t="s">
        <v>310</v>
      </c>
      <c r="B90" s="6" t="s">
        <v>311</v>
      </c>
      <c r="C90" s="6" t="s">
        <v>216</v>
      </c>
      <c r="D90" s="6" t="s">
        <v>51</v>
      </c>
      <c r="E90" s="6" t="s">
        <v>56</v>
      </c>
      <c r="F90" s="6" t="s">
        <v>57</v>
      </c>
      <c r="G90" s="6">
        <v>28</v>
      </c>
      <c r="H90" s="6">
        <v>53.6</v>
      </c>
      <c r="I90" s="6">
        <v>1500.8</v>
      </c>
      <c r="J90" s="6">
        <v>68.55</v>
      </c>
      <c r="K90" s="6">
        <v>312.25</v>
      </c>
      <c r="L90" s="6" t="s">
        <v>33</v>
      </c>
      <c r="M90" s="6" t="s">
        <v>34</v>
      </c>
      <c r="N90" s="6" t="s">
        <v>76</v>
      </c>
      <c r="O90" s="12">
        <f t="shared" si="2"/>
        <v>0.20805570362473347</v>
      </c>
      <c r="P90" s="6" t="str">
        <f t="shared" si="3"/>
        <v>need improvement</v>
      </c>
    </row>
    <row r="91" spans="1:16" x14ac:dyDescent="0.3">
      <c r="A91" t="s">
        <v>312</v>
      </c>
      <c r="B91" s="6" t="s">
        <v>263</v>
      </c>
      <c r="C91" s="6" t="s">
        <v>174</v>
      </c>
      <c r="D91" s="6" t="s">
        <v>70</v>
      </c>
      <c r="E91" s="6" t="s">
        <v>137</v>
      </c>
      <c r="F91" s="6" t="s">
        <v>68</v>
      </c>
      <c r="G91" s="6">
        <v>37</v>
      </c>
      <c r="H91" s="6">
        <v>40.049999999999997</v>
      </c>
      <c r="I91" s="6">
        <v>1481.85</v>
      </c>
      <c r="J91" s="6">
        <v>45.6</v>
      </c>
      <c r="K91" s="6">
        <v>400.25</v>
      </c>
      <c r="L91" s="6" t="s">
        <v>24</v>
      </c>
      <c r="M91" s="6" t="s">
        <v>41</v>
      </c>
      <c r="N91" s="6" t="s">
        <v>76</v>
      </c>
      <c r="O91" s="12">
        <f t="shared" si="2"/>
        <v>0.2701015622363937</v>
      </c>
      <c r="P91" s="6" t="str">
        <f t="shared" si="3"/>
        <v>need improvement</v>
      </c>
    </row>
    <row r="92" spans="1:16" x14ac:dyDescent="0.3">
      <c r="A92" t="s">
        <v>313</v>
      </c>
      <c r="B92" s="6" t="s">
        <v>314</v>
      </c>
      <c r="C92" s="6" t="s">
        <v>222</v>
      </c>
      <c r="D92" s="6" t="s">
        <v>37</v>
      </c>
      <c r="E92" s="6" t="s">
        <v>22</v>
      </c>
      <c r="F92" s="6" t="s">
        <v>23</v>
      </c>
      <c r="G92" s="6">
        <v>45</v>
      </c>
      <c r="H92" s="6">
        <v>43.74</v>
      </c>
      <c r="I92" s="6">
        <v>1968.3</v>
      </c>
      <c r="J92" s="6">
        <v>80.55</v>
      </c>
      <c r="K92" s="6">
        <v>312.75</v>
      </c>
      <c r="L92" s="6" t="s">
        <v>33</v>
      </c>
      <c r="M92" s="6" t="s">
        <v>41</v>
      </c>
      <c r="N92" s="6" t="s">
        <v>35</v>
      </c>
      <c r="O92" s="12">
        <f t="shared" si="2"/>
        <v>0.15889346136259716</v>
      </c>
      <c r="P92" s="6" t="str">
        <f t="shared" si="3"/>
        <v>good</v>
      </c>
    </row>
    <row r="93" spans="1:16" x14ac:dyDescent="0.3">
      <c r="A93" t="s">
        <v>315</v>
      </c>
      <c r="B93" s="6" t="s">
        <v>316</v>
      </c>
      <c r="C93" s="6" t="s">
        <v>317</v>
      </c>
      <c r="D93" s="6" t="s">
        <v>31</v>
      </c>
      <c r="E93" s="6" t="s">
        <v>81</v>
      </c>
      <c r="F93" s="6" t="s">
        <v>68</v>
      </c>
      <c r="G93" s="6">
        <v>9</v>
      </c>
      <c r="H93" s="6">
        <v>24.63</v>
      </c>
      <c r="I93" s="6">
        <v>221.67</v>
      </c>
      <c r="J93" s="6">
        <v>13.53</v>
      </c>
      <c r="K93" s="6">
        <v>68.64</v>
      </c>
      <c r="L93" s="6" t="s">
        <v>33</v>
      </c>
      <c r="M93" s="6" t="s">
        <v>41</v>
      </c>
      <c r="N93" s="6" t="s">
        <v>35</v>
      </c>
      <c r="O93" s="12">
        <f t="shared" si="2"/>
        <v>0.30964947895520373</v>
      </c>
      <c r="P93" s="6" t="str">
        <f t="shared" si="3"/>
        <v>need improvement</v>
      </c>
    </row>
    <row r="94" spans="1:16" x14ac:dyDescent="0.3">
      <c r="A94" t="s">
        <v>318</v>
      </c>
      <c r="B94" s="6" t="s">
        <v>319</v>
      </c>
      <c r="C94" s="6" t="s">
        <v>54</v>
      </c>
      <c r="D94" s="6" t="s">
        <v>141</v>
      </c>
      <c r="E94" s="6" t="s">
        <v>81</v>
      </c>
      <c r="F94" s="6" t="s">
        <v>68</v>
      </c>
      <c r="G94" s="6">
        <v>6</v>
      </c>
      <c r="H94" s="6">
        <v>21.79</v>
      </c>
      <c r="I94" s="6">
        <v>130.74</v>
      </c>
      <c r="J94" s="6">
        <v>7.75</v>
      </c>
      <c r="K94" s="6">
        <v>29.99</v>
      </c>
      <c r="L94" s="6" t="s">
        <v>33</v>
      </c>
      <c r="M94" s="6" t="s">
        <v>41</v>
      </c>
      <c r="N94" s="6" t="s">
        <v>142</v>
      </c>
      <c r="O94" s="12">
        <f t="shared" si="2"/>
        <v>0.22938656876242922</v>
      </c>
      <c r="P94" s="6" t="str">
        <f t="shared" si="3"/>
        <v>need improvement</v>
      </c>
    </row>
    <row r="95" spans="1:16" x14ac:dyDescent="0.3">
      <c r="A95" t="s">
        <v>320</v>
      </c>
      <c r="B95" s="6" t="s">
        <v>226</v>
      </c>
      <c r="C95" s="6" t="s">
        <v>321</v>
      </c>
      <c r="D95" s="6" t="s">
        <v>171</v>
      </c>
      <c r="E95" s="6" t="s">
        <v>22</v>
      </c>
      <c r="F95" s="6" t="s">
        <v>23</v>
      </c>
      <c r="G95" s="6">
        <v>23</v>
      </c>
      <c r="H95" s="6">
        <v>58.43</v>
      </c>
      <c r="I95" s="6">
        <v>1343.89</v>
      </c>
      <c r="J95" s="6">
        <v>38.729999999999997</v>
      </c>
      <c r="K95" s="6">
        <v>500.16</v>
      </c>
      <c r="L95" s="6" t="s">
        <v>33</v>
      </c>
      <c r="M95" s="6" t="s">
        <v>25</v>
      </c>
      <c r="N95" s="6" t="s">
        <v>35</v>
      </c>
      <c r="O95" s="12">
        <f t="shared" si="2"/>
        <v>0.37217331775666163</v>
      </c>
      <c r="P95" s="6" t="str">
        <f t="shared" si="3"/>
        <v>need improvement</v>
      </c>
    </row>
    <row r="96" spans="1:16" x14ac:dyDescent="0.3">
      <c r="A96" t="s">
        <v>322</v>
      </c>
      <c r="B96" s="6" t="s">
        <v>115</v>
      </c>
      <c r="C96" s="6" t="s">
        <v>323</v>
      </c>
      <c r="D96" s="6" t="s">
        <v>116</v>
      </c>
      <c r="E96" s="6" t="s">
        <v>56</v>
      </c>
      <c r="F96" s="6" t="s">
        <v>57</v>
      </c>
      <c r="G96" s="6">
        <v>19</v>
      </c>
      <c r="H96" s="6">
        <v>67.06</v>
      </c>
      <c r="I96" s="6">
        <v>1274.1400000000001</v>
      </c>
      <c r="J96" s="6">
        <v>85.73</v>
      </c>
      <c r="K96" s="6">
        <v>428.41</v>
      </c>
      <c r="L96" s="6" t="s">
        <v>24</v>
      </c>
      <c r="M96" s="6" t="s">
        <v>34</v>
      </c>
      <c r="N96" s="6" t="s">
        <v>76</v>
      </c>
      <c r="O96" s="12">
        <f t="shared" si="2"/>
        <v>0.33623463669612441</v>
      </c>
      <c r="P96" s="6" t="str">
        <f t="shared" si="3"/>
        <v>need improvement</v>
      </c>
    </row>
    <row r="97" spans="1:16" x14ac:dyDescent="0.3">
      <c r="A97" t="s">
        <v>324</v>
      </c>
      <c r="B97" s="6" t="s">
        <v>325</v>
      </c>
      <c r="C97" s="6" t="s">
        <v>317</v>
      </c>
      <c r="D97" s="6" t="s">
        <v>37</v>
      </c>
      <c r="E97" s="6" t="s">
        <v>32</v>
      </c>
      <c r="F97" s="6" t="s">
        <v>23</v>
      </c>
      <c r="G97" s="6">
        <v>4</v>
      </c>
      <c r="H97" s="6">
        <v>25.13</v>
      </c>
      <c r="I97" s="6">
        <v>100.52</v>
      </c>
      <c r="J97" s="6">
        <v>5.6</v>
      </c>
      <c r="K97" s="6">
        <v>22.92</v>
      </c>
      <c r="L97" s="6" t="s">
        <v>33</v>
      </c>
      <c r="M97" s="6" t="s">
        <v>41</v>
      </c>
      <c r="N97" s="6" t="s">
        <v>35</v>
      </c>
      <c r="O97" s="12">
        <f t="shared" si="2"/>
        <v>0.22801432550736175</v>
      </c>
      <c r="P97" s="6" t="str">
        <f t="shared" si="3"/>
        <v>need improvement</v>
      </c>
    </row>
    <row r="98" spans="1:16" x14ac:dyDescent="0.3">
      <c r="A98" t="s">
        <v>326</v>
      </c>
      <c r="B98" s="6" t="s">
        <v>327</v>
      </c>
      <c r="C98" s="6" t="s">
        <v>328</v>
      </c>
      <c r="D98" s="6" t="s">
        <v>37</v>
      </c>
      <c r="E98" s="6" t="s">
        <v>81</v>
      </c>
      <c r="F98" s="6" t="s">
        <v>68</v>
      </c>
      <c r="G98" s="6">
        <v>26</v>
      </c>
      <c r="H98" s="6">
        <v>19.34</v>
      </c>
      <c r="I98" s="6">
        <v>502.84</v>
      </c>
      <c r="J98" s="6">
        <v>26.51</v>
      </c>
      <c r="K98" s="6">
        <v>73.33</v>
      </c>
      <c r="L98" s="6" t="s">
        <v>33</v>
      </c>
      <c r="M98" s="6" t="s">
        <v>25</v>
      </c>
      <c r="N98" s="6" t="s">
        <v>35</v>
      </c>
      <c r="O98" s="12">
        <f t="shared" si="2"/>
        <v>0.14583167607986636</v>
      </c>
      <c r="P98" s="6" t="str">
        <f t="shared" si="3"/>
        <v>good</v>
      </c>
    </row>
    <row r="99" spans="1:16" x14ac:dyDescent="0.3">
      <c r="A99" t="s">
        <v>329</v>
      </c>
      <c r="B99" s="6" t="s">
        <v>330</v>
      </c>
      <c r="C99" s="6" t="s">
        <v>331</v>
      </c>
      <c r="D99" s="6" t="s">
        <v>141</v>
      </c>
      <c r="E99" s="6" t="s">
        <v>63</v>
      </c>
      <c r="F99" s="6" t="s">
        <v>47</v>
      </c>
      <c r="G99" s="6">
        <v>26</v>
      </c>
      <c r="H99" s="6">
        <v>35.81</v>
      </c>
      <c r="I99" s="6">
        <v>931.06</v>
      </c>
      <c r="J99" s="6">
        <v>61.06</v>
      </c>
      <c r="K99" s="6">
        <v>350</v>
      </c>
      <c r="L99" s="6" t="s">
        <v>24</v>
      </c>
      <c r="M99" s="6" t="s">
        <v>25</v>
      </c>
      <c r="N99" s="6" t="s">
        <v>142</v>
      </c>
      <c r="O99" s="12">
        <f t="shared" si="2"/>
        <v>0.37591562305329412</v>
      </c>
      <c r="P99" s="6" t="str">
        <f t="shared" si="3"/>
        <v>need improvement</v>
      </c>
    </row>
    <row r="100" spans="1:16" x14ac:dyDescent="0.3">
      <c r="A100" t="s">
        <v>332</v>
      </c>
      <c r="B100" s="6" t="s">
        <v>333</v>
      </c>
      <c r="C100" s="6" t="s">
        <v>334</v>
      </c>
      <c r="D100" s="6" t="s">
        <v>116</v>
      </c>
      <c r="E100" s="6" t="s">
        <v>67</v>
      </c>
      <c r="F100" s="6" t="s">
        <v>68</v>
      </c>
      <c r="G100" s="6">
        <v>42</v>
      </c>
      <c r="H100" s="6">
        <v>39.950000000000003</v>
      </c>
      <c r="I100" s="6">
        <v>1677.9</v>
      </c>
      <c r="J100" s="6">
        <v>93.95</v>
      </c>
      <c r="K100" s="6">
        <v>638.95000000000005</v>
      </c>
      <c r="L100" s="6" t="s">
        <v>33</v>
      </c>
      <c r="M100" s="6" t="s">
        <v>34</v>
      </c>
      <c r="N100" s="6" t="s">
        <v>76</v>
      </c>
      <c r="O100" s="12">
        <f t="shared" si="2"/>
        <v>0.38080338518386081</v>
      </c>
      <c r="P100" s="6" t="str">
        <f t="shared" si="3"/>
        <v>need improvement</v>
      </c>
    </row>
    <row r="101" spans="1:16" x14ac:dyDescent="0.3">
      <c r="A101" t="s">
        <v>335</v>
      </c>
      <c r="B101" s="6" t="s">
        <v>336</v>
      </c>
      <c r="C101" s="6" t="s">
        <v>145</v>
      </c>
      <c r="D101" s="6" t="s">
        <v>123</v>
      </c>
      <c r="E101" s="6" t="s">
        <v>22</v>
      </c>
      <c r="F101" s="6" t="s">
        <v>23</v>
      </c>
      <c r="G101" s="6">
        <v>38</v>
      </c>
      <c r="H101" s="6">
        <v>49.98</v>
      </c>
      <c r="I101" s="6">
        <v>1899.24</v>
      </c>
      <c r="J101" s="6">
        <v>112.91</v>
      </c>
      <c r="K101" s="6">
        <v>456.33</v>
      </c>
      <c r="L101" s="6" t="s">
        <v>48</v>
      </c>
      <c r="M101" s="6" t="s">
        <v>41</v>
      </c>
      <c r="N101" s="6" t="s">
        <v>76</v>
      </c>
      <c r="O101" s="12">
        <f t="shared" si="2"/>
        <v>0.24026979212737726</v>
      </c>
      <c r="P101" s="6" t="str">
        <f t="shared" si="3"/>
        <v>need improvement</v>
      </c>
    </row>
    <row r="102" spans="1:16" x14ac:dyDescent="0.3">
      <c r="A102" t="s">
        <v>337</v>
      </c>
      <c r="B102" s="6" t="s">
        <v>338</v>
      </c>
      <c r="C102" s="6" t="s">
        <v>191</v>
      </c>
      <c r="D102" s="6" t="s">
        <v>127</v>
      </c>
      <c r="E102" s="6" t="s">
        <v>137</v>
      </c>
      <c r="F102" s="6" t="s">
        <v>68</v>
      </c>
      <c r="G102" s="6">
        <v>1</v>
      </c>
      <c r="H102" s="6">
        <v>45.84</v>
      </c>
      <c r="I102" s="6">
        <v>45.84</v>
      </c>
      <c r="J102" s="6">
        <v>1.26</v>
      </c>
      <c r="K102" s="6">
        <v>16.579999999999998</v>
      </c>
      <c r="L102" s="6" t="s">
        <v>48</v>
      </c>
      <c r="M102" s="6" t="s">
        <v>25</v>
      </c>
      <c r="N102" s="6" t="s">
        <v>76</v>
      </c>
      <c r="O102" s="12">
        <f t="shared" si="2"/>
        <v>0.3616928446771378</v>
      </c>
      <c r="P102" s="6" t="str">
        <f t="shared" si="3"/>
        <v>need improvement</v>
      </c>
    </row>
    <row r="103" spans="1:16" x14ac:dyDescent="0.3">
      <c r="A103" t="s">
        <v>339</v>
      </c>
      <c r="B103" s="6" t="s">
        <v>340</v>
      </c>
      <c r="C103" s="6" t="s">
        <v>301</v>
      </c>
      <c r="D103" s="6" t="s">
        <v>206</v>
      </c>
      <c r="E103" s="6" t="s">
        <v>32</v>
      </c>
      <c r="F103" s="6" t="s">
        <v>23</v>
      </c>
      <c r="G103" s="6">
        <v>38</v>
      </c>
      <c r="H103" s="6">
        <v>26.34</v>
      </c>
      <c r="I103" s="6">
        <v>1000.92</v>
      </c>
      <c r="J103" s="6">
        <v>47.88</v>
      </c>
      <c r="K103" s="6">
        <v>269.04000000000002</v>
      </c>
      <c r="L103" s="6" t="s">
        <v>24</v>
      </c>
      <c r="M103" s="6" t="s">
        <v>34</v>
      </c>
      <c r="N103" s="6" t="s">
        <v>207</v>
      </c>
      <c r="O103" s="12">
        <f t="shared" si="2"/>
        <v>0.26879271070615035</v>
      </c>
      <c r="P103" s="6" t="str">
        <f t="shared" si="3"/>
        <v>need improvement</v>
      </c>
    </row>
    <row r="104" spans="1:16" x14ac:dyDescent="0.3">
      <c r="A104" t="s">
        <v>341</v>
      </c>
      <c r="B104" s="6" t="s">
        <v>342</v>
      </c>
      <c r="C104" s="6" t="s">
        <v>269</v>
      </c>
      <c r="D104" s="6" t="s">
        <v>171</v>
      </c>
      <c r="E104" s="6" t="s">
        <v>74</v>
      </c>
      <c r="F104" s="6" t="s">
        <v>75</v>
      </c>
      <c r="G104" s="6">
        <v>30</v>
      </c>
      <c r="H104" s="6">
        <v>36.43</v>
      </c>
      <c r="I104" s="6">
        <v>1092.9000000000001</v>
      </c>
      <c r="J104" s="6">
        <v>61.97</v>
      </c>
      <c r="K104" s="6">
        <v>280.93</v>
      </c>
      <c r="L104" s="6" t="s">
        <v>48</v>
      </c>
      <c r="M104" s="6" t="s">
        <v>34</v>
      </c>
      <c r="N104" s="6" t="s">
        <v>35</v>
      </c>
      <c r="O104" s="12">
        <f t="shared" si="2"/>
        <v>0.25705005032482386</v>
      </c>
      <c r="P104" s="6" t="str">
        <f t="shared" si="3"/>
        <v>need improvement</v>
      </c>
    </row>
    <row r="105" spans="1:16" x14ac:dyDescent="0.3">
      <c r="A105" t="s">
        <v>343</v>
      </c>
      <c r="B105" s="6" t="s">
        <v>344</v>
      </c>
      <c r="C105" s="6" t="s">
        <v>307</v>
      </c>
      <c r="D105" s="6" t="s">
        <v>37</v>
      </c>
      <c r="E105" s="6" t="s">
        <v>86</v>
      </c>
      <c r="F105" s="6" t="s">
        <v>47</v>
      </c>
      <c r="G105" s="6">
        <v>9</v>
      </c>
      <c r="H105" s="6">
        <v>22.27</v>
      </c>
      <c r="I105" s="6">
        <v>200.43</v>
      </c>
      <c r="J105" s="6">
        <v>13.21</v>
      </c>
      <c r="K105" s="6">
        <v>72.47</v>
      </c>
      <c r="L105" s="6" t="s">
        <v>33</v>
      </c>
      <c r="M105" s="6" t="s">
        <v>34</v>
      </c>
      <c r="N105" s="6" t="s">
        <v>35</v>
      </c>
      <c r="O105" s="12">
        <f t="shared" si="2"/>
        <v>0.36157261886943071</v>
      </c>
      <c r="P105" s="6" t="str">
        <f t="shared" si="3"/>
        <v>need improvement</v>
      </c>
    </row>
    <row r="106" spans="1:16" x14ac:dyDescent="0.3">
      <c r="A106" t="s">
        <v>345</v>
      </c>
      <c r="B106" s="6" t="s">
        <v>115</v>
      </c>
      <c r="C106" s="6" t="s">
        <v>162</v>
      </c>
      <c r="D106" s="6" t="s">
        <v>206</v>
      </c>
      <c r="E106" s="6" t="s">
        <v>81</v>
      </c>
      <c r="F106" s="6" t="s">
        <v>68</v>
      </c>
      <c r="G106" s="6">
        <v>26</v>
      </c>
      <c r="H106" s="6">
        <v>27.65</v>
      </c>
      <c r="I106" s="6">
        <v>718.9</v>
      </c>
      <c r="J106" s="6">
        <v>46.25</v>
      </c>
      <c r="K106" s="6">
        <v>269.64999999999998</v>
      </c>
      <c r="L106" s="6" t="s">
        <v>33</v>
      </c>
      <c r="M106" s="6" t="s">
        <v>41</v>
      </c>
      <c r="N106" s="6" t="s">
        <v>207</v>
      </c>
      <c r="O106" s="12">
        <f t="shared" si="2"/>
        <v>0.37508693837807761</v>
      </c>
      <c r="P106" s="6" t="str">
        <f t="shared" si="3"/>
        <v>need improvement</v>
      </c>
    </row>
    <row r="107" spans="1:16" x14ac:dyDescent="0.3">
      <c r="A107" t="s">
        <v>346</v>
      </c>
      <c r="B107" s="6" t="s">
        <v>347</v>
      </c>
      <c r="C107" s="6" t="s">
        <v>301</v>
      </c>
      <c r="D107" s="6" t="s">
        <v>31</v>
      </c>
      <c r="E107" s="6" t="s">
        <v>81</v>
      </c>
      <c r="F107" s="6" t="s">
        <v>68</v>
      </c>
      <c r="G107" s="6">
        <v>23</v>
      </c>
      <c r="H107" s="6">
        <v>22.45</v>
      </c>
      <c r="I107" s="6">
        <v>516.35</v>
      </c>
      <c r="J107" s="6">
        <v>15.68</v>
      </c>
      <c r="K107" s="6">
        <v>144.16999999999999</v>
      </c>
      <c r="L107" s="6" t="s">
        <v>48</v>
      </c>
      <c r="M107" s="6" t="s">
        <v>41</v>
      </c>
      <c r="N107" s="6" t="s">
        <v>35</v>
      </c>
      <c r="O107" s="12">
        <f t="shared" si="2"/>
        <v>0.2792098382879829</v>
      </c>
      <c r="P107" s="6" t="str">
        <f t="shared" si="3"/>
        <v>need improvement</v>
      </c>
    </row>
    <row r="108" spans="1:16" x14ac:dyDescent="0.3">
      <c r="A108" t="s">
        <v>348</v>
      </c>
      <c r="B108" s="6" t="s">
        <v>349</v>
      </c>
      <c r="C108" s="6" t="s">
        <v>197</v>
      </c>
      <c r="D108" s="6" t="s">
        <v>31</v>
      </c>
      <c r="E108" s="6" t="s">
        <v>81</v>
      </c>
      <c r="F108" s="6" t="s">
        <v>68</v>
      </c>
      <c r="G108" s="6">
        <v>30</v>
      </c>
      <c r="H108" s="6">
        <v>21.93</v>
      </c>
      <c r="I108" s="6">
        <v>657.9</v>
      </c>
      <c r="J108" s="6">
        <v>24.66</v>
      </c>
      <c r="K108" s="6">
        <v>168.24</v>
      </c>
      <c r="L108" s="6" t="s">
        <v>33</v>
      </c>
      <c r="M108" s="6" t="s">
        <v>25</v>
      </c>
      <c r="N108" s="6" t="s">
        <v>35</v>
      </c>
      <c r="O108" s="12">
        <f t="shared" si="2"/>
        <v>0.25572275421796625</v>
      </c>
      <c r="P108" s="6" t="str">
        <f t="shared" si="3"/>
        <v>need improvement</v>
      </c>
    </row>
    <row r="109" spans="1:16" x14ac:dyDescent="0.3">
      <c r="A109" t="s">
        <v>350</v>
      </c>
      <c r="B109" s="6" t="s">
        <v>351</v>
      </c>
      <c r="C109" s="6" t="s">
        <v>352</v>
      </c>
      <c r="D109" s="6" t="s">
        <v>116</v>
      </c>
      <c r="E109" s="6" t="s">
        <v>86</v>
      </c>
      <c r="F109" s="6" t="s">
        <v>47</v>
      </c>
      <c r="G109" s="6">
        <v>43</v>
      </c>
      <c r="H109" s="6">
        <v>21.92</v>
      </c>
      <c r="I109" s="6">
        <v>942.56</v>
      </c>
      <c r="J109" s="6">
        <v>51.15</v>
      </c>
      <c r="K109" s="6">
        <v>343.16</v>
      </c>
      <c r="L109" s="6" t="s">
        <v>24</v>
      </c>
      <c r="M109" s="6" t="s">
        <v>41</v>
      </c>
      <c r="N109" s="6" t="s">
        <v>76</v>
      </c>
      <c r="O109" s="12">
        <f t="shared" si="2"/>
        <v>0.36407231369886273</v>
      </c>
      <c r="P109" s="6" t="str">
        <f t="shared" si="3"/>
        <v>need improvement</v>
      </c>
    </row>
    <row r="110" spans="1:16" x14ac:dyDescent="0.3">
      <c r="A110" t="s">
        <v>353</v>
      </c>
      <c r="B110" s="6" t="s">
        <v>354</v>
      </c>
      <c r="C110" s="6" t="s">
        <v>85</v>
      </c>
      <c r="D110" s="6" t="s">
        <v>45</v>
      </c>
      <c r="E110" s="6" t="s">
        <v>56</v>
      </c>
      <c r="F110" s="6" t="s">
        <v>57</v>
      </c>
      <c r="G110" s="6">
        <v>3</v>
      </c>
      <c r="H110" s="6">
        <v>56.21</v>
      </c>
      <c r="I110" s="6">
        <v>168.63</v>
      </c>
      <c r="J110" s="6">
        <v>7.56</v>
      </c>
      <c r="K110" s="6">
        <v>41.07</v>
      </c>
      <c r="L110" s="6" t="s">
        <v>48</v>
      </c>
      <c r="M110" s="6" t="s">
        <v>25</v>
      </c>
      <c r="N110" s="6" t="s">
        <v>49</v>
      </c>
      <c r="O110" s="12">
        <f t="shared" si="2"/>
        <v>0.24355096957836686</v>
      </c>
      <c r="P110" s="6" t="str">
        <f t="shared" si="3"/>
        <v>need improvement</v>
      </c>
    </row>
    <row r="111" spans="1:16" x14ac:dyDescent="0.3">
      <c r="A111" t="s">
        <v>355</v>
      </c>
      <c r="B111" s="6" t="s">
        <v>356</v>
      </c>
      <c r="C111" s="6" t="s">
        <v>20</v>
      </c>
      <c r="D111" s="6" t="s">
        <v>37</v>
      </c>
      <c r="E111" s="6" t="s">
        <v>86</v>
      </c>
      <c r="F111" s="6" t="s">
        <v>47</v>
      </c>
      <c r="G111" s="6">
        <v>33</v>
      </c>
      <c r="H111" s="6">
        <v>15.44</v>
      </c>
      <c r="I111" s="6">
        <v>509.52</v>
      </c>
      <c r="J111" s="6">
        <v>19.7</v>
      </c>
      <c r="K111" s="6">
        <v>69.069999999999993</v>
      </c>
      <c r="L111" s="6" t="s">
        <v>24</v>
      </c>
      <c r="M111" s="6" t="s">
        <v>41</v>
      </c>
      <c r="N111" s="6" t="s">
        <v>35</v>
      </c>
      <c r="O111" s="12">
        <f t="shared" si="2"/>
        <v>0.13555895745014915</v>
      </c>
      <c r="P111" s="6" t="str">
        <f t="shared" si="3"/>
        <v>good</v>
      </c>
    </row>
    <row r="112" spans="1:16" x14ac:dyDescent="0.3">
      <c r="A112" t="s">
        <v>357</v>
      </c>
      <c r="B112" s="6" t="s">
        <v>358</v>
      </c>
      <c r="C112" s="6" t="s">
        <v>151</v>
      </c>
      <c r="D112" s="6" t="s">
        <v>141</v>
      </c>
      <c r="E112" s="6" t="s">
        <v>81</v>
      </c>
      <c r="F112" s="6" t="s">
        <v>68</v>
      </c>
      <c r="G112" s="6">
        <v>50</v>
      </c>
      <c r="H112" s="6">
        <v>23.02</v>
      </c>
      <c r="I112" s="6">
        <v>1151</v>
      </c>
      <c r="J112" s="6">
        <v>69.3</v>
      </c>
      <c r="K112" s="6">
        <v>306.7</v>
      </c>
      <c r="L112" s="6" t="s">
        <v>33</v>
      </c>
      <c r="M112" s="6" t="s">
        <v>34</v>
      </c>
      <c r="N112" s="6" t="s">
        <v>142</v>
      </c>
      <c r="O112" s="12">
        <f t="shared" si="2"/>
        <v>0.26646394439617721</v>
      </c>
      <c r="P112" s="6" t="str">
        <f t="shared" si="3"/>
        <v>need improvement</v>
      </c>
    </row>
    <row r="113" spans="1:16" x14ac:dyDescent="0.3">
      <c r="A113" t="s">
        <v>359</v>
      </c>
      <c r="B113" s="6" t="s">
        <v>268</v>
      </c>
      <c r="C113" s="6" t="s">
        <v>360</v>
      </c>
      <c r="D113" s="6" t="s">
        <v>45</v>
      </c>
      <c r="E113" s="6" t="s">
        <v>86</v>
      </c>
      <c r="F113" s="6" t="s">
        <v>47</v>
      </c>
      <c r="G113" s="6">
        <v>8</v>
      </c>
      <c r="H113" s="6">
        <v>17.010000000000002</v>
      </c>
      <c r="I113" s="6">
        <v>136.08000000000001</v>
      </c>
      <c r="J113" s="6">
        <v>8.84</v>
      </c>
      <c r="K113" s="6">
        <v>25.24</v>
      </c>
      <c r="L113" s="6" t="s">
        <v>24</v>
      </c>
      <c r="M113" s="6" t="s">
        <v>41</v>
      </c>
      <c r="N113" s="6" t="s">
        <v>49</v>
      </c>
      <c r="O113" s="12">
        <f t="shared" si="2"/>
        <v>0.18547912992357435</v>
      </c>
      <c r="P113" s="6" t="str">
        <f t="shared" si="3"/>
        <v>good</v>
      </c>
    </row>
    <row r="114" spans="1:16" x14ac:dyDescent="0.3">
      <c r="A114" t="s">
        <v>361</v>
      </c>
      <c r="B114" s="6" t="s">
        <v>362</v>
      </c>
      <c r="C114" s="6" t="s">
        <v>301</v>
      </c>
      <c r="D114" s="6" t="s">
        <v>171</v>
      </c>
      <c r="E114" s="6" t="s">
        <v>32</v>
      </c>
      <c r="F114" s="6" t="s">
        <v>23</v>
      </c>
      <c r="G114" s="6">
        <v>16</v>
      </c>
      <c r="H114" s="6">
        <v>26.47</v>
      </c>
      <c r="I114" s="6">
        <v>423.52</v>
      </c>
      <c r="J114" s="6">
        <v>15.87</v>
      </c>
      <c r="K114" s="6">
        <v>119.65</v>
      </c>
      <c r="L114" s="6" t="s">
        <v>33</v>
      </c>
      <c r="M114" s="6" t="s">
        <v>25</v>
      </c>
      <c r="N114" s="6" t="s">
        <v>35</v>
      </c>
      <c r="O114" s="12">
        <f t="shared" si="2"/>
        <v>0.28251322251605593</v>
      </c>
      <c r="P114" s="6" t="str">
        <f t="shared" si="3"/>
        <v>need improvement</v>
      </c>
    </row>
    <row r="115" spans="1:16" x14ac:dyDescent="0.3">
      <c r="A115" t="s">
        <v>363</v>
      </c>
      <c r="B115" s="6" t="s">
        <v>364</v>
      </c>
      <c r="C115" s="6" t="s">
        <v>272</v>
      </c>
      <c r="D115" s="6" t="s">
        <v>45</v>
      </c>
      <c r="E115" s="6" t="s">
        <v>46</v>
      </c>
      <c r="F115" s="6" t="s">
        <v>47</v>
      </c>
      <c r="G115" s="6">
        <v>32</v>
      </c>
      <c r="H115" s="6">
        <v>43.18</v>
      </c>
      <c r="I115" s="6">
        <v>1381.76</v>
      </c>
      <c r="J115" s="6">
        <v>88.54</v>
      </c>
      <c r="K115" s="6">
        <v>269.22000000000003</v>
      </c>
      <c r="L115" s="6" t="s">
        <v>33</v>
      </c>
      <c r="M115" s="6" t="s">
        <v>41</v>
      </c>
      <c r="N115" s="6" t="s">
        <v>49</v>
      </c>
      <c r="O115" s="12">
        <f t="shared" si="2"/>
        <v>0.19483846688281614</v>
      </c>
      <c r="P115" s="6" t="str">
        <f t="shared" si="3"/>
        <v>good</v>
      </c>
    </row>
    <row r="116" spans="1:16" x14ac:dyDescent="0.3">
      <c r="A116" t="s">
        <v>365</v>
      </c>
      <c r="B116" s="6" t="s">
        <v>366</v>
      </c>
      <c r="C116" s="6" t="s">
        <v>177</v>
      </c>
      <c r="D116" s="6" t="s">
        <v>206</v>
      </c>
      <c r="E116" s="6" t="s">
        <v>81</v>
      </c>
      <c r="F116" s="6" t="s">
        <v>68</v>
      </c>
      <c r="G116" s="6">
        <v>29</v>
      </c>
      <c r="H116" s="6">
        <v>18.850000000000001</v>
      </c>
      <c r="I116" s="6">
        <v>546.65</v>
      </c>
      <c r="J116" s="6">
        <v>13.22</v>
      </c>
      <c r="K116" s="6">
        <v>83.93</v>
      </c>
      <c r="L116" s="6" t="s">
        <v>24</v>
      </c>
      <c r="M116" s="6" t="s">
        <v>41</v>
      </c>
      <c r="N116" s="6" t="s">
        <v>207</v>
      </c>
      <c r="O116" s="12">
        <f t="shared" si="2"/>
        <v>0.153535168755145</v>
      </c>
      <c r="P116" s="6" t="str">
        <f t="shared" si="3"/>
        <v>good</v>
      </c>
    </row>
    <row r="117" spans="1:16" x14ac:dyDescent="0.3">
      <c r="A117" t="s">
        <v>367</v>
      </c>
      <c r="B117" s="6" t="s">
        <v>368</v>
      </c>
      <c r="C117" s="6" t="s">
        <v>369</v>
      </c>
      <c r="D117" s="6" t="s">
        <v>171</v>
      </c>
      <c r="E117" s="6" t="s">
        <v>56</v>
      </c>
      <c r="F117" s="6" t="s">
        <v>57</v>
      </c>
      <c r="G117" s="6">
        <v>16</v>
      </c>
      <c r="H117" s="6">
        <v>64.400000000000006</v>
      </c>
      <c r="I117" s="6">
        <v>1030.4000000000001</v>
      </c>
      <c r="J117" s="6">
        <v>61.72</v>
      </c>
      <c r="K117" s="6">
        <v>328.68</v>
      </c>
      <c r="L117" s="6" t="s">
        <v>33</v>
      </c>
      <c r="M117" s="6" t="s">
        <v>34</v>
      </c>
      <c r="N117" s="6" t="s">
        <v>35</v>
      </c>
      <c r="O117" s="12">
        <f t="shared" si="2"/>
        <v>0.31898291925465838</v>
      </c>
      <c r="P117" s="6" t="str">
        <f t="shared" si="3"/>
        <v>need improvement</v>
      </c>
    </row>
    <row r="118" spans="1:16" x14ac:dyDescent="0.3">
      <c r="A118" t="s">
        <v>370</v>
      </c>
      <c r="B118" s="6" t="s">
        <v>371</v>
      </c>
      <c r="C118" s="6" t="s">
        <v>372</v>
      </c>
      <c r="D118" s="6" t="s">
        <v>116</v>
      </c>
      <c r="E118" s="6" t="s">
        <v>81</v>
      </c>
      <c r="F118" s="6" t="s">
        <v>68</v>
      </c>
      <c r="G118" s="6">
        <v>15</v>
      </c>
      <c r="H118" s="6">
        <v>19.53</v>
      </c>
      <c r="I118" s="6">
        <v>292.95</v>
      </c>
      <c r="J118" s="6">
        <v>7.15</v>
      </c>
      <c r="K118" s="6">
        <v>53.3</v>
      </c>
      <c r="L118" s="6" t="s">
        <v>48</v>
      </c>
      <c r="M118" s="6" t="s">
        <v>34</v>
      </c>
      <c r="N118" s="6" t="s">
        <v>76</v>
      </c>
      <c r="O118" s="12">
        <f t="shared" si="2"/>
        <v>0.18194231097456903</v>
      </c>
      <c r="P118" s="6" t="str">
        <f t="shared" si="3"/>
        <v>good</v>
      </c>
    </row>
    <row r="119" spans="1:16" x14ac:dyDescent="0.3">
      <c r="A119" t="s">
        <v>373</v>
      </c>
      <c r="B119" s="6" t="s">
        <v>325</v>
      </c>
      <c r="C119" s="6" t="s">
        <v>182</v>
      </c>
      <c r="D119" s="6" t="s">
        <v>241</v>
      </c>
      <c r="E119" s="6" t="s">
        <v>63</v>
      </c>
      <c r="F119" s="6" t="s">
        <v>47</v>
      </c>
      <c r="G119" s="6">
        <v>36</v>
      </c>
      <c r="H119" s="6">
        <v>26.05</v>
      </c>
      <c r="I119" s="6">
        <v>937.8</v>
      </c>
      <c r="J119" s="6">
        <v>32.799999999999997</v>
      </c>
      <c r="K119" s="6">
        <v>185</v>
      </c>
      <c r="L119" s="6" t="s">
        <v>24</v>
      </c>
      <c r="M119" s="6" t="s">
        <v>41</v>
      </c>
      <c r="N119" s="6" t="s">
        <v>35</v>
      </c>
      <c r="O119" s="12">
        <f t="shared" si="2"/>
        <v>0.19727020686713587</v>
      </c>
      <c r="P119" s="6" t="str">
        <f t="shared" si="3"/>
        <v>good</v>
      </c>
    </row>
    <row r="120" spans="1:16" x14ac:dyDescent="0.3">
      <c r="A120" t="s">
        <v>374</v>
      </c>
      <c r="B120" s="6" t="s">
        <v>375</v>
      </c>
      <c r="C120" s="6" t="s">
        <v>73</v>
      </c>
      <c r="D120" s="6" t="s">
        <v>141</v>
      </c>
      <c r="E120" s="6" t="s">
        <v>46</v>
      </c>
      <c r="F120" s="6" t="s">
        <v>47</v>
      </c>
      <c r="G120" s="6">
        <v>26</v>
      </c>
      <c r="H120" s="6">
        <v>47.52</v>
      </c>
      <c r="I120" s="6">
        <v>1235.52</v>
      </c>
      <c r="J120" s="6">
        <v>31.41</v>
      </c>
      <c r="K120" s="6">
        <v>372.11</v>
      </c>
      <c r="L120" s="6" t="s">
        <v>33</v>
      </c>
      <c r="M120" s="6" t="s">
        <v>25</v>
      </c>
      <c r="N120" s="6" t="s">
        <v>142</v>
      </c>
      <c r="O120" s="12">
        <f t="shared" si="2"/>
        <v>0.30117683242683246</v>
      </c>
      <c r="P120" s="6" t="str">
        <f t="shared" si="3"/>
        <v>need improvement</v>
      </c>
    </row>
    <row r="121" spans="1:16" x14ac:dyDescent="0.3">
      <c r="A121" t="s">
        <v>376</v>
      </c>
      <c r="B121" s="6" t="s">
        <v>131</v>
      </c>
      <c r="C121" s="6" t="s">
        <v>334</v>
      </c>
      <c r="D121" s="6" t="s">
        <v>171</v>
      </c>
      <c r="E121" s="6" t="s">
        <v>32</v>
      </c>
      <c r="F121" s="6" t="s">
        <v>23</v>
      </c>
      <c r="G121" s="6">
        <v>38</v>
      </c>
      <c r="H121" s="6">
        <v>26.38</v>
      </c>
      <c r="I121" s="6">
        <v>1002.44</v>
      </c>
      <c r="J121" s="6">
        <v>33.049999999999997</v>
      </c>
      <c r="K121" s="6">
        <v>285.39</v>
      </c>
      <c r="L121" s="6" t="s">
        <v>33</v>
      </c>
      <c r="M121" s="6" t="s">
        <v>25</v>
      </c>
      <c r="N121" s="6" t="s">
        <v>35</v>
      </c>
      <c r="O121" s="12">
        <f t="shared" si="2"/>
        <v>0.28469534336219621</v>
      </c>
      <c r="P121" s="6" t="str">
        <f t="shared" si="3"/>
        <v>need improvement</v>
      </c>
    </row>
    <row r="122" spans="1:16" x14ac:dyDescent="0.3">
      <c r="A122" t="s">
        <v>377</v>
      </c>
      <c r="B122" s="6" t="s">
        <v>327</v>
      </c>
      <c r="C122" s="6" t="s">
        <v>222</v>
      </c>
      <c r="D122" s="6" t="s">
        <v>127</v>
      </c>
      <c r="E122" s="6" t="s">
        <v>86</v>
      </c>
      <c r="F122" s="6" t="s">
        <v>47</v>
      </c>
      <c r="G122" s="6">
        <v>7</v>
      </c>
      <c r="H122" s="6">
        <v>17.66</v>
      </c>
      <c r="I122" s="6">
        <v>123.62</v>
      </c>
      <c r="J122" s="6">
        <v>6.95</v>
      </c>
      <c r="K122" s="6">
        <v>27.42</v>
      </c>
      <c r="L122" s="6" t="s">
        <v>24</v>
      </c>
      <c r="M122" s="6" t="s">
        <v>25</v>
      </c>
      <c r="N122" s="6" t="s">
        <v>76</v>
      </c>
      <c r="O122" s="12">
        <f t="shared" si="2"/>
        <v>0.22180876880763631</v>
      </c>
      <c r="P122" s="6" t="str">
        <f t="shared" si="3"/>
        <v>need improvement</v>
      </c>
    </row>
    <row r="123" spans="1:16" x14ac:dyDescent="0.3">
      <c r="A123" t="s">
        <v>378</v>
      </c>
      <c r="B123" s="6" t="s">
        <v>309</v>
      </c>
      <c r="C123" s="6" t="s">
        <v>227</v>
      </c>
      <c r="D123" s="6" t="s">
        <v>206</v>
      </c>
      <c r="E123" s="6" t="s">
        <v>22</v>
      </c>
      <c r="F123" s="6" t="s">
        <v>23</v>
      </c>
      <c r="G123" s="6">
        <v>26</v>
      </c>
      <c r="H123" s="6">
        <v>51.5</v>
      </c>
      <c r="I123" s="6">
        <v>1339</v>
      </c>
      <c r="J123" s="6">
        <v>92.09</v>
      </c>
      <c r="K123" s="6">
        <v>336.91</v>
      </c>
      <c r="L123" s="6" t="s">
        <v>33</v>
      </c>
      <c r="M123" s="6" t="s">
        <v>34</v>
      </c>
      <c r="N123" s="6" t="s">
        <v>207</v>
      </c>
      <c r="O123" s="12">
        <f t="shared" si="2"/>
        <v>0.25161314413741598</v>
      </c>
      <c r="P123" s="6" t="str">
        <f t="shared" si="3"/>
        <v>need improvement</v>
      </c>
    </row>
    <row r="124" spans="1:16" x14ac:dyDescent="0.3">
      <c r="A124" t="s">
        <v>379</v>
      </c>
      <c r="B124" s="6" t="s">
        <v>380</v>
      </c>
      <c r="C124" s="6" t="s">
        <v>381</v>
      </c>
      <c r="D124" s="6" t="s">
        <v>21</v>
      </c>
      <c r="E124" s="6" t="s">
        <v>81</v>
      </c>
      <c r="F124" s="6" t="s">
        <v>68</v>
      </c>
      <c r="G124" s="6">
        <v>27</v>
      </c>
      <c r="H124" s="6">
        <v>25</v>
      </c>
      <c r="I124" s="6">
        <v>675</v>
      </c>
      <c r="J124" s="6">
        <v>15.49</v>
      </c>
      <c r="K124" s="6">
        <v>241.01</v>
      </c>
      <c r="L124" s="6" t="s">
        <v>33</v>
      </c>
      <c r="M124" s="6" t="s">
        <v>34</v>
      </c>
      <c r="N124" s="6" t="s">
        <v>98</v>
      </c>
      <c r="O124" s="12">
        <f t="shared" si="2"/>
        <v>0.35705185185185184</v>
      </c>
      <c r="P124" s="6" t="str">
        <f t="shared" si="3"/>
        <v>need improvement</v>
      </c>
    </row>
    <row r="125" spans="1:16" x14ac:dyDescent="0.3">
      <c r="A125" t="s">
        <v>382</v>
      </c>
      <c r="B125" s="6" t="s">
        <v>383</v>
      </c>
      <c r="C125" s="6" t="s">
        <v>61</v>
      </c>
      <c r="D125" s="6" t="s">
        <v>141</v>
      </c>
      <c r="E125" s="6" t="s">
        <v>86</v>
      </c>
      <c r="F125" s="6" t="s">
        <v>47</v>
      </c>
      <c r="G125" s="6">
        <v>4</v>
      </c>
      <c r="H125" s="6">
        <v>19</v>
      </c>
      <c r="I125" s="6">
        <v>76</v>
      </c>
      <c r="J125" s="6">
        <v>3.78</v>
      </c>
      <c r="K125" s="6">
        <v>21.22</v>
      </c>
      <c r="L125" s="6" t="s">
        <v>33</v>
      </c>
      <c r="M125" s="6" t="s">
        <v>41</v>
      </c>
      <c r="N125" s="6" t="s">
        <v>142</v>
      </c>
      <c r="O125" s="12">
        <f t="shared" si="2"/>
        <v>0.27921052631578946</v>
      </c>
      <c r="P125" s="6" t="str">
        <f t="shared" si="3"/>
        <v>need improvement</v>
      </c>
    </row>
    <row r="126" spans="1:16" x14ac:dyDescent="0.3">
      <c r="A126" t="s">
        <v>384</v>
      </c>
      <c r="B126" s="6" t="s">
        <v>147</v>
      </c>
      <c r="C126" s="6" t="s">
        <v>307</v>
      </c>
      <c r="D126" s="6" t="s">
        <v>55</v>
      </c>
      <c r="E126" s="6" t="s">
        <v>81</v>
      </c>
      <c r="F126" s="6" t="s">
        <v>68</v>
      </c>
      <c r="G126" s="6">
        <v>24</v>
      </c>
      <c r="H126" s="6">
        <v>26.63</v>
      </c>
      <c r="I126" s="6">
        <v>639.12</v>
      </c>
      <c r="J126" s="6">
        <v>31.92</v>
      </c>
      <c r="K126" s="6">
        <v>235.2</v>
      </c>
      <c r="L126" s="6" t="s">
        <v>48</v>
      </c>
      <c r="M126" s="6" t="s">
        <v>41</v>
      </c>
      <c r="N126" s="6" t="s">
        <v>98</v>
      </c>
      <c r="O126" s="12">
        <f t="shared" si="2"/>
        <v>0.36800600826135937</v>
      </c>
      <c r="P126" s="6" t="str">
        <f t="shared" si="3"/>
        <v>need improvement</v>
      </c>
    </row>
    <row r="127" spans="1:16" x14ac:dyDescent="0.3">
      <c r="A127" t="s">
        <v>385</v>
      </c>
      <c r="B127" s="6" t="s">
        <v>386</v>
      </c>
      <c r="C127" s="6" t="s">
        <v>134</v>
      </c>
      <c r="D127" s="6" t="s">
        <v>116</v>
      </c>
      <c r="E127" s="6" t="s">
        <v>74</v>
      </c>
      <c r="F127" s="6" t="s">
        <v>75</v>
      </c>
      <c r="G127" s="6">
        <v>26</v>
      </c>
      <c r="H127" s="6">
        <v>43.14</v>
      </c>
      <c r="I127" s="6">
        <v>1121.6400000000001</v>
      </c>
      <c r="J127" s="6">
        <v>48.08</v>
      </c>
      <c r="K127" s="6">
        <v>423.56</v>
      </c>
      <c r="L127" s="6" t="s">
        <v>24</v>
      </c>
      <c r="M127" s="6" t="s">
        <v>34</v>
      </c>
      <c r="N127" s="6" t="s">
        <v>76</v>
      </c>
      <c r="O127" s="12">
        <f t="shared" si="2"/>
        <v>0.37762561962840124</v>
      </c>
      <c r="P127" s="6" t="str">
        <f t="shared" si="3"/>
        <v>need improvement</v>
      </c>
    </row>
    <row r="128" spans="1:16" x14ac:dyDescent="0.3">
      <c r="A128" t="s">
        <v>387</v>
      </c>
      <c r="B128" s="6" t="s">
        <v>388</v>
      </c>
      <c r="C128" s="6" t="s">
        <v>317</v>
      </c>
      <c r="D128" s="6" t="s">
        <v>55</v>
      </c>
      <c r="E128" s="6" t="s">
        <v>74</v>
      </c>
      <c r="F128" s="6" t="s">
        <v>75</v>
      </c>
      <c r="G128" s="6">
        <v>39</v>
      </c>
      <c r="H128" s="6">
        <v>30.01</v>
      </c>
      <c r="I128" s="6">
        <v>1170.3900000000001</v>
      </c>
      <c r="J128" s="6">
        <v>60.43</v>
      </c>
      <c r="K128" s="6">
        <v>134.96</v>
      </c>
      <c r="L128" s="6" t="s">
        <v>33</v>
      </c>
      <c r="M128" s="6" t="s">
        <v>25</v>
      </c>
      <c r="N128" s="6" t="s">
        <v>98</v>
      </c>
      <c r="O128" s="12">
        <f t="shared" si="2"/>
        <v>0.11531199002042054</v>
      </c>
      <c r="P128" s="6" t="str">
        <f t="shared" si="3"/>
        <v>good</v>
      </c>
    </row>
    <row r="129" spans="1:16" x14ac:dyDescent="0.3">
      <c r="A129" t="s">
        <v>389</v>
      </c>
      <c r="B129" s="6" t="s">
        <v>390</v>
      </c>
      <c r="C129" s="6" t="s">
        <v>391</v>
      </c>
      <c r="D129" s="6" t="s">
        <v>241</v>
      </c>
      <c r="E129" s="6" t="s">
        <v>67</v>
      </c>
      <c r="F129" s="6" t="s">
        <v>68</v>
      </c>
      <c r="G129" s="6">
        <v>5</v>
      </c>
      <c r="H129" s="6">
        <v>31.31</v>
      </c>
      <c r="I129" s="6">
        <v>156.55000000000001</v>
      </c>
      <c r="J129" s="6">
        <v>4.04</v>
      </c>
      <c r="K129" s="6">
        <v>40.01</v>
      </c>
      <c r="L129" s="6" t="s">
        <v>48</v>
      </c>
      <c r="M129" s="6" t="s">
        <v>41</v>
      </c>
      <c r="N129" s="6" t="s">
        <v>35</v>
      </c>
      <c r="O129" s="12">
        <f t="shared" si="2"/>
        <v>0.25557329926541039</v>
      </c>
      <c r="P129" s="6" t="str">
        <f t="shared" si="3"/>
        <v>need improvement</v>
      </c>
    </row>
    <row r="130" spans="1:16" x14ac:dyDescent="0.3">
      <c r="A130" t="s">
        <v>392</v>
      </c>
      <c r="B130" s="6" t="s">
        <v>393</v>
      </c>
      <c r="C130" s="6" t="s">
        <v>290</v>
      </c>
      <c r="D130" s="6" t="s">
        <v>21</v>
      </c>
      <c r="E130" s="6" t="s">
        <v>137</v>
      </c>
      <c r="F130" s="6" t="s">
        <v>68</v>
      </c>
      <c r="G130" s="6">
        <v>42</v>
      </c>
      <c r="H130" s="6">
        <v>36.950000000000003</v>
      </c>
      <c r="I130" s="6">
        <v>1551.9</v>
      </c>
      <c r="J130" s="6">
        <v>74.260000000000005</v>
      </c>
      <c r="K130" s="6">
        <v>301.64</v>
      </c>
      <c r="L130" s="6" t="s">
        <v>33</v>
      </c>
      <c r="M130" s="6" t="s">
        <v>34</v>
      </c>
      <c r="N130" s="6" t="s">
        <v>98</v>
      </c>
      <c r="O130" s="12">
        <f t="shared" si="2"/>
        <v>0.19436819382692183</v>
      </c>
      <c r="P130" s="6" t="str">
        <f t="shared" si="3"/>
        <v>good</v>
      </c>
    </row>
    <row r="131" spans="1:16" x14ac:dyDescent="0.3">
      <c r="A131" t="s">
        <v>394</v>
      </c>
      <c r="B131" s="6" t="s">
        <v>395</v>
      </c>
      <c r="C131" s="6" t="s">
        <v>396</v>
      </c>
      <c r="D131" s="6" t="s">
        <v>116</v>
      </c>
      <c r="E131" s="6" t="s">
        <v>56</v>
      </c>
      <c r="F131" s="6" t="s">
        <v>57</v>
      </c>
      <c r="G131" s="6">
        <v>36</v>
      </c>
      <c r="H131" s="6">
        <v>57.37</v>
      </c>
      <c r="I131" s="6">
        <v>2065.3200000000002</v>
      </c>
      <c r="J131" s="6">
        <v>94.34</v>
      </c>
      <c r="K131" s="6">
        <v>530.98</v>
      </c>
      <c r="L131" s="6" t="s">
        <v>48</v>
      </c>
      <c r="M131" s="6" t="s">
        <v>25</v>
      </c>
      <c r="N131" s="6" t="s">
        <v>76</v>
      </c>
      <c r="O131" s="12">
        <f t="shared" si="2"/>
        <v>0.25709333178393662</v>
      </c>
      <c r="P131" s="6" t="str">
        <f t="shared" si="3"/>
        <v>excellent</v>
      </c>
    </row>
    <row r="132" spans="1:16" x14ac:dyDescent="0.3">
      <c r="A132" t="s">
        <v>397</v>
      </c>
      <c r="B132" s="6" t="s">
        <v>398</v>
      </c>
      <c r="C132" s="6" t="s">
        <v>44</v>
      </c>
      <c r="D132" s="6" t="s">
        <v>123</v>
      </c>
      <c r="E132" s="6" t="s">
        <v>137</v>
      </c>
      <c r="F132" s="6" t="s">
        <v>68</v>
      </c>
      <c r="G132" s="6">
        <v>13</v>
      </c>
      <c r="H132" s="6">
        <v>40.18</v>
      </c>
      <c r="I132" s="6">
        <v>522.34</v>
      </c>
      <c r="J132" s="6">
        <v>37.369999999999997</v>
      </c>
      <c r="K132" s="6">
        <v>120.97</v>
      </c>
      <c r="L132" s="6" t="s">
        <v>33</v>
      </c>
      <c r="M132" s="6" t="s">
        <v>41</v>
      </c>
      <c r="N132" s="6" t="s">
        <v>76</v>
      </c>
      <c r="O132" s="12">
        <f t="shared" si="2"/>
        <v>0.23159244936248419</v>
      </c>
      <c r="P132" s="6" t="str">
        <f t="shared" si="3"/>
        <v>need improvement</v>
      </c>
    </row>
    <row r="133" spans="1:16" x14ac:dyDescent="0.3">
      <c r="A133" t="s">
        <v>399</v>
      </c>
      <c r="B133" s="6" t="s">
        <v>400</v>
      </c>
      <c r="C133" s="6" t="s">
        <v>328</v>
      </c>
      <c r="D133" s="6" t="s">
        <v>127</v>
      </c>
      <c r="E133" s="6" t="s">
        <v>46</v>
      </c>
      <c r="F133" s="6" t="s">
        <v>47</v>
      </c>
      <c r="G133" s="6">
        <v>37</v>
      </c>
      <c r="H133" s="6">
        <v>39.299999999999997</v>
      </c>
      <c r="I133" s="6">
        <v>1454.1</v>
      </c>
      <c r="J133" s="6">
        <v>67.08</v>
      </c>
      <c r="K133" s="6">
        <v>203.02</v>
      </c>
      <c r="L133" s="6" t="s">
        <v>48</v>
      </c>
      <c r="M133" s="6" t="s">
        <v>25</v>
      </c>
      <c r="N133" s="6" t="s">
        <v>76</v>
      </c>
      <c r="O133" s="12">
        <f t="shared" si="2"/>
        <v>0.13961900832129842</v>
      </c>
      <c r="P133" s="6" t="str">
        <f t="shared" si="3"/>
        <v>good</v>
      </c>
    </row>
    <row r="134" spans="1:16" x14ac:dyDescent="0.3">
      <c r="A134" t="s">
        <v>401</v>
      </c>
      <c r="B134" s="6" t="s">
        <v>402</v>
      </c>
      <c r="C134" s="6" t="s">
        <v>307</v>
      </c>
      <c r="D134" s="6" t="s">
        <v>55</v>
      </c>
      <c r="E134" s="6" t="s">
        <v>46</v>
      </c>
      <c r="F134" s="6" t="s">
        <v>47</v>
      </c>
      <c r="G134" s="6">
        <v>17</v>
      </c>
      <c r="H134" s="6">
        <v>43.28</v>
      </c>
      <c r="I134" s="6">
        <v>735.76</v>
      </c>
      <c r="J134" s="6">
        <v>50.96</v>
      </c>
      <c r="K134" s="6">
        <v>140.80000000000001</v>
      </c>
      <c r="L134" s="6" t="s">
        <v>33</v>
      </c>
      <c r="M134" s="6" t="s">
        <v>34</v>
      </c>
      <c r="N134" s="6" t="s">
        <v>98</v>
      </c>
      <c r="O134" s="12">
        <f t="shared" ref="O134:O197" si="4">K134/I134</f>
        <v>0.19136675002718279</v>
      </c>
      <c r="P134" s="6" t="str">
        <f t="shared" ref="P134:P197" si="5">IF(AND(O134&gt;20%,I134&gt;2000),"excellent",IF(AND(O134&gt;=10%,O134&lt;=20%),"good","need improvement"))</f>
        <v>good</v>
      </c>
    </row>
    <row r="135" spans="1:16" x14ac:dyDescent="0.3">
      <c r="A135" t="s">
        <v>403</v>
      </c>
      <c r="B135" s="6" t="s">
        <v>404</v>
      </c>
      <c r="C135" s="6" t="s">
        <v>20</v>
      </c>
      <c r="D135" s="6" t="s">
        <v>123</v>
      </c>
      <c r="E135" s="6" t="s">
        <v>22</v>
      </c>
      <c r="F135" s="6" t="s">
        <v>23</v>
      </c>
      <c r="G135" s="6">
        <v>22</v>
      </c>
      <c r="H135" s="6">
        <v>62.79</v>
      </c>
      <c r="I135" s="6">
        <v>1381.38</v>
      </c>
      <c r="J135" s="6">
        <v>75.84</v>
      </c>
      <c r="K135" s="6">
        <v>535.54</v>
      </c>
      <c r="L135" s="6" t="s">
        <v>48</v>
      </c>
      <c r="M135" s="6" t="s">
        <v>41</v>
      </c>
      <c r="N135" s="6" t="s">
        <v>76</v>
      </c>
      <c r="O135" s="12">
        <f t="shared" si="4"/>
        <v>0.38768477898912673</v>
      </c>
      <c r="P135" s="6" t="str">
        <f t="shared" si="5"/>
        <v>need improvement</v>
      </c>
    </row>
    <row r="136" spans="1:16" x14ac:dyDescent="0.3">
      <c r="A136" t="s">
        <v>405</v>
      </c>
      <c r="B136" s="6" t="s">
        <v>406</v>
      </c>
      <c r="C136" s="6" t="s">
        <v>249</v>
      </c>
      <c r="D136" s="6" t="s">
        <v>241</v>
      </c>
      <c r="E136" s="6" t="s">
        <v>56</v>
      </c>
      <c r="F136" s="6" t="s">
        <v>57</v>
      </c>
      <c r="G136" s="6">
        <v>23</v>
      </c>
      <c r="H136" s="6">
        <v>56.76</v>
      </c>
      <c r="I136" s="6">
        <v>1305.48</v>
      </c>
      <c r="J136" s="6">
        <v>62.93</v>
      </c>
      <c r="K136" s="6">
        <v>322.55</v>
      </c>
      <c r="L136" s="6" t="s">
        <v>48</v>
      </c>
      <c r="M136" s="6" t="s">
        <v>41</v>
      </c>
      <c r="N136" s="6" t="s">
        <v>35</v>
      </c>
      <c r="O136" s="12">
        <f t="shared" si="4"/>
        <v>0.24707387321138585</v>
      </c>
      <c r="P136" s="6" t="str">
        <f t="shared" si="5"/>
        <v>need improvement</v>
      </c>
    </row>
    <row r="137" spans="1:16" x14ac:dyDescent="0.3">
      <c r="A137" t="s">
        <v>407</v>
      </c>
      <c r="B137" s="6" t="s">
        <v>408</v>
      </c>
      <c r="C137" s="6" t="s">
        <v>40</v>
      </c>
      <c r="D137" s="6" t="s">
        <v>31</v>
      </c>
      <c r="E137" s="6" t="s">
        <v>56</v>
      </c>
      <c r="F137" s="6" t="s">
        <v>57</v>
      </c>
      <c r="G137" s="6">
        <v>22</v>
      </c>
      <c r="H137" s="6">
        <v>60.13</v>
      </c>
      <c r="I137" s="6">
        <v>1322.86</v>
      </c>
      <c r="J137" s="6">
        <v>54.06</v>
      </c>
      <c r="K137" s="6">
        <v>388.8</v>
      </c>
      <c r="L137" s="6" t="s">
        <v>48</v>
      </c>
      <c r="M137" s="6" t="s">
        <v>34</v>
      </c>
      <c r="N137" s="6" t="s">
        <v>35</v>
      </c>
      <c r="O137" s="12">
        <f t="shared" si="4"/>
        <v>0.2939086524651135</v>
      </c>
      <c r="P137" s="6" t="str">
        <f t="shared" si="5"/>
        <v>need improvement</v>
      </c>
    </row>
    <row r="138" spans="1:16" x14ac:dyDescent="0.3">
      <c r="A138" t="s">
        <v>409</v>
      </c>
      <c r="B138" s="6" t="s">
        <v>386</v>
      </c>
      <c r="C138" s="6" t="s">
        <v>410</v>
      </c>
      <c r="D138" s="6" t="s">
        <v>116</v>
      </c>
      <c r="E138" s="6" t="s">
        <v>74</v>
      </c>
      <c r="F138" s="6" t="s">
        <v>75</v>
      </c>
      <c r="G138" s="6">
        <v>21</v>
      </c>
      <c r="H138" s="6">
        <v>40.98</v>
      </c>
      <c r="I138" s="6">
        <v>860.58</v>
      </c>
      <c r="J138" s="6">
        <v>37.01</v>
      </c>
      <c r="K138" s="6">
        <v>298.57</v>
      </c>
      <c r="L138" s="6" t="s">
        <v>24</v>
      </c>
      <c r="M138" s="6" t="s">
        <v>41</v>
      </c>
      <c r="N138" s="6" t="s">
        <v>76</v>
      </c>
      <c r="O138" s="12">
        <f t="shared" si="4"/>
        <v>0.34694043552023052</v>
      </c>
      <c r="P138" s="6" t="str">
        <f t="shared" si="5"/>
        <v>need improvement</v>
      </c>
    </row>
    <row r="139" spans="1:16" x14ac:dyDescent="0.3">
      <c r="A139" t="s">
        <v>411</v>
      </c>
      <c r="B139" s="6" t="s">
        <v>412</v>
      </c>
      <c r="C139" s="6" t="s">
        <v>188</v>
      </c>
      <c r="D139" s="6" t="s">
        <v>45</v>
      </c>
      <c r="E139" s="6" t="s">
        <v>56</v>
      </c>
      <c r="F139" s="6" t="s">
        <v>57</v>
      </c>
      <c r="G139" s="6">
        <v>36</v>
      </c>
      <c r="H139" s="6">
        <v>54.6</v>
      </c>
      <c r="I139" s="6">
        <v>1965.6</v>
      </c>
      <c r="J139" s="6">
        <v>150.34</v>
      </c>
      <c r="K139" s="6">
        <v>375.26</v>
      </c>
      <c r="L139" s="6" t="s">
        <v>33</v>
      </c>
      <c r="M139" s="6" t="s">
        <v>25</v>
      </c>
      <c r="N139" s="6" t="s">
        <v>49</v>
      </c>
      <c r="O139" s="12">
        <f t="shared" si="4"/>
        <v>0.19091371591371592</v>
      </c>
      <c r="P139" s="6" t="str">
        <f t="shared" si="5"/>
        <v>good</v>
      </c>
    </row>
    <row r="140" spans="1:16" x14ac:dyDescent="0.3">
      <c r="A140" t="s">
        <v>413</v>
      </c>
      <c r="B140" s="6" t="s">
        <v>414</v>
      </c>
      <c r="C140" s="6" t="s">
        <v>360</v>
      </c>
      <c r="D140" s="6" t="s">
        <v>37</v>
      </c>
      <c r="E140" s="6" t="s">
        <v>81</v>
      </c>
      <c r="F140" s="6" t="s">
        <v>68</v>
      </c>
      <c r="G140" s="6">
        <v>1</v>
      </c>
      <c r="H140" s="6">
        <v>27.49</v>
      </c>
      <c r="I140" s="6">
        <v>27.49</v>
      </c>
      <c r="J140" s="6">
        <v>0.63</v>
      </c>
      <c r="K140" s="6">
        <v>11.36</v>
      </c>
      <c r="L140" s="6" t="s">
        <v>33</v>
      </c>
      <c r="M140" s="6" t="s">
        <v>41</v>
      </c>
      <c r="N140" s="6" t="s">
        <v>35</v>
      </c>
      <c r="O140" s="12">
        <f t="shared" si="4"/>
        <v>0.41324117861040377</v>
      </c>
      <c r="P140" s="6" t="str">
        <f t="shared" si="5"/>
        <v>need improvement</v>
      </c>
    </row>
    <row r="141" spans="1:16" x14ac:dyDescent="0.3">
      <c r="A141" t="s">
        <v>415</v>
      </c>
      <c r="B141" s="6" t="s">
        <v>416</v>
      </c>
      <c r="C141" s="6" t="s">
        <v>417</v>
      </c>
      <c r="D141" s="6" t="s">
        <v>116</v>
      </c>
      <c r="E141" s="6" t="s">
        <v>46</v>
      </c>
      <c r="F141" s="6" t="s">
        <v>47</v>
      </c>
      <c r="G141" s="6">
        <v>50</v>
      </c>
      <c r="H141" s="6">
        <v>41.11</v>
      </c>
      <c r="I141" s="6">
        <v>2055.5</v>
      </c>
      <c r="J141" s="6">
        <v>95.61</v>
      </c>
      <c r="K141" s="6">
        <v>359.89</v>
      </c>
      <c r="L141" s="6" t="s">
        <v>48</v>
      </c>
      <c r="M141" s="6" t="s">
        <v>34</v>
      </c>
      <c r="N141" s="6" t="s">
        <v>76</v>
      </c>
      <c r="O141" s="12">
        <f t="shared" si="4"/>
        <v>0.17508635368523473</v>
      </c>
      <c r="P141" s="6" t="str">
        <f t="shared" si="5"/>
        <v>good</v>
      </c>
    </row>
    <row r="142" spans="1:16" x14ac:dyDescent="0.3">
      <c r="A142" t="s">
        <v>418</v>
      </c>
      <c r="B142" s="6" t="s">
        <v>419</v>
      </c>
      <c r="C142" s="6" t="s">
        <v>191</v>
      </c>
      <c r="D142" s="6" t="s">
        <v>51</v>
      </c>
      <c r="E142" s="6" t="s">
        <v>81</v>
      </c>
      <c r="F142" s="6" t="s">
        <v>68</v>
      </c>
      <c r="G142" s="6">
        <v>18</v>
      </c>
      <c r="H142" s="6">
        <v>25.54</v>
      </c>
      <c r="I142" s="6">
        <v>459.72</v>
      </c>
      <c r="J142" s="6">
        <v>27.02</v>
      </c>
      <c r="K142" s="6">
        <v>153.69999999999999</v>
      </c>
      <c r="L142" s="6" t="s">
        <v>33</v>
      </c>
      <c r="M142" s="6" t="s">
        <v>25</v>
      </c>
      <c r="N142" s="6" t="s">
        <v>76</v>
      </c>
      <c r="O142" s="12">
        <f t="shared" si="4"/>
        <v>0.33433394239972153</v>
      </c>
      <c r="P142" s="6" t="str">
        <f t="shared" si="5"/>
        <v>need improvement</v>
      </c>
    </row>
    <row r="143" spans="1:16" x14ac:dyDescent="0.3">
      <c r="A143" t="s">
        <v>420</v>
      </c>
      <c r="B143" s="6" t="s">
        <v>421</v>
      </c>
      <c r="C143" s="6" t="s">
        <v>369</v>
      </c>
      <c r="D143" s="6" t="s">
        <v>127</v>
      </c>
      <c r="E143" s="6" t="s">
        <v>137</v>
      </c>
      <c r="F143" s="6" t="s">
        <v>68</v>
      </c>
      <c r="G143" s="6">
        <v>4</v>
      </c>
      <c r="H143" s="6">
        <v>47.52</v>
      </c>
      <c r="I143" s="6">
        <v>190.08</v>
      </c>
      <c r="J143" s="6">
        <v>10.23</v>
      </c>
      <c r="K143" s="6">
        <v>67.849999999999994</v>
      </c>
      <c r="L143" s="6" t="s">
        <v>24</v>
      </c>
      <c r="M143" s="6" t="s">
        <v>25</v>
      </c>
      <c r="N143" s="6" t="s">
        <v>76</v>
      </c>
      <c r="O143" s="12">
        <f t="shared" si="4"/>
        <v>0.35695496632996626</v>
      </c>
      <c r="P143" s="6" t="str">
        <f t="shared" si="5"/>
        <v>need improvement</v>
      </c>
    </row>
    <row r="144" spans="1:16" x14ac:dyDescent="0.3">
      <c r="A144" t="s">
        <v>422</v>
      </c>
      <c r="B144" s="6" t="s">
        <v>423</v>
      </c>
      <c r="C144" s="6" t="s">
        <v>272</v>
      </c>
      <c r="D144" s="6" t="s">
        <v>37</v>
      </c>
      <c r="E144" s="6" t="s">
        <v>74</v>
      </c>
      <c r="F144" s="6" t="s">
        <v>75</v>
      </c>
      <c r="G144" s="6">
        <v>29</v>
      </c>
      <c r="H144" s="6">
        <v>30.48</v>
      </c>
      <c r="I144" s="6">
        <v>883.92</v>
      </c>
      <c r="J144" s="6">
        <v>33.15</v>
      </c>
      <c r="K144" s="6">
        <v>125.77</v>
      </c>
      <c r="L144" s="6" t="s">
        <v>48</v>
      </c>
      <c r="M144" s="6" t="s">
        <v>25</v>
      </c>
      <c r="N144" s="6" t="s">
        <v>35</v>
      </c>
      <c r="O144" s="12">
        <f t="shared" si="4"/>
        <v>0.14228663227441399</v>
      </c>
      <c r="P144" s="6" t="str">
        <f t="shared" si="5"/>
        <v>good</v>
      </c>
    </row>
    <row r="145" spans="1:16" x14ac:dyDescent="0.3">
      <c r="A145" t="s">
        <v>424</v>
      </c>
      <c r="B145" s="6" t="s">
        <v>256</v>
      </c>
      <c r="C145" s="6" t="s">
        <v>269</v>
      </c>
      <c r="D145" s="6" t="s">
        <v>141</v>
      </c>
      <c r="E145" s="6" t="s">
        <v>56</v>
      </c>
      <c r="F145" s="6" t="s">
        <v>57</v>
      </c>
      <c r="G145" s="6">
        <v>27</v>
      </c>
      <c r="H145" s="6">
        <v>50.39</v>
      </c>
      <c r="I145" s="6">
        <v>1360.53</v>
      </c>
      <c r="J145" s="6">
        <v>106.4</v>
      </c>
      <c r="K145" s="6">
        <v>174.13</v>
      </c>
      <c r="L145" s="6" t="s">
        <v>33</v>
      </c>
      <c r="M145" s="6" t="s">
        <v>34</v>
      </c>
      <c r="N145" s="6" t="s">
        <v>142</v>
      </c>
      <c r="O145" s="12">
        <f t="shared" si="4"/>
        <v>0.12798688746297399</v>
      </c>
      <c r="P145" s="6" t="str">
        <f t="shared" si="5"/>
        <v>good</v>
      </c>
    </row>
    <row r="146" spans="1:16" x14ac:dyDescent="0.3">
      <c r="A146" t="s">
        <v>425</v>
      </c>
      <c r="B146" s="6" t="s">
        <v>426</v>
      </c>
      <c r="C146" s="6" t="s">
        <v>232</v>
      </c>
      <c r="D146" s="6" t="s">
        <v>241</v>
      </c>
      <c r="E146" s="6" t="s">
        <v>74</v>
      </c>
      <c r="F146" s="6" t="s">
        <v>75</v>
      </c>
      <c r="G146" s="6">
        <v>34</v>
      </c>
      <c r="H146" s="6">
        <v>37.68</v>
      </c>
      <c r="I146" s="6">
        <v>1281.1199999999999</v>
      </c>
      <c r="J146" s="6">
        <v>54.86</v>
      </c>
      <c r="K146" s="6">
        <v>376.26</v>
      </c>
      <c r="L146" s="6" t="s">
        <v>48</v>
      </c>
      <c r="M146" s="6" t="s">
        <v>25</v>
      </c>
      <c r="N146" s="6" t="s">
        <v>35</v>
      </c>
      <c r="O146" s="12">
        <f t="shared" si="4"/>
        <v>0.2936961408767329</v>
      </c>
      <c r="P146" s="6" t="str">
        <f t="shared" si="5"/>
        <v>need improvement</v>
      </c>
    </row>
    <row r="147" spans="1:16" x14ac:dyDescent="0.3">
      <c r="A147" t="s">
        <v>427</v>
      </c>
      <c r="B147" s="6" t="s">
        <v>109</v>
      </c>
      <c r="C147" s="6" t="s">
        <v>428</v>
      </c>
      <c r="D147" s="6" t="s">
        <v>127</v>
      </c>
      <c r="E147" s="6" t="s">
        <v>74</v>
      </c>
      <c r="F147" s="6" t="s">
        <v>75</v>
      </c>
      <c r="G147" s="6">
        <v>3</v>
      </c>
      <c r="H147" s="6">
        <v>39.32</v>
      </c>
      <c r="I147" s="6">
        <v>117.96</v>
      </c>
      <c r="J147" s="6">
        <v>6.97</v>
      </c>
      <c r="K147" s="6">
        <v>35.99</v>
      </c>
      <c r="L147" s="6" t="s">
        <v>33</v>
      </c>
      <c r="M147" s="6" t="s">
        <v>34</v>
      </c>
      <c r="N147" s="6" t="s">
        <v>76</v>
      </c>
      <c r="O147" s="12">
        <f t="shared" si="4"/>
        <v>0.3051034248897932</v>
      </c>
      <c r="P147" s="6" t="str">
        <f t="shared" si="5"/>
        <v>need improvement</v>
      </c>
    </row>
    <row r="148" spans="1:16" x14ac:dyDescent="0.3">
      <c r="A148" t="s">
        <v>429</v>
      </c>
      <c r="B148" s="6" t="s">
        <v>390</v>
      </c>
      <c r="C148" s="6" t="s">
        <v>372</v>
      </c>
      <c r="D148" s="6" t="s">
        <v>55</v>
      </c>
      <c r="E148" s="6" t="s">
        <v>86</v>
      </c>
      <c r="F148" s="6" t="s">
        <v>47</v>
      </c>
      <c r="G148" s="6">
        <v>24</v>
      </c>
      <c r="H148" s="6">
        <v>18</v>
      </c>
      <c r="I148" s="6">
        <v>432</v>
      </c>
      <c r="J148" s="6">
        <v>22.68</v>
      </c>
      <c r="K148" s="6">
        <v>103.32</v>
      </c>
      <c r="L148" s="6" t="s">
        <v>24</v>
      </c>
      <c r="M148" s="6" t="s">
        <v>41</v>
      </c>
      <c r="N148" s="6" t="s">
        <v>98</v>
      </c>
      <c r="O148" s="12">
        <f t="shared" si="4"/>
        <v>0.23916666666666664</v>
      </c>
      <c r="P148" s="6" t="str">
        <f t="shared" si="5"/>
        <v>need improvement</v>
      </c>
    </row>
    <row r="149" spans="1:16" x14ac:dyDescent="0.3">
      <c r="A149" t="s">
        <v>430</v>
      </c>
      <c r="B149" s="6" t="s">
        <v>431</v>
      </c>
      <c r="C149" s="6" t="s">
        <v>162</v>
      </c>
      <c r="D149" s="6" t="s">
        <v>31</v>
      </c>
      <c r="E149" s="6" t="s">
        <v>67</v>
      </c>
      <c r="F149" s="6" t="s">
        <v>68</v>
      </c>
      <c r="G149" s="6">
        <v>5</v>
      </c>
      <c r="H149" s="6">
        <v>36.43</v>
      </c>
      <c r="I149" s="6">
        <v>182.15</v>
      </c>
      <c r="J149" s="6">
        <v>7.82</v>
      </c>
      <c r="K149" s="6">
        <v>61.83</v>
      </c>
      <c r="L149" s="6" t="s">
        <v>24</v>
      </c>
      <c r="M149" s="6" t="s">
        <v>41</v>
      </c>
      <c r="N149" s="6" t="s">
        <v>35</v>
      </c>
      <c r="O149" s="12">
        <f t="shared" si="4"/>
        <v>0.33944551194070821</v>
      </c>
      <c r="P149" s="6" t="str">
        <f t="shared" si="5"/>
        <v>need improvement</v>
      </c>
    </row>
    <row r="150" spans="1:16" x14ac:dyDescent="0.3">
      <c r="A150" t="s">
        <v>432</v>
      </c>
      <c r="B150" s="6" t="s">
        <v>433</v>
      </c>
      <c r="C150" s="6" t="s">
        <v>170</v>
      </c>
      <c r="D150" s="6" t="s">
        <v>51</v>
      </c>
      <c r="E150" s="6" t="s">
        <v>67</v>
      </c>
      <c r="F150" s="6" t="s">
        <v>68</v>
      </c>
      <c r="G150" s="6">
        <v>27</v>
      </c>
      <c r="H150" s="6">
        <v>38.39</v>
      </c>
      <c r="I150" s="6">
        <v>1036.53</v>
      </c>
      <c r="J150" s="6">
        <v>28.6</v>
      </c>
      <c r="K150" s="6">
        <v>400.43</v>
      </c>
      <c r="L150" s="6" t="s">
        <v>33</v>
      </c>
      <c r="M150" s="6" t="s">
        <v>25</v>
      </c>
      <c r="N150" s="6" t="s">
        <v>76</v>
      </c>
      <c r="O150" s="12">
        <f t="shared" si="4"/>
        <v>0.38631781038657831</v>
      </c>
      <c r="P150" s="6" t="str">
        <f t="shared" si="5"/>
        <v>need improvement</v>
      </c>
    </row>
    <row r="151" spans="1:16" x14ac:dyDescent="0.3">
      <c r="A151" t="s">
        <v>434</v>
      </c>
      <c r="B151" s="6" t="s">
        <v>435</v>
      </c>
      <c r="C151" s="6" t="s">
        <v>219</v>
      </c>
      <c r="D151" s="6" t="s">
        <v>45</v>
      </c>
      <c r="E151" s="6" t="s">
        <v>137</v>
      </c>
      <c r="F151" s="6" t="s">
        <v>68</v>
      </c>
      <c r="G151" s="6">
        <v>10</v>
      </c>
      <c r="H151" s="6">
        <v>47.5</v>
      </c>
      <c r="I151" s="6">
        <v>475</v>
      </c>
      <c r="J151" s="6">
        <v>15.95</v>
      </c>
      <c r="K151" s="6">
        <v>179.05</v>
      </c>
      <c r="L151" s="6" t="s">
        <v>24</v>
      </c>
      <c r="M151" s="6" t="s">
        <v>25</v>
      </c>
      <c r="N151" s="6" t="s">
        <v>49</v>
      </c>
      <c r="O151" s="12">
        <f t="shared" si="4"/>
        <v>0.37694736842105264</v>
      </c>
      <c r="P151" s="6" t="str">
        <f t="shared" si="5"/>
        <v>need improvement</v>
      </c>
    </row>
    <row r="152" spans="1:16" x14ac:dyDescent="0.3">
      <c r="A152" t="s">
        <v>436</v>
      </c>
      <c r="B152" s="6" t="s">
        <v>274</v>
      </c>
      <c r="C152" s="6" t="s">
        <v>437</v>
      </c>
      <c r="D152" s="6" t="s">
        <v>123</v>
      </c>
      <c r="E152" s="6" t="s">
        <v>46</v>
      </c>
      <c r="F152" s="6" t="s">
        <v>47</v>
      </c>
      <c r="G152" s="6">
        <v>47</v>
      </c>
      <c r="H152" s="6">
        <v>50.13</v>
      </c>
      <c r="I152" s="6">
        <v>2356.11</v>
      </c>
      <c r="J152" s="6">
        <v>166.22</v>
      </c>
      <c r="K152" s="6">
        <v>685.89</v>
      </c>
      <c r="L152" s="6" t="s">
        <v>24</v>
      </c>
      <c r="M152" s="6" t="s">
        <v>25</v>
      </c>
      <c r="N152" s="6" t="s">
        <v>76</v>
      </c>
      <c r="O152" s="12">
        <f t="shared" si="4"/>
        <v>0.29111119599679131</v>
      </c>
      <c r="P152" s="6" t="str">
        <f t="shared" si="5"/>
        <v>excellent</v>
      </c>
    </row>
    <row r="153" spans="1:16" x14ac:dyDescent="0.3">
      <c r="A153" t="s">
        <v>438</v>
      </c>
      <c r="B153" s="6" t="s">
        <v>439</v>
      </c>
      <c r="C153" s="6" t="s">
        <v>440</v>
      </c>
      <c r="D153" s="6" t="s">
        <v>62</v>
      </c>
      <c r="E153" s="6" t="s">
        <v>137</v>
      </c>
      <c r="F153" s="6" t="s">
        <v>68</v>
      </c>
      <c r="G153" s="6">
        <v>47</v>
      </c>
      <c r="H153" s="6">
        <v>42.25</v>
      </c>
      <c r="I153" s="6">
        <v>1985.75</v>
      </c>
      <c r="J153" s="6">
        <v>116.75</v>
      </c>
      <c r="K153" s="6">
        <v>553</v>
      </c>
      <c r="L153" s="6" t="s">
        <v>33</v>
      </c>
      <c r="M153" s="6" t="s">
        <v>25</v>
      </c>
      <c r="N153" s="6" t="s">
        <v>98</v>
      </c>
      <c r="O153" s="12">
        <f t="shared" si="4"/>
        <v>0.27848419992446177</v>
      </c>
      <c r="P153" s="6" t="str">
        <f t="shared" si="5"/>
        <v>need improvement</v>
      </c>
    </row>
    <row r="154" spans="1:16" x14ac:dyDescent="0.3">
      <c r="A154" t="s">
        <v>441</v>
      </c>
      <c r="B154" s="6" t="s">
        <v>121</v>
      </c>
      <c r="C154" s="6" t="s">
        <v>442</v>
      </c>
      <c r="D154" s="6" t="s">
        <v>51</v>
      </c>
      <c r="E154" s="6" t="s">
        <v>74</v>
      </c>
      <c r="F154" s="6" t="s">
        <v>75</v>
      </c>
      <c r="G154" s="6">
        <v>18</v>
      </c>
      <c r="H154" s="6">
        <v>38.26</v>
      </c>
      <c r="I154" s="6">
        <v>688.68</v>
      </c>
      <c r="J154" s="6">
        <v>18.78</v>
      </c>
      <c r="K154" s="6">
        <v>219.9</v>
      </c>
      <c r="L154" s="6" t="s">
        <v>33</v>
      </c>
      <c r="M154" s="6" t="s">
        <v>25</v>
      </c>
      <c r="N154" s="6" t="s">
        <v>76</v>
      </c>
      <c r="O154" s="12">
        <f t="shared" si="4"/>
        <v>0.31930649939013767</v>
      </c>
      <c r="P154" s="6" t="str">
        <f t="shared" si="5"/>
        <v>need improvement</v>
      </c>
    </row>
    <row r="155" spans="1:16" x14ac:dyDescent="0.3">
      <c r="A155" t="s">
        <v>443</v>
      </c>
      <c r="B155" s="6" t="s">
        <v>444</v>
      </c>
      <c r="C155" s="6" t="s">
        <v>140</v>
      </c>
      <c r="D155" s="6" t="s">
        <v>116</v>
      </c>
      <c r="E155" s="6" t="s">
        <v>137</v>
      </c>
      <c r="F155" s="6" t="s">
        <v>68</v>
      </c>
      <c r="G155" s="6">
        <v>31</v>
      </c>
      <c r="H155" s="6">
        <v>46.66</v>
      </c>
      <c r="I155" s="6">
        <v>1446.46</v>
      </c>
      <c r="J155" s="6">
        <v>109.24</v>
      </c>
      <c r="K155" s="6">
        <v>469.22</v>
      </c>
      <c r="L155" s="6" t="s">
        <v>24</v>
      </c>
      <c r="M155" s="6" t="s">
        <v>41</v>
      </c>
      <c r="N155" s="6" t="s">
        <v>76</v>
      </c>
      <c r="O155" s="12">
        <f t="shared" si="4"/>
        <v>0.32439196382893409</v>
      </c>
      <c r="P155" s="6" t="str">
        <f t="shared" si="5"/>
        <v>need improvement</v>
      </c>
    </row>
    <row r="156" spans="1:16" x14ac:dyDescent="0.3">
      <c r="A156" t="s">
        <v>445</v>
      </c>
      <c r="B156" s="6" t="s">
        <v>446</v>
      </c>
      <c r="C156" s="6" t="s">
        <v>447</v>
      </c>
      <c r="D156" s="6" t="s">
        <v>141</v>
      </c>
      <c r="E156" s="6" t="s">
        <v>46</v>
      </c>
      <c r="F156" s="6" t="s">
        <v>47</v>
      </c>
      <c r="G156" s="6">
        <v>41</v>
      </c>
      <c r="H156" s="6">
        <v>52.65</v>
      </c>
      <c r="I156" s="6">
        <v>2158.65</v>
      </c>
      <c r="J156" s="6">
        <v>110.1</v>
      </c>
      <c r="K156" s="6">
        <v>736.55</v>
      </c>
      <c r="L156" s="6" t="s">
        <v>33</v>
      </c>
      <c r="M156" s="6" t="s">
        <v>41</v>
      </c>
      <c r="N156" s="6" t="s">
        <v>142</v>
      </c>
      <c r="O156" s="12">
        <f t="shared" si="4"/>
        <v>0.34120862576147126</v>
      </c>
      <c r="P156" s="6" t="str">
        <f t="shared" si="5"/>
        <v>excellent</v>
      </c>
    </row>
    <row r="157" spans="1:16" x14ac:dyDescent="0.3">
      <c r="A157" t="s">
        <v>448</v>
      </c>
      <c r="B157" s="6" t="s">
        <v>449</v>
      </c>
      <c r="C157" s="6" t="s">
        <v>185</v>
      </c>
      <c r="D157" s="6" t="s">
        <v>127</v>
      </c>
      <c r="E157" s="6" t="s">
        <v>32</v>
      </c>
      <c r="F157" s="6" t="s">
        <v>23</v>
      </c>
      <c r="G157" s="6">
        <v>28</v>
      </c>
      <c r="H157" s="6">
        <v>22.66</v>
      </c>
      <c r="I157" s="6">
        <v>634.48</v>
      </c>
      <c r="J157" s="6">
        <v>15.55</v>
      </c>
      <c r="K157" s="6">
        <v>114.93</v>
      </c>
      <c r="L157" s="6" t="s">
        <v>48</v>
      </c>
      <c r="M157" s="6" t="s">
        <v>25</v>
      </c>
      <c r="N157" s="6" t="s">
        <v>76</v>
      </c>
      <c r="O157" s="12">
        <f t="shared" si="4"/>
        <v>0.1811404614802673</v>
      </c>
      <c r="P157" s="6" t="str">
        <f t="shared" si="5"/>
        <v>good</v>
      </c>
    </row>
    <row r="158" spans="1:16" x14ac:dyDescent="0.3">
      <c r="A158" t="s">
        <v>450</v>
      </c>
      <c r="B158" s="6" t="s">
        <v>451</v>
      </c>
      <c r="C158" s="6" t="s">
        <v>428</v>
      </c>
      <c r="D158" s="6" t="s">
        <v>62</v>
      </c>
      <c r="E158" s="6" t="s">
        <v>81</v>
      </c>
      <c r="F158" s="6" t="s">
        <v>68</v>
      </c>
      <c r="G158" s="6">
        <v>48</v>
      </c>
      <c r="H158" s="6">
        <v>25.07</v>
      </c>
      <c r="I158" s="6">
        <v>1203.3599999999999</v>
      </c>
      <c r="J158" s="6">
        <v>29.93</v>
      </c>
      <c r="K158" s="6">
        <v>429.43</v>
      </c>
      <c r="L158" s="6" t="s">
        <v>33</v>
      </c>
      <c r="M158" s="6" t="s">
        <v>34</v>
      </c>
      <c r="N158" s="6" t="s">
        <v>98</v>
      </c>
      <c r="O158" s="12">
        <f t="shared" si="4"/>
        <v>0.35685912777556178</v>
      </c>
      <c r="P158" s="6" t="str">
        <f t="shared" si="5"/>
        <v>need improvement</v>
      </c>
    </row>
    <row r="159" spans="1:16" x14ac:dyDescent="0.3">
      <c r="A159" t="s">
        <v>452</v>
      </c>
      <c r="B159" s="6" t="s">
        <v>240</v>
      </c>
      <c r="C159" s="6" t="s">
        <v>44</v>
      </c>
      <c r="D159" s="6" t="s">
        <v>45</v>
      </c>
      <c r="E159" s="6" t="s">
        <v>32</v>
      </c>
      <c r="F159" s="6" t="s">
        <v>23</v>
      </c>
      <c r="G159" s="6">
        <v>31</v>
      </c>
      <c r="H159" s="6">
        <v>30.53</v>
      </c>
      <c r="I159" s="6">
        <v>946.43</v>
      </c>
      <c r="J159" s="6">
        <v>72.150000000000006</v>
      </c>
      <c r="K159" s="6">
        <v>316.27999999999997</v>
      </c>
      <c r="L159" s="6" t="s">
        <v>48</v>
      </c>
      <c r="M159" s="6" t="s">
        <v>34</v>
      </c>
      <c r="N159" s="6" t="s">
        <v>49</v>
      </c>
      <c r="O159" s="12">
        <f t="shared" si="4"/>
        <v>0.33418213708356664</v>
      </c>
      <c r="P159" s="6" t="str">
        <f t="shared" si="5"/>
        <v>need improvement</v>
      </c>
    </row>
    <row r="160" spans="1:16" x14ac:dyDescent="0.3">
      <c r="A160" t="s">
        <v>453</v>
      </c>
      <c r="B160" s="6" t="s">
        <v>454</v>
      </c>
      <c r="C160" s="6" t="s">
        <v>455</v>
      </c>
      <c r="D160" s="6" t="s">
        <v>141</v>
      </c>
      <c r="E160" s="6" t="s">
        <v>67</v>
      </c>
      <c r="F160" s="6" t="s">
        <v>68</v>
      </c>
      <c r="G160" s="6">
        <v>33</v>
      </c>
      <c r="H160" s="6">
        <v>31</v>
      </c>
      <c r="I160" s="6">
        <v>1023</v>
      </c>
      <c r="J160" s="6">
        <v>63.94</v>
      </c>
      <c r="K160" s="6">
        <v>216.56</v>
      </c>
      <c r="L160" s="6" t="s">
        <v>33</v>
      </c>
      <c r="M160" s="6" t="s">
        <v>25</v>
      </c>
      <c r="N160" s="6" t="s">
        <v>142</v>
      </c>
      <c r="O160" s="12">
        <f t="shared" si="4"/>
        <v>0.21169110459433041</v>
      </c>
      <c r="P160" s="6" t="str">
        <f t="shared" si="5"/>
        <v>need improvement</v>
      </c>
    </row>
    <row r="161" spans="1:16" x14ac:dyDescent="0.3">
      <c r="A161" t="s">
        <v>456</v>
      </c>
      <c r="B161" s="6" t="s">
        <v>457</v>
      </c>
      <c r="C161" s="6" t="s">
        <v>191</v>
      </c>
      <c r="D161" s="6" t="s">
        <v>31</v>
      </c>
      <c r="E161" s="6" t="s">
        <v>81</v>
      </c>
      <c r="F161" s="6" t="s">
        <v>68</v>
      </c>
      <c r="G161" s="6">
        <v>32</v>
      </c>
      <c r="H161" s="6">
        <v>20.86</v>
      </c>
      <c r="I161" s="6">
        <v>667.52</v>
      </c>
      <c r="J161" s="6">
        <v>21.62</v>
      </c>
      <c r="K161" s="6">
        <v>149.9</v>
      </c>
      <c r="L161" s="6" t="s">
        <v>48</v>
      </c>
      <c r="M161" s="6" t="s">
        <v>41</v>
      </c>
      <c r="N161" s="6" t="s">
        <v>35</v>
      </c>
      <c r="O161" s="12">
        <f t="shared" si="4"/>
        <v>0.22456255992329818</v>
      </c>
      <c r="P161" s="6" t="str">
        <f t="shared" si="5"/>
        <v>need improvement</v>
      </c>
    </row>
    <row r="162" spans="1:16" x14ac:dyDescent="0.3">
      <c r="A162" t="s">
        <v>458</v>
      </c>
      <c r="B162" s="6" t="s">
        <v>330</v>
      </c>
      <c r="C162" s="6" t="s">
        <v>222</v>
      </c>
      <c r="D162" s="6" t="s">
        <v>241</v>
      </c>
      <c r="E162" s="6" t="s">
        <v>63</v>
      </c>
      <c r="F162" s="6" t="s">
        <v>47</v>
      </c>
      <c r="G162" s="6">
        <v>18</v>
      </c>
      <c r="H162" s="6">
        <v>24.61</v>
      </c>
      <c r="I162" s="6">
        <v>442.98</v>
      </c>
      <c r="J162" s="6">
        <v>26.99</v>
      </c>
      <c r="K162" s="6">
        <v>55.99</v>
      </c>
      <c r="L162" s="6" t="s">
        <v>48</v>
      </c>
      <c r="M162" s="6" t="s">
        <v>25</v>
      </c>
      <c r="N162" s="6" t="s">
        <v>35</v>
      </c>
      <c r="O162" s="12">
        <f t="shared" si="4"/>
        <v>0.12639396812497178</v>
      </c>
      <c r="P162" s="6" t="str">
        <f t="shared" si="5"/>
        <v>good</v>
      </c>
    </row>
    <row r="163" spans="1:16" x14ac:dyDescent="0.3">
      <c r="A163" t="s">
        <v>459</v>
      </c>
      <c r="B163" s="6" t="s">
        <v>460</v>
      </c>
      <c r="C163" s="6" t="s">
        <v>154</v>
      </c>
      <c r="D163" s="6" t="s">
        <v>116</v>
      </c>
      <c r="E163" s="6" t="s">
        <v>56</v>
      </c>
      <c r="F163" s="6" t="s">
        <v>57</v>
      </c>
      <c r="G163" s="6">
        <v>18</v>
      </c>
      <c r="H163" s="6">
        <v>64.83</v>
      </c>
      <c r="I163" s="6">
        <v>1166.94</v>
      </c>
      <c r="J163" s="6">
        <v>34.28</v>
      </c>
      <c r="K163" s="6">
        <v>412.66</v>
      </c>
      <c r="L163" s="6" t="s">
        <v>48</v>
      </c>
      <c r="M163" s="6" t="s">
        <v>25</v>
      </c>
      <c r="N163" s="6" t="s">
        <v>76</v>
      </c>
      <c r="O163" s="12">
        <f t="shared" si="4"/>
        <v>0.35362572197370901</v>
      </c>
      <c r="P163" s="6" t="str">
        <f t="shared" si="5"/>
        <v>need improvement</v>
      </c>
    </row>
    <row r="164" spans="1:16" x14ac:dyDescent="0.3">
      <c r="A164" t="s">
        <v>461</v>
      </c>
      <c r="B164" s="6" t="s">
        <v>133</v>
      </c>
      <c r="C164" s="6" t="s">
        <v>462</v>
      </c>
      <c r="D164" s="6" t="s">
        <v>62</v>
      </c>
      <c r="E164" s="6" t="s">
        <v>63</v>
      </c>
      <c r="F164" s="6" t="s">
        <v>47</v>
      </c>
      <c r="G164" s="6">
        <v>49</v>
      </c>
      <c r="H164" s="6">
        <v>29.52</v>
      </c>
      <c r="I164" s="6">
        <v>1446.48</v>
      </c>
      <c r="J164" s="6">
        <v>104.7</v>
      </c>
      <c r="K164" s="6">
        <v>361.78</v>
      </c>
      <c r="L164" s="6" t="s">
        <v>48</v>
      </c>
      <c r="M164" s="6" t="s">
        <v>41</v>
      </c>
      <c r="N164" s="6" t="s">
        <v>98</v>
      </c>
      <c r="O164" s="12">
        <f t="shared" si="4"/>
        <v>0.25011061335103146</v>
      </c>
      <c r="P164" s="6" t="str">
        <f t="shared" si="5"/>
        <v>need improvement</v>
      </c>
    </row>
    <row r="165" spans="1:16" x14ac:dyDescent="0.3">
      <c r="A165" t="s">
        <v>463</v>
      </c>
      <c r="B165" s="6" t="s">
        <v>464</v>
      </c>
      <c r="C165" s="6" t="s">
        <v>465</v>
      </c>
      <c r="D165" s="6" t="s">
        <v>141</v>
      </c>
      <c r="E165" s="6" t="s">
        <v>63</v>
      </c>
      <c r="F165" s="6" t="s">
        <v>47</v>
      </c>
      <c r="G165" s="6">
        <v>10</v>
      </c>
      <c r="H165" s="6">
        <v>26.73</v>
      </c>
      <c r="I165" s="6">
        <v>267.3</v>
      </c>
      <c r="J165" s="6">
        <v>10.210000000000001</v>
      </c>
      <c r="K165" s="6">
        <v>57.09</v>
      </c>
      <c r="L165" s="6" t="s">
        <v>48</v>
      </c>
      <c r="M165" s="6" t="s">
        <v>41</v>
      </c>
      <c r="N165" s="6" t="s">
        <v>142</v>
      </c>
      <c r="O165" s="12">
        <f t="shared" si="4"/>
        <v>0.21358024691358024</v>
      </c>
      <c r="P165" s="6" t="str">
        <f t="shared" si="5"/>
        <v>need improvement</v>
      </c>
    </row>
    <row r="166" spans="1:16" x14ac:dyDescent="0.3">
      <c r="A166" t="s">
        <v>466</v>
      </c>
      <c r="B166" s="6" t="s">
        <v>467</v>
      </c>
      <c r="C166" s="6" t="s">
        <v>85</v>
      </c>
      <c r="D166" s="6" t="s">
        <v>31</v>
      </c>
      <c r="E166" s="6" t="s">
        <v>46</v>
      </c>
      <c r="F166" s="6" t="s">
        <v>47</v>
      </c>
      <c r="G166" s="6">
        <v>10</v>
      </c>
      <c r="H166" s="6">
        <v>54.45</v>
      </c>
      <c r="I166" s="6">
        <v>544.5</v>
      </c>
      <c r="J166" s="6">
        <v>16.59</v>
      </c>
      <c r="K166" s="6">
        <v>207.91</v>
      </c>
      <c r="L166" s="6" t="s">
        <v>24</v>
      </c>
      <c r="M166" s="6" t="s">
        <v>25</v>
      </c>
      <c r="N166" s="6" t="s">
        <v>35</v>
      </c>
      <c r="O166" s="12">
        <f t="shared" si="4"/>
        <v>0.38183654729109273</v>
      </c>
      <c r="P166" s="6" t="str">
        <f t="shared" si="5"/>
        <v>need improvement</v>
      </c>
    </row>
    <row r="167" spans="1:16" x14ac:dyDescent="0.3">
      <c r="A167" t="s">
        <v>468</v>
      </c>
      <c r="B167" s="6" t="s">
        <v>469</v>
      </c>
      <c r="C167" s="6" t="s">
        <v>85</v>
      </c>
      <c r="D167" s="6" t="s">
        <v>70</v>
      </c>
      <c r="E167" s="6" t="s">
        <v>32</v>
      </c>
      <c r="F167" s="6" t="s">
        <v>23</v>
      </c>
      <c r="G167" s="6">
        <v>46</v>
      </c>
      <c r="H167" s="6">
        <v>30.06</v>
      </c>
      <c r="I167" s="6">
        <v>1382.76</v>
      </c>
      <c r="J167" s="6">
        <v>77.17</v>
      </c>
      <c r="K167" s="6">
        <v>477.59</v>
      </c>
      <c r="L167" s="6" t="s">
        <v>33</v>
      </c>
      <c r="M167" s="6" t="s">
        <v>34</v>
      </c>
      <c r="N167" s="6" t="s">
        <v>76</v>
      </c>
      <c r="O167" s="12">
        <f t="shared" si="4"/>
        <v>0.34538893228036677</v>
      </c>
      <c r="P167" s="6" t="str">
        <f t="shared" si="5"/>
        <v>need improvement</v>
      </c>
    </row>
    <row r="168" spans="1:16" x14ac:dyDescent="0.3">
      <c r="A168" t="s">
        <v>470</v>
      </c>
      <c r="B168" s="6" t="s">
        <v>118</v>
      </c>
      <c r="C168" s="6" t="s">
        <v>471</v>
      </c>
      <c r="D168" s="6" t="s">
        <v>62</v>
      </c>
      <c r="E168" s="6" t="s">
        <v>81</v>
      </c>
      <c r="F168" s="6" t="s">
        <v>68</v>
      </c>
      <c r="G168" s="6">
        <v>25</v>
      </c>
      <c r="H168" s="6">
        <v>21.52</v>
      </c>
      <c r="I168" s="6">
        <v>538</v>
      </c>
      <c r="J168" s="6">
        <v>26.73</v>
      </c>
      <c r="K168" s="6">
        <v>123.77</v>
      </c>
      <c r="L168" s="6" t="s">
        <v>33</v>
      </c>
      <c r="M168" s="6" t="s">
        <v>25</v>
      </c>
      <c r="N168" s="6" t="s">
        <v>98</v>
      </c>
      <c r="O168" s="12">
        <f t="shared" si="4"/>
        <v>0.23005576208178438</v>
      </c>
      <c r="P168" s="6" t="str">
        <f t="shared" si="5"/>
        <v>need improvement</v>
      </c>
    </row>
    <row r="169" spans="1:16" x14ac:dyDescent="0.3">
      <c r="A169" t="s">
        <v>472</v>
      </c>
      <c r="B169" s="6" t="s">
        <v>473</v>
      </c>
      <c r="C169" s="6" t="s">
        <v>334</v>
      </c>
      <c r="D169" s="6" t="s">
        <v>70</v>
      </c>
      <c r="E169" s="6" t="s">
        <v>32</v>
      </c>
      <c r="F169" s="6" t="s">
        <v>23</v>
      </c>
      <c r="G169" s="6">
        <v>5</v>
      </c>
      <c r="H169" s="6">
        <v>26.25</v>
      </c>
      <c r="I169" s="6">
        <v>131.25</v>
      </c>
      <c r="J169" s="6">
        <v>3.35</v>
      </c>
      <c r="K169" s="6">
        <v>37.9</v>
      </c>
      <c r="L169" s="6" t="s">
        <v>33</v>
      </c>
      <c r="M169" s="6" t="s">
        <v>34</v>
      </c>
      <c r="N169" s="6" t="s">
        <v>76</v>
      </c>
      <c r="O169" s="12">
        <f t="shared" si="4"/>
        <v>0.28876190476190478</v>
      </c>
      <c r="P169" s="6" t="str">
        <f t="shared" si="5"/>
        <v>need improvement</v>
      </c>
    </row>
    <row r="170" spans="1:16" x14ac:dyDescent="0.3">
      <c r="A170" t="s">
        <v>474</v>
      </c>
      <c r="B170" s="6" t="s">
        <v>281</v>
      </c>
      <c r="C170" s="6" t="s">
        <v>475</v>
      </c>
      <c r="D170" s="6" t="s">
        <v>31</v>
      </c>
      <c r="E170" s="6" t="s">
        <v>74</v>
      </c>
      <c r="F170" s="6" t="s">
        <v>75</v>
      </c>
      <c r="G170" s="6">
        <v>10</v>
      </c>
      <c r="H170" s="6">
        <v>31.48</v>
      </c>
      <c r="I170" s="6">
        <v>314.8</v>
      </c>
      <c r="J170" s="6">
        <v>10.23</v>
      </c>
      <c r="K170" s="6">
        <v>54.57</v>
      </c>
      <c r="L170" s="6" t="s">
        <v>48</v>
      </c>
      <c r="M170" s="6" t="s">
        <v>41</v>
      </c>
      <c r="N170" s="6" t="s">
        <v>35</v>
      </c>
      <c r="O170" s="12">
        <f t="shared" si="4"/>
        <v>0.17334815756035576</v>
      </c>
      <c r="P170" s="6" t="str">
        <f t="shared" si="5"/>
        <v>good</v>
      </c>
    </row>
    <row r="171" spans="1:16" x14ac:dyDescent="0.3">
      <c r="A171" t="s">
        <v>476</v>
      </c>
      <c r="B171" s="6" t="s">
        <v>477</v>
      </c>
      <c r="C171" s="6" t="s">
        <v>177</v>
      </c>
      <c r="D171" s="6" t="s">
        <v>45</v>
      </c>
      <c r="E171" s="6" t="s">
        <v>63</v>
      </c>
      <c r="F171" s="6" t="s">
        <v>47</v>
      </c>
      <c r="G171" s="6">
        <v>21</v>
      </c>
      <c r="H171" s="6">
        <v>30.91</v>
      </c>
      <c r="I171" s="6">
        <v>649.11</v>
      </c>
      <c r="J171" s="6">
        <v>38.42</v>
      </c>
      <c r="K171" s="6">
        <v>190.69</v>
      </c>
      <c r="L171" s="6" t="s">
        <v>33</v>
      </c>
      <c r="M171" s="6" t="s">
        <v>41</v>
      </c>
      <c r="N171" s="6" t="s">
        <v>49</v>
      </c>
      <c r="O171" s="12">
        <f t="shared" si="4"/>
        <v>0.29377147170741474</v>
      </c>
      <c r="P171" s="6" t="str">
        <f t="shared" si="5"/>
        <v>need improvement</v>
      </c>
    </row>
    <row r="172" spans="1:16" x14ac:dyDescent="0.3">
      <c r="A172" t="s">
        <v>478</v>
      </c>
      <c r="B172" s="6" t="s">
        <v>479</v>
      </c>
      <c r="C172" s="6" t="s">
        <v>480</v>
      </c>
      <c r="D172" s="6" t="s">
        <v>116</v>
      </c>
      <c r="E172" s="6" t="s">
        <v>86</v>
      </c>
      <c r="F172" s="6" t="s">
        <v>47</v>
      </c>
      <c r="G172" s="6">
        <v>29</v>
      </c>
      <c r="H172" s="6">
        <v>18.47</v>
      </c>
      <c r="I172" s="6">
        <v>535.63</v>
      </c>
      <c r="J172" s="6">
        <v>13.21</v>
      </c>
      <c r="K172" s="6">
        <v>152.66999999999999</v>
      </c>
      <c r="L172" s="6" t="s">
        <v>24</v>
      </c>
      <c r="M172" s="6" t="s">
        <v>25</v>
      </c>
      <c r="N172" s="6" t="s">
        <v>76</v>
      </c>
      <c r="O172" s="12">
        <f t="shared" si="4"/>
        <v>0.28502884453820732</v>
      </c>
      <c r="P172" s="6" t="str">
        <f t="shared" si="5"/>
        <v>need improvement</v>
      </c>
    </row>
    <row r="173" spans="1:16" x14ac:dyDescent="0.3">
      <c r="A173" t="s">
        <v>481</v>
      </c>
      <c r="B173" s="6" t="s">
        <v>482</v>
      </c>
      <c r="C173" s="6" t="s">
        <v>185</v>
      </c>
      <c r="D173" s="6" t="s">
        <v>62</v>
      </c>
      <c r="E173" s="6" t="s">
        <v>22</v>
      </c>
      <c r="F173" s="6" t="s">
        <v>23</v>
      </c>
      <c r="G173" s="6">
        <v>36</v>
      </c>
      <c r="H173" s="6">
        <v>44.79</v>
      </c>
      <c r="I173" s="6">
        <v>1612.44</v>
      </c>
      <c r="J173" s="6">
        <v>68.599999999999994</v>
      </c>
      <c r="K173" s="6">
        <v>283.83999999999997</v>
      </c>
      <c r="L173" s="6" t="s">
        <v>48</v>
      </c>
      <c r="M173" s="6" t="s">
        <v>34</v>
      </c>
      <c r="N173" s="6" t="s">
        <v>98</v>
      </c>
      <c r="O173" s="12">
        <f t="shared" si="4"/>
        <v>0.1760313562055022</v>
      </c>
      <c r="P173" s="6" t="str">
        <f t="shared" si="5"/>
        <v>good</v>
      </c>
    </row>
    <row r="174" spans="1:16" x14ac:dyDescent="0.3">
      <c r="A174" t="s">
        <v>483</v>
      </c>
      <c r="B174" s="6" t="s">
        <v>484</v>
      </c>
      <c r="C174" s="6" t="s">
        <v>485</v>
      </c>
      <c r="D174" s="6" t="s">
        <v>45</v>
      </c>
      <c r="E174" s="6" t="s">
        <v>81</v>
      </c>
      <c r="F174" s="6" t="s">
        <v>68</v>
      </c>
      <c r="G174" s="6">
        <v>3</v>
      </c>
      <c r="H174" s="6">
        <v>18.86</v>
      </c>
      <c r="I174" s="6">
        <v>56.58</v>
      </c>
      <c r="J174" s="6">
        <v>2.61</v>
      </c>
      <c r="K174" s="6">
        <v>7.47</v>
      </c>
      <c r="L174" s="6" t="s">
        <v>33</v>
      </c>
      <c r="M174" s="6" t="s">
        <v>41</v>
      </c>
      <c r="N174" s="6" t="s">
        <v>49</v>
      </c>
      <c r="O174" s="12">
        <f t="shared" si="4"/>
        <v>0.1320254506892895</v>
      </c>
      <c r="P174" s="6" t="str">
        <f t="shared" si="5"/>
        <v>good</v>
      </c>
    </row>
    <row r="175" spans="1:16" x14ac:dyDescent="0.3">
      <c r="A175" t="s">
        <v>486</v>
      </c>
      <c r="B175" s="6" t="s">
        <v>311</v>
      </c>
      <c r="C175" s="6" t="s">
        <v>66</v>
      </c>
      <c r="D175" s="6" t="s">
        <v>51</v>
      </c>
      <c r="E175" s="6" t="s">
        <v>137</v>
      </c>
      <c r="F175" s="6" t="s">
        <v>68</v>
      </c>
      <c r="G175" s="6">
        <v>10</v>
      </c>
      <c r="H175" s="6">
        <v>45.86</v>
      </c>
      <c r="I175" s="6">
        <v>458.6</v>
      </c>
      <c r="J175" s="6">
        <v>14.4</v>
      </c>
      <c r="K175" s="6">
        <v>164.2</v>
      </c>
      <c r="L175" s="6" t="s">
        <v>48</v>
      </c>
      <c r="M175" s="6" t="s">
        <v>25</v>
      </c>
      <c r="N175" s="6" t="s">
        <v>76</v>
      </c>
      <c r="O175" s="12">
        <f t="shared" si="4"/>
        <v>0.35804622764936761</v>
      </c>
      <c r="P175" s="6" t="str">
        <f t="shared" si="5"/>
        <v>need improvement</v>
      </c>
    </row>
    <row r="176" spans="1:16" x14ac:dyDescent="0.3">
      <c r="A176" t="s">
        <v>487</v>
      </c>
      <c r="B176" s="6" t="s">
        <v>488</v>
      </c>
      <c r="C176" s="6" t="s">
        <v>485</v>
      </c>
      <c r="D176" s="6" t="s">
        <v>37</v>
      </c>
      <c r="E176" s="6" t="s">
        <v>32</v>
      </c>
      <c r="F176" s="6" t="s">
        <v>23</v>
      </c>
      <c r="G176" s="6">
        <v>1</v>
      </c>
      <c r="H176" s="6">
        <v>24.64</v>
      </c>
      <c r="I176" s="6">
        <v>24.64</v>
      </c>
      <c r="J176" s="6">
        <v>0.65</v>
      </c>
      <c r="K176" s="6">
        <v>5.99</v>
      </c>
      <c r="L176" s="6" t="s">
        <v>48</v>
      </c>
      <c r="M176" s="6" t="s">
        <v>34</v>
      </c>
      <c r="N176" s="6" t="s">
        <v>35</v>
      </c>
      <c r="O176" s="12">
        <f t="shared" si="4"/>
        <v>0.24310064935064934</v>
      </c>
      <c r="P176" s="6" t="str">
        <f t="shared" si="5"/>
        <v>need improvement</v>
      </c>
    </row>
    <row r="177" spans="1:16" x14ac:dyDescent="0.3">
      <c r="A177" t="s">
        <v>489</v>
      </c>
      <c r="B177" s="6" t="s">
        <v>347</v>
      </c>
      <c r="C177" s="6" t="s">
        <v>246</v>
      </c>
      <c r="D177" s="6" t="s">
        <v>37</v>
      </c>
      <c r="E177" s="6" t="s">
        <v>81</v>
      </c>
      <c r="F177" s="6" t="s">
        <v>68</v>
      </c>
      <c r="G177" s="6">
        <v>49</v>
      </c>
      <c r="H177" s="6">
        <v>22.8</v>
      </c>
      <c r="I177" s="6">
        <v>1117.2</v>
      </c>
      <c r="J177" s="6">
        <v>51.06</v>
      </c>
      <c r="K177" s="6">
        <v>306.64</v>
      </c>
      <c r="L177" s="6" t="s">
        <v>24</v>
      </c>
      <c r="M177" s="6" t="s">
        <v>34</v>
      </c>
      <c r="N177" s="6" t="s">
        <v>35</v>
      </c>
      <c r="O177" s="12">
        <f t="shared" si="4"/>
        <v>0.27447189402076616</v>
      </c>
      <c r="P177" s="6" t="str">
        <f t="shared" si="5"/>
        <v>need improvement</v>
      </c>
    </row>
    <row r="178" spans="1:16" x14ac:dyDescent="0.3">
      <c r="A178" t="s">
        <v>490</v>
      </c>
      <c r="B178" s="6" t="s">
        <v>491</v>
      </c>
      <c r="C178" s="6" t="s">
        <v>307</v>
      </c>
      <c r="D178" s="6" t="s">
        <v>62</v>
      </c>
      <c r="E178" s="6" t="s">
        <v>22</v>
      </c>
      <c r="F178" s="6" t="s">
        <v>23</v>
      </c>
      <c r="G178" s="6">
        <v>32</v>
      </c>
      <c r="H178" s="6">
        <v>44.5</v>
      </c>
      <c r="I178" s="6">
        <v>1424</v>
      </c>
      <c r="J178" s="6">
        <v>43.92</v>
      </c>
      <c r="K178" s="6">
        <v>260.08</v>
      </c>
      <c r="L178" s="6" t="s">
        <v>48</v>
      </c>
      <c r="M178" s="6" t="s">
        <v>34</v>
      </c>
      <c r="N178" s="6" t="s">
        <v>98</v>
      </c>
      <c r="O178" s="12">
        <f t="shared" si="4"/>
        <v>0.18264044943820223</v>
      </c>
      <c r="P178" s="6" t="str">
        <f t="shared" si="5"/>
        <v>good</v>
      </c>
    </row>
    <row r="179" spans="1:16" x14ac:dyDescent="0.3">
      <c r="A179" t="s">
        <v>492</v>
      </c>
      <c r="B179" s="6" t="s">
        <v>493</v>
      </c>
      <c r="C179" s="6" t="s">
        <v>331</v>
      </c>
      <c r="D179" s="6" t="s">
        <v>45</v>
      </c>
      <c r="E179" s="6" t="s">
        <v>22</v>
      </c>
      <c r="F179" s="6" t="s">
        <v>23</v>
      </c>
      <c r="G179" s="6">
        <v>43</v>
      </c>
      <c r="H179" s="6">
        <v>55.74</v>
      </c>
      <c r="I179" s="6">
        <v>2396.8200000000002</v>
      </c>
      <c r="J179" s="6">
        <v>63.85</v>
      </c>
      <c r="K179" s="6">
        <v>827.97</v>
      </c>
      <c r="L179" s="6" t="s">
        <v>33</v>
      </c>
      <c r="M179" s="6" t="s">
        <v>41</v>
      </c>
      <c r="N179" s="6" t="s">
        <v>49</v>
      </c>
      <c r="O179" s="12">
        <f t="shared" si="4"/>
        <v>0.34544521490975544</v>
      </c>
      <c r="P179" s="6" t="str">
        <f t="shared" si="5"/>
        <v>excellent</v>
      </c>
    </row>
    <row r="180" spans="1:16" x14ac:dyDescent="0.3">
      <c r="A180" t="s">
        <v>494</v>
      </c>
      <c r="B180" s="6" t="s">
        <v>495</v>
      </c>
      <c r="C180" s="6" t="s">
        <v>170</v>
      </c>
      <c r="D180" s="6" t="s">
        <v>116</v>
      </c>
      <c r="E180" s="6" t="s">
        <v>81</v>
      </c>
      <c r="F180" s="6" t="s">
        <v>68</v>
      </c>
      <c r="G180" s="6">
        <v>19</v>
      </c>
      <c r="H180" s="6">
        <v>25.78</v>
      </c>
      <c r="I180" s="6">
        <v>489.82</v>
      </c>
      <c r="J180" s="6">
        <v>28.4</v>
      </c>
      <c r="K180" s="6">
        <v>166.92</v>
      </c>
      <c r="L180" s="6" t="s">
        <v>48</v>
      </c>
      <c r="M180" s="6" t="s">
        <v>34</v>
      </c>
      <c r="N180" s="6" t="s">
        <v>76</v>
      </c>
      <c r="O180" s="12">
        <f t="shared" si="4"/>
        <v>0.3407782450696174</v>
      </c>
      <c r="P180" s="6" t="str">
        <f t="shared" si="5"/>
        <v>need improvement</v>
      </c>
    </row>
    <row r="181" spans="1:16" x14ac:dyDescent="0.3">
      <c r="A181" t="s">
        <v>496</v>
      </c>
      <c r="B181" s="6" t="s">
        <v>497</v>
      </c>
      <c r="C181" s="6" t="s">
        <v>391</v>
      </c>
      <c r="D181" s="6" t="s">
        <v>62</v>
      </c>
      <c r="E181" s="6" t="s">
        <v>32</v>
      </c>
      <c r="F181" s="6" t="s">
        <v>23</v>
      </c>
      <c r="G181" s="6">
        <v>43</v>
      </c>
      <c r="H181" s="6">
        <v>30.43</v>
      </c>
      <c r="I181" s="6">
        <v>1308.49</v>
      </c>
      <c r="J181" s="6">
        <v>35.340000000000003</v>
      </c>
      <c r="K181" s="6">
        <v>499.15</v>
      </c>
      <c r="L181" s="6" t="s">
        <v>33</v>
      </c>
      <c r="M181" s="6" t="s">
        <v>34</v>
      </c>
      <c r="N181" s="6" t="s">
        <v>98</v>
      </c>
      <c r="O181" s="12">
        <f t="shared" si="4"/>
        <v>0.38147024432743082</v>
      </c>
      <c r="P181" s="6" t="str">
        <f t="shared" si="5"/>
        <v>need improvement</v>
      </c>
    </row>
    <row r="182" spans="1:16" x14ac:dyDescent="0.3">
      <c r="A182" t="s">
        <v>498</v>
      </c>
      <c r="B182" s="6" t="s">
        <v>454</v>
      </c>
      <c r="C182" s="6" t="s">
        <v>499</v>
      </c>
      <c r="D182" s="6" t="s">
        <v>171</v>
      </c>
      <c r="E182" s="6" t="s">
        <v>81</v>
      </c>
      <c r="F182" s="6" t="s">
        <v>68</v>
      </c>
      <c r="G182" s="6">
        <v>17</v>
      </c>
      <c r="H182" s="6">
        <v>18.71</v>
      </c>
      <c r="I182" s="6">
        <v>318.07</v>
      </c>
      <c r="J182" s="6">
        <v>22.03</v>
      </c>
      <c r="K182" s="6">
        <v>32.54</v>
      </c>
      <c r="L182" s="6" t="s">
        <v>48</v>
      </c>
      <c r="M182" s="6" t="s">
        <v>25</v>
      </c>
      <c r="N182" s="6" t="s">
        <v>35</v>
      </c>
      <c r="O182" s="12">
        <f t="shared" si="4"/>
        <v>0.10230452416134814</v>
      </c>
      <c r="P182" s="6" t="str">
        <f t="shared" si="5"/>
        <v>good</v>
      </c>
    </row>
    <row r="183" spans="1:16" x14ac:dyDescent="0.3">
      <c r="A183" t="s">
        <v>500</v>
      </c>
      <c r="B183" s="6" t="s">
        <v>268</v>
      </c>
      <c r="C183" s="6" t="s">
        <v>54</v>
      </c>
      <c r="D183" s="6" t="s">
        <v>51</v>
      </c>
      <c r="E183" s="6" t="s">
        <v>81</v>
      </c>
      <c r="F183" s="6" t="s">
        <v>68</v>
      </c>
      <c r="G183" s="6">
        <v>44</v>
      </c>
      <c r="H183" s="6">
        <v>23.87</v>
      </c>
      <c r="I183" s="6">
        <v>1050.28</v>
      </c>
      <c r="J183" s="6">
        <v>33.51</v>
      </c>
      <c r="K183" s="6">
        <v>334.77</v>
      </c>
      <c r="L183" s="6" t="s">
        <v>24</v>
      </c>
      <c r="M183" s="6" t="s">
        <v>34</v>
      </c>
      <c r="N183" s="6" t="s">
        <v>76</v>
      </c>
      <c r="O183" s="12">
        <f t="shared" si="4"/>
        <v>0.31874357314240009</v>
      </c>
      <c r="P183" s="6" t="str">
        <f t="shared" si="5"/>
        <v>need improvement</v>
      </c>
    </row>
    <row r="184" spans="1:16" x14ac:dyDescent="0.3">
      <c r="A184" t="s">
        <v>501</v>
      </c>
      <c r="B184" s="6" t="s">
        <v>502</v>
      </c>
      <c r="C184" s="6" t="s">
        <v>194</v>
      </c>
      <c r="D184" s="6" t="s">
        <v>206</v>
      </c>
      <c r="E184" s="6" t="s">
        <v>46</v>
      </c>
      <c r="F184" s="6" t="s">
        <v>47</v>
      </c>
      <c r="G184" s="6">
        <v>12</v>
      </c>
      <c r="H184" s="6">
        <v>42.91</v>
      </c>
      <c r="I184" s="6">
        <v>514.91999999999996</v>
      </c>
      <c r="J184" s="6">
        <v>15.18</v>
      </c>
      <c r="K184" s="6">
        <v>115.74</v>
      </c>
      <c r="L184" s="6" t="s">
        <v>48</v>
      </c>
      <c r="M184" s="6" t="s">
        <v>41</v>
      </c>
      <c r="N184" s="6" t="s">
        <v>207</v>
      </c>
      <c r="O184" s="12">
        <f t="shared" si="4"/>
        <v>0.22477278023770683</v>
      </c>
      <c r="P184" s="6" t="str">
        <f t="shared" si="5"/>
        <v>need improvement</v>
      </c>
    </row>
    <row r="185" spans="1:16" x14ac:dyDescent="0.3">
      <c r="A185" t="s">
        <v>503</v>
      </c>
      <c r="B185" s="6" t="s">
        <v>504</v>
      </c>
      <c r="C185" s="6" t="s">
        <v>505</v>
      </c>
      <c r="D185" s="6" t="s">
        <v>70</v>
      </c>
      <c r="E185" s="6" t="s">
        <v>56</v>
      </c>
      <c r="F185" s="6" t="s">
        <v>57</v>
      </c>
      <c r="G185" s="6">
        <v>21</v>
      </c>
      <c r="H185" s="6">
        <v>50.49</v>
      </c>
      <c r="I185" s="6">
        <v>1060.29</v>
      </c>
      <c r="J185" s="6">
        <v>32.340000000000003</v>
      </c>
      <c r="K185" s="6">
        <v>187.95</v>
      </c>
      <c r="L185" s="6" t="s">
        <v>48</v>
      </c>
      <c r="M185" s="6" t="s">
        <v>25</v>
      </c>
      <c r="N185" s="6" t="s">
        <v>76</v>
      </c>
      <c r="O185" s="12">
        <f t="shared" si="4"/>
        <v>0.17726282432164783</v>
      </c>
      <c r="P185" s="6" t="str">
        <f t="shared" si="5"/>
        <v>good</v>
      </c>
    </row>
    <row r="186" spans="1:16" x14ac:dyDescent="0.3">
      <c r="A186" t="s">
        <v>506</v>
      </c>
      <c r="B186" s="6" t="s">
        <v>454</v>
      </c>
      <c r="C186" s="6" t="s">
        <v>307</v>
      </c>
      <c r="D186" s="6" t="s">
        <v>37</v>
      </c>
      <c r="E186" s="6" t="s">
        <v>22</v>
      </c>
      <c r="F186" s="6" t="s">
        <v>23</v>
      </c>
      <c r="G186" s="6">
        <v>41</v>
      </c>
      <c r="H186" s="6">
        <v>43.18</v>
      </c>
      <c r="I186" s="6">
        <v>1770.38</v>
      </c>
      <c r="J186" s="6">
        <v>128.4</v>
      </c>
      <c r="K186" s="6">
        <v>206.98</v>
      </c>
      <c r="L186" s="6" t="s">
        <v>33</v>
      </c>
      <c r="M186" s="6" t="s">
        <v>41</v>
      </c>
      <c r="N186" s="6" t="s">
        <v>35</v>
      </c>
      <c r="O186" s="12">
        <f t="shared" si="4"/>
        <v>0.11691275319422947</v>
      </c>
      <c r="P186" s="6" t="str">
        <f t="shared" si="5"/>
        <v>good</v>
      </c>
    </row>
    <row r="187" spans="1:16" x14ac:dyDescent="0.3">
      <c r="A187" t="s">
        <v>507</v>
      </c>
      <c r="B187" s="6" t="s">
        <v>508</v>
      </c>
      <c r="C187" s="6" t="s">
        <v>162</v>
      </c>
      <c r="D187" s="6" t="s">
        <v>206</v>
      </c>
      <c r="E187" s="6" t="s">
        <v>86</v>
      </c>
      <c r="F187" s="6" t="s">
        <v>47</v>
      </c>
      <c r="G187" s="6">
        <v>37</v>
      </c>
      <c r="H187" s="6">
        <v>19.8</v>
      </c>
      <c r="I187" s="6">
        <v>732.6</v>
      </c>
      <c r="J187" s="6">
        <v>54.68</v>
      </c>
      <c r="K187" s="6">
        <v>206.17</v>
      </c>
      <c r="L187" s="6" t="s">
        <v>24</v>
      </c>
      <c r="M187" s="6" t="s">
        <v>34</v>
      </c>
      <c r="N187" s="6" t="s">
        <v>207</v>
      </c>
      <c r="O187" s="12">
        <f t="shared" si="4"/>
        <v>0.28142233142233142</v>
      </c>
      <c r="P187" s="6" t="str">
        <f t="shared" si="5"/>
        <v>need improvement</v>
      </c>
    </row>
    <row r="188" spans="1:16" x14ac:dyDescent="0.3">
      <c r="A188" t="s">
        <v>509</v>
      </c>
      <c r="B188" s="6" t="s">
        <v>510</v>
      </c>
      <c r="C188" s="6" t="s">
        <v>511</v>
      </c>
      <c r="D188" s="6" t="s">
        <v>62</v>
      </c>
      <c r="E188" s="6" t="s">
        <v>86</v>
      </c>
      <c r="F188" s="6" t="s">
        <v>47</v>
      </c>
      <c r="G188" s="6">
        <v>4</v>
      </c>
      <c r="H188" s="6">
        <v>18.059999999999999</v>
      </c>
      <c r="I188" s="6">
        <v>72.239999999999995</v>
      </c>
      <c r="J188" s="6">
        <v>4.66</v>
      </c>
      <c r="K188" s="6">
        <v>16.579999999999998</v>
      </c>
      <c r="L188" s="6" t="s">
        <v>24</v>
      </c>
      <c r="M188" s="6" t="s">
        <v>25</v>
      </c>
      <c r="N188" s="6" t="s">
        <v>98</v>
      </c>
      <c r="O188" s="12">
        <f t="shared" si="4"/>
        <v>0.22951273532668881</v>
      </c>
      <c r="P188" s="6" t="str">
        <f t="shared" si="5"/>
        <v>need improvement</v>
      </c>
    </row>
    <row r="189" spans="1:16" x14ac:dyDescent="0.3">
      <c r="A189" t="s">
        <v>512</v>
      </c>
      <c r="B189" s="6" t="s">
        <v>412</v>
      </c>
      <c r="C189" s="6" t="s">
        <v>391</v>
      </c>
      <c r="D189" s="6" t="s">
        <v>21</v>
      </c>
      <c r="E189" s="6" t="s">
        <v>22</v>
      </c>
      <c r="F189" s="6" t="s">
        <v>23</v>
      </c>
      <c r="G189" s="6">
        <v>40</v>
      </c>
      <c r="H189" s="6">
        <v>55.59</v>
      </c>
      <c r="I189" s="6">
        <v>2223.6</v>
      </c>
      <c r="J189" s="6">
        <v>74.569999999999993</v>
      </c>
      <c r="K189" s="6">
        <v>749.03</v>
      </c>
      <c r="L189" s="6" t="s">
        <v>24</v>
      </c>
      <c r="M189" s="6" t="s">
        <v>25</v>
      </c>
      <c r="N189" s="6" t="s">
        <v>98</v>
      </c>
      <c r="O189" s="12">
        <f t="shared" si="4"/>
        <v>0.3368546501169275</v>
      </c>
      <c r="P189" s="6" t="str">
        <f t="shared" si="5"/>
        <v>excellent</v>
      </c>
    </row>
    <row r="190" spans="1:16" x14ac:dyDescent="0.3">
      <c r="A190" t="s">
        <v>513</v>
      </c>
      <c r="B190" s="6" t="s">
        <v>327</v>
      </c>
      <c r="C190" s="6" t="s">
        <v>20</v>
      </c>
      <c r="D190" s="6" t="s">
        <v>127</v>
      </c>
      <c r="E190" s="6" t="s">
        <v>74</v>
      </c>
      <c r="F190" s="6" t="s">
        <v>75</v>
      </c>
      <c r="G190" s="6">
        <v>5</v>
      </c>
      <c r="H190" s="6">
        <v>31.58</v>
      </c>
      <c r="I190" s="6">
        <v>157.9</v>
      </c>
      <c r="J190" s="6">
        <v>3.73</v>
      </c>
      <c r="K190" s="6">
        <v>29.17</v>
      </c>
      <c r="L190" s="6" t="s">
        <v>24</v>
      </c>
      <c r="M190" s="6" t="s">
        <v>34</v>
      </c>
      <c r="N190" s="6" t="s">
        <v>76</v>
      </c>
      <c r="O190" s="12">
        <f t="shared" si="4"/>
        <v>0.18473717542748574</v>
      </c>
      <c r="P190" s="6" t="str">
        <f t="shared" si="5"/>
        <v>good</v>
      </c>
    </row>
    <row r="191" spans="1:16" x14ac:dyDescent="0.3">
      <c r="A191" t="s">
        <v>514</v>
      </c>
      <c r="B191" s="6" t="s">
        <v>515</v>
      </c>
      <c r="C191" s="6" t="s">
        <v>188</v>
      </c>
      <c r="D191" s="6" t="s">
        <v>55</v>
      </c>
      <c r="E191" s="6" t="s">
        <v>32</v>
      </c>
      <c r="F191" s="6" t="s">
        <v>23</v>
      </c>
      <c r="G191" s="6">
        <v>50</v>
      </c>
      <c r="H191" s="6">
        <v>26.67</v>
      </c>
      <c r="I191" s="6">
        <v>1333.5</v>
      </c>
      <c r="J191" s="6">
        <v>80.150000000000006</v>
      </c>
      <c r="K191" s="6">
        <v>353.35</v>
      </c>
      <c r="L191" s="6" t="s">
        <v>48</v>
      </c>
      <c r="M191" s="6" t="s">
        <v>25</v>
      </c>
      <c r="N191" s="6" t="s">
        <v>98</v>
      </c>
      <c r="O191" s="12">
        <f t="shared" si="4"/>
        <v>0.26497937757780277</v>
      </c>
      <c r="P191" s="6" t="str">
        <f t="shared" si="5"/>
        <v>need improvement</v>
      </c>
    </row>
    <row r="192" spans="1:16" x14ac:dyDescent="0.3">
      <c r="A192" t="s">
        <v>516</v>
      </c>
      <c r="B192" s="6" t="s">
        <v>517</v>
      </c>
      <c r="C192" s="6" t="s">
        <v>352</v>
      </c>
      <c r="D192" s="6" t="s">
        <v>116</v>
      </c>
      <c r="E192" s="6" t="s">
        <v>81</v>
      </c>
      <c r="F192" s="6" t="s">
        <v>68</v>
      </c>
      <c r="G192" s="6">
        <v>17</v>
      </c>
      <c r="H192" s="6">
        <v>20.68</v>
      </c>
      <c r="I192" s="6">
        <v>351.56</v>
      </c>
      <c r="J192" s="6">
        <v>18.47</v>
      </c>
      <c r="K192" s="6">
        <v>69.59</v>
      </c>
      <c r="L192" s="6" t="s">
        <v>48</v>
      </c>
      <c r="M192" s="6" t="s">
        <v>34</v>
      </c>
      <c r="N192" s="6" t="s">
        <v>76</v>
      </c>
      <c r="O192" s="12">
        <f t="shared" si="4"/>
        <v>0.19794629650699738</v>
      </c>
      <c r="P192" s="6" t="str">
        <f t="shared" si="5"/>
        <v>good</v>
      </c>
    </row>
    <row r="193" spans="1:16" x14ac:dyDescent="0.3">
      <c r="A193" t="s">
        <v>518</v>
      </c>
      <c r="B193" s="6" t="s">
        <v>259</v>
      </c>
      <c r="C193" s="6" t="s">
        <v>440</v>
      </c>
      <c r="D193" s="6" t="s">
        <v>141</v>
      </c>
      <c r="E193" s="6" t="s">
        <v>22</v>
      </c>
      <c r="F193" s="6" t="s">
        <v>23</v>
      </c>
      <c r="G193" s="6">
        <v>29</v>
      </c>
      <c r="H193" s="6">
        <v>55.19</v>
      </c>
      <c r="I193" s="6">
        <v>1600.51</v>
      </c>
      <c r="J193" s="6">
        <v>103.06</v>
      </c>
      <c r="K193" s="6">
        <v>482.45</v>
      </c>
      <c r="L193" s="6" t="s">
        <v>24</v>
      </c>
      <c r="M193" s="6" t="s">
        <v>41</v>
      </c>
      <c r="N193" s="6" t="s">
        <v>142</v>
      </c>
      <c r="O193" s="12">
        <f t="shared" si="4"/>
        <v>0.30143516754034649</v>
      </c>
      <c r="P193" s="6" t="str">
        <f t="shared" si="5"/>
        <v>need improvement</v>
      </c>
    </row>
    <row r="194" spans="1:16" x14ac:dyDescent="0.3">
      <c r="A194" t="s">
        <v>519</v>
      </c>
      <c r="B194" s="6" t="s">
        <v>520</v>
      </c>
      <c r="C194" s="6" t="s">
        <v>521</v>
      </c>
      <c r="D194" s="6" t="s">
        <v>116</v>
      </c>
      <c r="E194" s="6" t="s">
        <v>22</v>
      </c>
      <c r="F194" s="6" t="s">
        <v>23</v>
      </c>
      <c r="G194" s="6">
        <v>34</v>
      </c>
      <c r="H194" s="6">
        <v>61.62</v>
      </c>
      <c r="I194" s="6">
        <v>2095.08</v>
      </c>
      <c r="J194" s="6">
        <v>80.13</v>
      </c>
      <c r="K194" s="6">
        <v>824.95</v>
      </c>
      <c r="L194" s="6" t="s">
        <v>33</v>
      </c>
      <c r="M194" s="6" t="s">
        <v>25</v>
      </c>
      <c r="N194" s="6" t="s">
        <v>76</v>
      </c>
      <c r="O194" s="12">
        <f t="shared" si="4"/>
        <v>0.39375584703209426</v>
      </c>
      <c r="P194" s="6" t="str">
        <f t="shared" si="5"/>
        <v>excellent</v>
      </c>
    </row>
    <row r="195" spans="1:16" x14ac:dyDescent="0.3">
      <c r="A195" t="s">
        <v>522</v>
      </c>
      <c r="B195" s="6" t="s">
        <v>306</v>
      </c>
      <c r="C195" s="6" t="s">
        <v>277</v>
      </c>
      <c r="D195" s="6" t="s">
        <v>62</v>
      </c>
      <c r="E195" s="6" t="s">
        <v>67</v>
      </c>
      <c r="F195" s="6" t="s">
        <v>68</v>
      </c>
      <c r="G195" s="6">
        <v>10</v>
      </c>
      <c r="H195" s="6">
        <v>40.03</v>
      </c>
      <c r="I195" s="6">
        <v>400.3</v>
      </c>
      <c r="J195" s="6">
        <v>25.8</v>
      </c>
      <c r="K195" s="6">
        <v>149.5</v>
      </c>
      <c r="L195" s="6" t="s">
        <v>48</v>
      </c>
      <c r="M195" s="6" t="s">
        <v>25</v>
      </c>
      <c r="N195" s="6" t="s">
        <v>98</v>
      </c>
      <c r="O195" s="12">
        <f t="shared" si="4"/>
        <v>0.37346989757681737</v>
      </c>
      <c r="P195" s="6" t="str">
        <f t="shared" si="5"/>
        <v>need improvement</v>
      </c>
    </row>
    <row r="196" spans="1:16" x14ac:dyDescent="0.3">
      <c r="A196" t="s">
        <v>523</v>
      </c>
      <c r="B196" s="6" t="s">
        <v>524</v>
      </c>
      <c r="C196" s="6" t="s">
        <v>134</v>
      </c>
      <c r="D196" s="6" t="s">
        <v>123</v>
      </c>
      <c r="E196" s="6" t="s">
        <v>63</v>
      </c>
      <c r="F196" s="6" t="s">
        <v>47</v>
      </c>
      <c r="G196" s="6">
        <v>23</v>
      </c>
      <c r="H196" s="6">
        <v>31.3</v>
      </c>
      <c r="I196" s="6">
        <v>719.9</v>
      </c>
      <c r="J196" s="6">
        <v>47.88</v>
      </c>
      <c r="K196" s="6">
        <v>212.02</v>
      </c>
      <c r="L196" s="6" t="s">
        <v>33</v>
      </c>
      <c r="M196" s="6" t="s">
        <v>34</v>
      </c>
      <c r="N196" s="6" t="s">
        <v>76</v>
      </c>
      <c r="O196" s="12">
        <f t="shared" si="4"/>
        <v>0.29451312682316994</v>
      </c>
      <c r="P196" s="6" t="str">
        <f t="shared" si="5"/>
        <v>need improvement</v>
      </c>
    </row>
    <row r="197" spans="1:16" x14ac:dyDescent="0.3">
      <c r="A197" t="s">
        <v>525</v>
      </c>
      <c r="B197" s="6" t="s">
        <v>105</v>
      </c>
      <c r="C197" s="6" t="s">
        <v>148</v>
      </c>
      <c r="D197" s="6" t="s">
        <v>62</v>
      </c>
      <c r="E197" s="6" t="s">
        <v>22</v>
      </c>
      <c r="F197" s="6" t="s">
        <v>23</v>
      </c>
      <c r="G197" s="6">
        <v>37</v>
      </c>
      <c r="H197" s="6">
        <v>50.39</v>
      </c>
      <c r="I197" s="6">
        <v>1864.43</v>
      </c>
      <c r="J197" s="6">
        <v>60.06</v>
      </c>
      <c r="K197" s="6">
        <v>509.37</v>
      </c>
      <c r="L197" s="6" t="s">
        <v>33</v>
      </c>
      <c r="M197" s="6" t="s">
        <v>34</v>
      </c>
      <c r="N197" s="6" t="s">
        <v>98</v>
      </c>
      <c r="O197" s="12">
        <f t="shared" si="4"/>
        <v>0.27320414282113031</v>
      </c>
      <c r="P197" s="6" t="str">
        <f t="shared" si="5"/>
        <v>need improvement</v>
      </c>
    </row>
    <row r="198" spans="1:16" x14ac:dyDescent="0.3">
      <c r="A198" t="s">
        <v>526</v>
      </c>
      <c r="B198" s="6" t="s">
        <v>527</v>
      </c>
      <c r="C198" s="6" t="s">
        <v>442</v>
      </c>
      <c r="D198" s="6" t="s">
        <v>21</v>
      </c>
      <c r="E198" s="6" t="s">
        <v>86</v>
      </c>
      <c r="F198" s="6" t="s">
        <v>47</v>
      </c>
      <c r="G198" s="6">
        <v>38</v>
      </c>
      <c r="H198" s="6">
        <v>16.97</v>
      </c>
      <c r="I198" s="6">
        <v>644.86</v>
      </c>
      <c r="J198" s="6">
        <v>40</v>
      </c>
      <c r="K198" s="6">
        <v>120.36</v>
      </c>
      <c r="L198" s="6" t="s">
        <v>48</v>
      </c>
      <c r="M198" s="6" t="s">
        <v>25</v>
      </c>
      <c r="N198" s="6" t="s">
        <v>98</v>
      </c>
      <c r="O198" s="12">
        <f t="shared" ref="O198:O261" si="6">K198/I198</f>
        <v>0.18664516329125702</v>
      </c>
      <c r="P198" s="6" t="str">
        <f t="shared" ref="P198:P261" si="7">IF(AND(O198&gt;20%,I198&gt;2000),"excellent",IF(AND(O198&gt;=10%,O198&lt;=20%),"good","need improvement"))</f>
        <v>good</v>
      </c>
    </row>
    <row r="199" spans="1:16" x14ac:dyDescent="0.3">
      <c r="A199" t="s">
        <v>528</v>
      </c>
      <c r="B199" s="6" t="s">
        <v>408</v>
      </c>
      <c r="C199" s="6" t="s">
        <v>328</v>
      </c>
      <c r="D199" s="6" t="s">
        <v>141</v>
      </c>
      <c r="E199" s="6" t="s">
        <v>63</v>
      </c>
      <c r="F199" s="6" t="s">
        <v>47</v>
      </c>
      <c r="G199" s="6">
        <v>2</v>
      </c>
      <c r="H199" s="6">
        <v>35.92</v>
      </c>
      <c r="I199" s="6">
        <v>71.84</v>
      </c>
      <c r="J199" s="6">
        <v>2.34</v>
      </c>
      <c r="K199" s="6">
        <v>29.5</v>
      </c>
      <c r="L199" s="6" t="s">
        <v>48</v>
      </c>
      <c r="M199" s="6" t="s">
        <v>34</v>
      </c>
      <c r="N199" s="6" t="s">
        <v>142</v>
      </c>
      <c r="O199" s="12">
        <f t="shared" si="6"/>
        <v>0.41063474387527837</v>
      </c>
      <c r="P199" s="6" t="str">
        <f t="shared" si="7"/>
        <v>need improvement</v>
      </c>
    </row>
    <row r="200" spans="1:16" x14ac:dyDescent="0.3">
      <c r="A200" t="s">
        <v>529</v>
      </c>
      <c r="B200" s="6" t="s">
        <v>530</v>
      </c>
      <c r="C200" s="6" t="s">
        <v>85</v>
      </c>
      <c r="D200" s="6" t="s">
        <v>45</v>
      </c>
      <c r="E200" s="6" t="s">
        <v>63</v>
      </c>
      <c r="F200" s="6" t="s">
        <v>47</v>
      </c>
      <c r="G200" s="6">
        <v>48</v>
      </c>
      <c r="H200" s="6">
        <v>31.87</v>
      </c>
      <c r="I200" s="6">
        <v>1529.76</v>
      </c>
      <c r="J200" s="6">
        <v>89.85</v>
      </c>
      <c r="K200" s="6">
        <v>479.91</v>
      </c>
      <c r="L200" s="6" t="s">
        <v>48</v>
      </c>
      <c r="M200" s="6" t="s">
        <v>25</v>
      </c>
      <c r="N200" s="6" t="s">
        <v>49</v>
      </c>
      <c r="O200" s="12">
        <f t="shared" si="6"/>
        <v>0.31371587700031378</v>
      </c>
      <c r="P200" s="6" t="str">
        <f t="shared" si="7"/>
        <v>need improvement</v>
      </c>
    </row>
    <row r="201" spans="1:16" x14ac:dyDescent="0.3">
      <c r="A201" t="s">
        <v>531</v>
      </c>
      <c r="B201" s="6" t="s">
        <v>532</v>
      </c>
      <c r="C201" s="6" t="s">
        <v>352</v>
      </c>
      <c r="D201" s="6" t="s">
        <v>206</v>
      </c>
      <c r="E201" s="6" t="s">
        <v>56</v>
      </c>
      <c r="F201" s="6" t="s">
        <v>57</v>
      </c>
      <c r="G201" s="6">
        <v>46</v>
      </c>
      <c r="H201" s="6">
        <v>70</v>
      </c>
      <c r="I201" s="6">
        <v>3220</v>
      </c>
      <c r="J201" s="6">
        <v>160.11000000000001</v>
      </c>
      <c r="K201" s="6">
        <v>1219.8900000000001</v>
      </c>
      <c r="L201" s="6" t="s">
        <v>33</v>
      </c>
      <c r="M201" s="6" t="s">
        <v>34</v>
      </c>
      <c r="N201" s="6" t="s">
        <v>207</v>
      </c>
      <c r="O201" s="12">
        <f t="shared" si="6"/>
        <v>0.37884782608695655</v>
      </c>
      <c r="P201" s="6" t="str">
        <f t="shared" si="7"/>
        <v>excellent</v>
      </c>
    </row>
    <row r="202" spans="1:16" x14ac:dyDescent="0.3">
      <c r="A202" t="s">
        <v>533</v>
      </c>
      <c r="B202" s="6" t="s">
        <v>534</v>
      </c>
      <c r="C202" s="6" t="s">
        <v>480</v>
      </c>
      <c r="D202" s="6" t="s">
        <v>116</v>
      </c>
      <c r="E202" s="6" t="s">
        <v>22</v>
      </c>
      <c r="F202" s="6" t="s">
        <v>23</v>
      </c>
      <c r="G202" s="6">
        <v>45</v>
      </c>
      <c r="H202" s="6">
        <v>57.7</v>
      </c>
      <c r="I202" s="6">
        <v>2596.5</v>
      </c>
      <c r="J202" s="6">
        <v>102.52</v>
      </c>
      <c r="K202" s="6">
        <v>918.98</v>
      </c>
      <c r="L202" s="6" t="s">
        <v>33</v>
      </c>
      <c r="M202" s="6" t="s">
        <v>25</v>
      </c>
      <c r="N202" s="6" t="s">
        <v>76</v>
      </c>
      <c r="O202" s="12">
        <f t="shared" si="6"/>
        <v>0.35393029077604471</v>
      </c>
      <c r="P202" s="6" t="str">
        <f t="shared" si="7"/>
        <v>excellent</v>
      </c>
    </row>
    <row r="203" spans="1:16" x14ac:dyDescent="0.3">
      <c r="A203" t="s">
        <v>535</v>
      </c>
      <c r="B203" s="6" t="s">
        <v>536</v>
      </c>
      <c r="C203" s="6" t="s">
        <v>191</v>
      </c>
      <c r="D203" s="6" t="s">
        <v>127</v>
      </c>
      <c r="E203" s="6" t="s">
        <v>86</v>
      </c>
      <c r="F203" s="6" t="s">
        <v>47</v>
      </c>
      <c r="G203" s="6">
        <v>23</v>
      </c>
      <c r="H203" s="6">
        <v>20.23</v>
      </c>
      <c r="I203" s="6">
        <v>465.29</v>
      </c>
      <c r="J203" s="6">
        <v>17.29</v>
      </c>
      <c r="K203" s="6">
        <v>154.75</v>
      </c>
      <c r="L203" s="6" t="s">
        <v>48</v>
      </c>
      <c r="M203" s="6" t="s">
        <v>25</v>
      </c>
      <c r="N203" s="6" t="s">
        <v>76</v>
      </c>
      <c r="O203" s="12">
        <f t="shared" si="6"/>
        <v>0.33258827827806314</v>
      </c>
      <c r="P203" s="6" t="str">
        <f t="shared" si="7"/>
        <v>need improvement</v>
      </c>
    </row>
    <row r="204" spans="1:16" x14ac:dyDescent="0.3">
      <c r="A204" t="s">
        <v>537</v>
      </c>
      <c r="B204" s="6" t="s">
        <v>224</v>
      </c>
      <c r="C204" s="6" t="s">
        <v>194</v>
      </c>
      <c r="D204" s="6" t="s">
        <v>37</v>
      </c>
      <c r="E204" s="6" t="s">
        <v>32</v>
      </c>
      <c r="F204" s="6" t="s">
        <v>23</v>
      </c>
      <c r="G204" s="6">
        <v>10</v>
      </c>
      <c r="H204" s="6">
        <v>22.96</v>
      </c>
      <c r="I204" s="6">
        <v>229.6</v>
      </c>
      <c r="J204" s="6">
        <v>18.260000000000002</v>
      </c>
      <c r="K204" s="6">
        <v>31.34</v>
      </c>
      <c r="L204" s="6" t="s">
        <v>24</v>
      </c>
      <c r="M204" s="6" t="s">
        <v>41</v>
      </c>
      <c r="N204" s="6" t="s">
        <v>35</v>
      </c>
      <c r="O204" s="12">
        <f t="shared" si="6"/>
        <v>0.13649825783972125</v>
      </c>
      <c r="P204" s="6" t="str">
        <f t="shared" si="7"/>
        <v>good</v>
      </c>
    </row>
    <row r="205" spans="1:16" x14ac:dyDescent="0.3">
      <c r="A205" t="s">
        <v>538</v>
      </c>
      <c r="B205" s="6" t="s">
        <v>493</v>
      </c>
      <c r="C205" s="6" t="s">
        <v>539</v>
      </c>
      <c r="D205" s="6" t="s">
        <v>45</v>
      </c>
      <c r="E205" s="6" t="s">
        <v>22</v>
      </c>
      <c r="F205" s="6" t="s">
        <v>23</v>
      </c>
      <c r="G205" s="6">
        <v>40</v>
      </c>
      <c r="H205" s="6">
        <v>54.84</v>
      </c>
      <c r="I205" s="6">
        <v>2193.6</v>
      </c>
      <c r="J205" s="6">
        <v>89.26</v>
      </c>
      <c r="K205" s="6">
        <v>704.34</v>
      </c>
      <c r="L205" s="6" t="s">
        <v>33</v>
      </c>
      <c r="M205" s="6" t="s">
        <v>25</v>
      </c>
      <c r="N205" s="6" t="s">
        <v>49</v>
      </c>
      <c r="O205" s="12">
        <f t="shared" si="6"/>
        <v>0.32108862144420136</v>
      </c>
      <c r="P205" s="6" t="str">
        <f t="shared" si="7"/>
        <v>excellent</v>
      </c>
    </row>
    <row r="206" spans="1:16" x14ac:dyDescent="0.3">
      <c r="A206" t="s">
        <v>540</v>
      </c>
      <c r="B206" s="6" t="s">
        <v>541</v>
      </c>
      <c r="C206" s="6" t="s">
        <v>266</v>
      </c>
      <c r="D206" s="6" t="s">
        <v>116</v>
      </c>
      <c r="E206" s="6" t="s">
        <v>74</v>
      </c>
      <c r="F206" s="6" t="s">
        <v>75</v>
      </c>
      <c r="G206" s="6">
        <v>7</v>
      </c>
      <c r="H206" s="6">
        <v>36.43</v>
      </c>
      <c r="I206" s="6">
        <v>255.01</v>
      </c>
      <c r="J206" s="6">
        <v>6.3</v>
      </c>
      <c r="K206" s="6">
        <v>73.709999999999994</v>
      </c>
      <c r="L206" s="6" t="s">
        <v>24</v>
      </c>
      <c r="M206" s="6" t="s">
        <v>34</v>
      </c>
      <c r="N206" s="6" t="s">
        <v>76</v>
      </c>
      <c r="O206" s="12">
        <f t="shared" si="6"/>
        <v>0.28904748833379079</v>
      </c>
      <c r="P206" s="6" t="str">
        <f t="shared" si="7"/>
        <v>need improvement</v>
      </c>
    </row>
    <row r="207" spans="1:16" x14ac:dyDescent="0.3">
      <c r="A207" t="s">
        <v>542</v>
      </c>
      <c r="B207" s="6" t="s">
        <v>543</v>
      </c>
      <c r="C207" s="6" t="s">
        <v>328</v>
      </c>
      <c r="D207" s="6" t="s">
        <v>62</v>
      </c>
      <c r="E207" s="6" t="s">
        <v>86</v>
      </c>
      <c r="F207" s="6" t="s">
        <v>47</v>
      </c>
      <c r="G207" s="6">
        <v>39</v>
      </c>
      <c r="H207" s="6">
        <v>19.48</v>
      </c>
      <c r="I207" s="6">
        <v>759.72</v>
      </c>
      <c r="J207" s="6">
        <v>40.090000000000003</v>
      </c>
      <c r="K207" s="6">
        <v>222.38</v>
      </c>
      <c r="L207" s="6" t="s">
        <v>48</v>
      </c>
      <c r="M207" s="6" t="s">
        <v>34</v>
      </c>
      <c r="N207" s="6" t="s">
        <v>98</v>
      </c>
      <c r="O207" s="12">
        <f t="shared" si="6"/>
        <v>0.29271310482809454</v>
      </c>
      <c r="P207" s="6" t="str">
        <f t="shared" si="7"/>
        <v>need improvement</v>
      </c>
    </row>
    <row r="208" spans="1:16" x14ac:dyDescent="0.3">
      <c r="A208" t="s">
        <v>544</v>
      </c>
      <c r="B208" s="6" t="s">
        <v>444</v>
      </c>
      <c r="C208" s="6" t="s">
        <v>428</v>
      </c>
      <c r="D208" s="6" t="s">
        <v>141</v>
      </c>
      <c r="E208" s="6" t="s">
        <v>67</v>
      </c>
      <c r="F208" s="6" t="s">
        <v>68</v>
      </c>
      <c r="G208" s="6">
        <v>35</v>
      </c>
      <c r="H208" s="6">
        <v>38.83</v>
      </c>
      <c r="I208" s="6">
        <v>1359.05</v>
      </c>
      <c r="J208" s="6">
        <v>93.92</v>
      </c>
      <c r="K208" s="6">
        <v>477.63</v>
      </c>
      <c r="L208" s="6" t="s">
        <v>48</v>
      </c>
      <c r="M208" s="6" t="s">
        <v>34</v>
      </c>
      <c r="N208" s="6" t="s">
        <v>142</v>
      </c>
      <c r="O208" s="12">
        <f t="shared" si="6"/>
        <v>0.35144402339869762</v>
      </c>
      <c r="P208" s="6" t="str">
        <f t="shared" si="7"/>
        <v>need improvement</v>
      </c>
    </row>
    <row r="209" spans="1:16" x14ac:dyDescent="0.3">
      <c r="A209" t="s">
        <v>545</v>
      </c>
      <c r="B209" s="6" t="s">
        <v>404</v>
      </c>
      <c r="C209" s="6" t="s">
        <v>232</v>
      </c>
      <c r="D209" s="6" t="s">
        <v>51</v>
      </c>
      <c r="E209" s="6" t="s">
        <v>63</v>
      </c>
      <c r="F209" s="6" t="s">
        <v>47</v>
      </c>
      <c r="G209" s="6">
        <v>39</v>
      </c>
      <c r="H209" s="6">
        <v>32.76</v>
      </c>
      <c r="I209" s="6">
        <v>1277.6400000000001</v>
      </c>
      <c r="J209" s="6">
        <v>35.81</v>
      </c>
      <c r="K209" s="6">
        <v>461.83</v>
      </c>
      <c r="L209" s="6" t="s">
        <v>33</v>
      </c>
      <c r="M209" s="6" t="s">
        <v>41</v>
      </c>
      <c r="N209" s="6" t="s">
        <v>76</v>
      </c>
      <c r="O209" s="12">
        <f t="shared" si="6"/>
        <v>0.36147114993268836</v>
      </c>
      <c r="P209" s="6" t="str">
        <f t="shared" si="7"/>
        <v>need improvement</v>
      </c>
    </row>
    <row r="210" spans="1:16" x14ac:dyDescent="0.3">
      <c r="A210" t="s">
        <v>546</v>
      </c>
      <c r="B210" s="6" t="s">
        <v>547</v>
      </c>
      <c r="C210" s="6" t="s">
        <v>301</v>
      </c>
      <c r="D210" s="6" t="s">
        <v>21</v>
      </c>
      <c r="E210" s="6" t="s">
        <v>46</v>
      </c>
      <c r="F210" s="6" t="s">
        <v>47</v>
      </c>
      <c r="G210" s="6">
        <v>8</v>
      </c>
      <c r="H210" s="6">
        <v>39.869999999999997</v>
      </c>
      <c r="I210" s="6">
        <v>318.95999999999998</v>
      </c>
      <c r="J210" s="6">
        <v>15.95</v>
      </c>
      <c r="K210" s="6">
        <v>47.01</v>
      </c>
      <c r="L210" s="6" t="s">
        <v>48</v>
      </c>
      <c r="M210" s="6" t="s">
        <v>41</v>
      </c>
      <c r="N210" s="6" t="s">
        <v>98</v>
      </c>
      <c r="O210" s="12">
        <f t="shared" si="6"/>
        <v>0.14738525206922498</v>
      </c>
      <c r="P210" s="6" t="str">
        <f t="shared" si="7"/>
        <v>good</v>
      </c>
    </row>
    <row r="211" spans="1:16" x14ac:dyDescent="0.3">
      <c r="A211" t="s">
        <v>548</v>
      </c>
      <c r="B211" s="6" t="s">
        <v>153</v>
      </c>
      <c r="C211" s="6" t="s">
        <v>417</v>
      </c>
      <c r="D211" s="6" t="s">
        <v>123</v>
      </c>
      <c r="E211" s="6" t="s">
        <v>56</v>
      </c>
      <c r="F211" s="6" t="s">
        <v>57</v>
      </c>
      <c r="G211" s="6">
        <v>10</v>
      </c>
      <c r="H211" s="6">
        <v>63.1</v>
      </c>
      <c r="I211" s="6">
        <v>631</v>
      </c>
      <c r="J211" s="6">
        <v>26.93</v>
      </c>
      <c r="K211" s="6">
        <v>204.07</v>
      </c>
      <c r="L211" s="6" t="s">
        <v>33</v>
      </c>
      <c r="M211" s="6" t="s">
        <v>34</v>
      </c>
      <c r="N211" s="6" t="s">
        <v>76</v>
      </c>
      <c r="O211" s="12">
        <f t="shared" si="6"/>
        <v>0.32340729001584784</v>
      </c>
      <c r="P211" s="6" t="str">
        <f t="shared" si="7"/>
        <v>need improvement</v>
      </c>
    </row>
    <row r="212" spans="1:16" x14ac:dyDescent="0.3">
      <c r="A212" t="s">
        <v>549</v>
      </c>
      <c r="B212" s="6" t="s">
        <v>550</v>
      </c>
      <c r="C212" s="6" t="s">
        <v>162</v>
      </c>
      <c r="D212" s="6" t="s">
        <v>241</v>
      </c>
      <c r="E212" s="6" t="s">
        <v>46</v>
      </c>
      <c r="F212" s="6" t="s">
        <v>47</v>
      </c>
      <c r="G212" s="6">
        <v>3</v>
      </c>
      <c r="H212" s="6">
        <v>55.1</v>
      </c>
      <c r="I212" s="6">
        <v>165.3</v>
      </c>
      <c r="J212" s="6">
        <v>9.17</v>
      </c>
      <c r="K212" s="6">
        <v>60.13</v>
      </c>
      <c r="L212" s="6" t="s">
        <v>24</v>
      </c>
      <c r="M212" s="6" t="s">
        <v>25</v>
      </c>
      <c r="N212" s="6" t="s">
        <v>35</v>
      </c>
      <c r="O212" s="12">
        <f t="shared" si="6"/>
        <v>0.36376285541439807</v>
      </c>
      <c r="P212" s="6" t="str">
        <f t="shared" si="7"/>
        <v>need improvement</v>
      </c>
    </row>
    <row r="213" spans="1:16" x14ac:dyDescent="0.3">
      <c r="A213" t="s">
        <v>551</v>
      </c>
      <c r="B213" s="6" t="s">
        <v>552</v>
      </c>
      <c r="C213" s="6" t="s">
        <v>119</v>
      </c>
      <c r="D213" s="6" t="s">
        <v>70</v>
      </c>
      <c r="E213" s="6" t="s">
        <v>81</v>
      </c>
      <c r="F213" s="6" t="s">
        <v>68</v>
      </c>
      <c r="G213" s="6">
        <v>26</v>
      </c>
      <c r="H213" s="6">
        <v>19.809999999999999</v>
      </c>
      <c r="I213" s="6">
        <v>515.05999999999995</v>
      </c>
      <c r="J213" s="6">
        <v>10.3</v>
      </c>
      <c r="K213" s="6">
        <v>101.76</v>
      </c>
      <c r="L213" s="6" t="s">
        <v>48</v>
      </c>
      <c r="M213" s="6" t="s">
        <v>34</v>
      </c>
      <c r="N213" s="6" t="s">
        <v>76</v>
      </c>
      <c r="O213" s="12">
        <f t="shared" si="6"/>
        <v>0.19756921523705978</v>
      </c>
      <c r="P213" s="6" t="str">
        <f t="shared" si="7"/>
        <v>good</v>
      </c>
    </row>
    <row r="214" spans="1:16" x14ac:dyDescent="0.3">
      <c r="A214" t="s">
        <v>553</v>
      </c>
      <c r="B214" s="6" t="s">
        <v>554</v>
      </c>
      <c r="C214" s="6" t="s">
        <v>174</v>
      </c>
      <c r="D214" s="6" t="s">
        <v>123</v>
      </c>
      <c r="E214" s="6" t="s">
        <v>56</v>
      </c>
      <c r="F214" s="6" t="s">
        <v>57</v>
      </c>
      <c r="G214" s="6">
        <v>17</v>
      </c>
      <c r="H214" s="6">
        <v>53.34</v>
      </c>
      <c r="I214" s="6">
        <v>906.78</v>
      </c>
      <c r="J214" s="6">
        <v>30.6</v>
      </c>
      <c r="K214" s="6">
        <v>196.18</v>
      </c>
      <c r="L214" s="6" t="s">
        <v>24</v>
      </c>
      <c r="M214" s="6" t="s">
        <v>34</v>
      </c>
      <c r="N214" s="6" t="s">
        <v>76</v>
      </c>
      <c r="O214" s="12">
        <f t="shared" si="6"/>
        <v>0.21634795650543684</v>
      </c>
      <c r="P214" s="6" t="str">
        <f t="shared" si="7"/>
        <v>need improvement</v>
      </c>
    </row>
    <row r="215" spans="1:16" x14ac:dyDescent="0.3">
      <c r="A215" t="s">
        <v>555</v>
      </c>
      <c r="B215" s="6" t="s">
        <v>556</v>
      </c>
      <c r="C215" s="6" t="s">
        <v>151</v>
      </c>
      <c r="D215" s="6" t="s">
        <v>51</v>
      </c>
      <c r="E215" s="6" t="s">
        <v>63</v>
      </c>
      <c r="F215" s="6" t="s">
        <v>47</v>
      </c>
      <c r="G215" s="6">
        <v>17</v>
      </c>
      <c r="H215" s="6">
        <v>28.23</v>
      </c>
      <c r="I215" s="6">
        <v>479.91</v>
      </c>
      <c r="J215" s="6">
        <v>31.88</v>
      </c>
      <c r="K215" s="6">
        <v>108.03</v>
      </c>
      <c r="L215" s="6" t="s">
        <v>33</v>
      </c>
      <c r="M215" s="6" t="s">
        <v>25</v>
      </c>
      <c r="N215" s="6" t="s">
        <v>76</v>
      </c>
      <c r="O215" s="12">
        <f t="shared" si="6"/>
        <v>0.22510470713258734</v>
      </c>
      <c r="P215" s="6" t="str">
        <f t="shared" si="7"/>
        <v>need improvement</v>
      </c>
    </row>
    <row r="216" spans="1:16" x14ac:dyDescent="0.3">
      <c r="A216" t="s">
        <v>557</v>
      </c>
      <c r="B216" s="6" t="s">
        <v>558</v>
      </c>
      <c r="C216" s="6" t="s">
        <v>559</v>
      </c>
      <c r="D216" s="6" t="s">
        <v>241</v>
      </c>
      <c r="E216" s="6" t="s">
        <v>32</v>
      </c>
      <c r="F216" s="6" t="s">
        <v>23</v>
      </c>
      <c r="G216" s="6">
        <v>42</v>
      </c>
      <c r="H216" s="6">
        <v>25.26</v>
      </c>
      <c r="I216" s="6">
        <v>1060.92</v>
      </c>
      <c r="J216" s="6">
        <v>77.05</v>
      </c>
      <c r="K216" s="6">
        <v>227.87</v>
      </c>
      <c r="L216" s="6" t="s">
        <v>24</v>
      </c>
      <c r="M216" s="6" t="s">
        <v>41</v>
      </c>
      <c r="N216" s="6" t="s">
        <v>35</v>
      </c>
      <c r="O216" s="12">
        <f t="shared" si="6"/>
        <v>0.21478528069976999</v>
      </c>
      <c r="P216" s="6" t="str">
        <f t="shared" si="7"/>
        <v>need improvement</v>
      </c>
    </row>
    <row r="217" spans="1:16" x14ac:dyDescent="0.3">
      <c r="A217" t="s">
        <v>560</v>
      </c>
      <c r="B217" s="6" t="s">
        <v>561</v>
      </c>
      <c r="C217" s="6" t="s">
        <v>238</v>
      </c>
      <c r="D217" s="6" t="s">
        <v>70</v>
      </c>
      <c r="E217" s="6" t="s">
        <v>32</v>
      </c>
      <c r="F217" s="6" t="s">
        <v>23</v>
      </c>
      <c r="G217" s="6">
        <v>2</v>
      </c>
      <c r="H217" s="6">
        <v>27.27</v>
      </c>
      <c r="I217" s="6">
        <v>54.54</v>
      </c>
      <c r="J217" s="6">
        <v>1.45</v>
      </c>
      <c r="K217" s="6">
        <v>17.09</v>
      </c>
      <c r="L217" s="6" t="s">
        <v>24</v>
      </c>
      <c r="M217" s="6" t="s">
        <v>41</v>
      </c>
      <c r="N217" s="6" t="s">
        <v>76</v>
      </c>
      <c r="O217" s="12">
        <f t="shared" si="6"/>
        <v>0.31334800146681335</v>
      </c>
      <c r="P217" s="6" t="str">
        <f t="shared" si="7"/>
        <v>need improvement</v>
      </c>
    </row>
    <row r="218" spans="1:16" x14ac:dyDescent="0.3">
      <c r="A218" t="s">
        <v>562</v>
      </c>
      <c r="B218" s="6" t="s">
        <v>563</v>
      </c>
      <c r="C218" s="6" t="s">
        <v>369</v>
      </c>
      <c r="D218" s="6" t="s">
        <v>123</v>
      </c>
      <c r="E218" s="6" t="s">
        <v>137</v>
      </c>
      <c r="F218" s="6" t="s">
        <v>68</v>
      </c>
      <c r="G218" s="6">
        <v>48</v>
      </c>
      <c r="H218" s="6">
        <v>44.95</v>
      </c>
      <c r="I218" s="6">
        <v>2157.6</v>
      </c>
      <c r="J218" s="6">
        <v>148.41</v>
      </c>
      <c r="K218" s="6">
        <v>665.19</v>
      </c>
      <c r="L218" s="6" t="s">
        <v>24</v>
      </c>
      <c r="M218" s="6" t="s">
        <v>25</v>
      </c>
      <c r="N218" s="6" t="s">
        <v>76</v>
      </c>
      <c r="O218" s="12">
        <f t="shared" si="6"/>
        <v>0.30830088987764187</v>
      </c>
      <c r="P218" s="6" t="str">
        <f t="shared" si="7"/>
        <v>excellent</v>
      </c>
    </row>
    <row r="219" spans="1:16" x14ac:dyDescent="0.3">
      <c r="A219" t="s">
        <v>564</v>
      </c>
      <c r="B219" s="6" t="s">
        <v>400</v>
      </c>
      <c r="C219" s="6" t="s">
        <v>559</v>
      </c>
      <c r="D219" s="6" t="s">
        <v>116</v>
      </c>
      <c r="E219" s="6" t="s">
        <v>63</v>
      </c>
      <c r="F219" s="6" t="s">
        <v>47</v>
      </c>
      <c r="G219" s="6">
        <v>23</v>
      </c>
      <c r="H219" s="6">
        <v>28.6</v>
      </c>
      <c r="I219" s="6">
        <v>657.8</v>
      </c>
      <c r="J219" s="6">
        <v>13.36</v>
      </c>
      <c r="K219" s="6">
        <v>184.44</v>
      </c>
      <c r="L219" s="6" t="s">
        <v>24</v>
      </c>
      <c r="M219" s="6" t="s">
        <v>41</v>
      </c>
      <c r="N219" s="6" t="s">
        <v>76</v>
      </c>
      <c r="O219" s="12">
        <f t="shared" si="6"/>
        <v>0.28038917604135</v>
      </c>
      <c r="P219" s="6" t="str">
        <f t="shared" si="7"/>
        <v>need improvement</v>
      </c>
    </row>
    <row r="220" spans="1:16" x14ac:dyDescent="0.3">
      <c r="A220" t="s">
        <v>565</v>
      </c>
      <c r="B220" s="6" t="s">
        <v>309</v>
      </c>
      <c r="C220" s="6" t="s">
        <v>174</v>
      </c>
      <c r="D220" s="6" t="s">
        <v>171</v>
      </c>
      <c r="E220" s="6" t="s">
        <v>81</v>
      </c>
      <c r="F220" s="6" t="s">
        <v>68</v>
      </c>
      <c r="G220" s="6">
        <v>18</v>
      </c>
      <c r="H220" s="6">
        <v>26.1</v>
      </c>
      <c r="I220" s="6">
        <v>469.8</v>
      </c>
      <c r="J220" s="6">
        <v>19.52</v>
      </c>
      <c r="K220" s="6">
        <v>171.28</v>
      </c>
      <c r="L220" s="6" t="s">
        <v>48</v>
      </c>
      <c r="M220" s="6" t="s">
        <v>25</v>
      </c>
      <c r="N220" s="6" t="s">
        <v>35</v>
      </c>
      <c r="O220" s="12">
        <f t="shared" si="6"/>
        <v>0.36458067262664962</v>
      </c>
      <c r="P220" s="6" t="str">
        <f t="shared" si="7"/>
        <v>need improvement</v>
      </c>
    </row>
    <row r="221" spans="1:16" x14ac:dyDescent="0.3">
      <c r="A221" t="s">
        <v>566</v>
      </c>
      <c r="B221" s="6" t="s">
        <v>567</v>
      </c>
      <c r="C221" s="6" t="s">
        <v>568</v>
      </c>
      <c r="D221" s="6" t="s">
        <v>62</v>
      </c>
      <c r="E221" s="6" t="s">
        <v>137</v>
      </c>
      <c r="F221" s="6" t="s">
        <v>68</v>
      </c>
      <c r="G221" s="6">
        <v>21</v>
      </c>
      <c r="H221" s="6">
        <v>37.450000000000003</v>
      </c>
      <c r="I221" s="6">
        <v>786.45</v>
      </c>
      <c r="J221" s="6">
        <v>62.4</v>
      </c>
      <c r="K221" s="6">
        <v>136.05000000000001</v>
      </c>
      <c r="L221" s="6" t="s">
        <v>24</v>
      </c>
      <c r="M221" s="6" t="s">
        <v>41</v>
      </c>
      <c r="N221" s="6" t="s">
        <v>98</v>
      </c>
      <c r="O221" s="12">
        <f t="shared" si="6"/>
        <v>0.17299256151058554</v>
      </c>
      <c r="P221" s="6" t="str">
        <f t="shared" si="7"/>
        <v>good</v>
      </c>
    </row>
    <row r="222" spans="1:16" x14ac:dyDescent="0.3">
      <c r="A222" t="s">
        <v>569</v>
      </c>
      <c r="B222" s="6" t="s">
        <v>570</v>
      </c>
      <c r="C222" s="6" t="s">
        <v>511</v>
      </c>
      <c r="D222" s="6" t="s">
        <v>116</v>
      </c>
      <c r="E222" s="6" t="s">
        <v>63</v>
      </c>
      <c r="F222" s="6" t="s">
        <v>47</v>
      </c>
      <c r="G222" s="6">
        <v>25</v>
      </c>
      <c r="H222" s="6">
        <v>28.54</v>
      </c>
      <c r="I222" s="6">
        <v>713.5</v>
      </c>
      <c r="J222" s="6">
        <v>50.38</v>
      </c>
      <c r="K222" s="6">
        <v>163.12</v>
      </c>
      <c r="L222" s="6" t="s">
        <v>24</v>
      </c>
      <c r="M222" s="6" t="s">
        <v>25</v>
      </c>
      <c r="N222" s="6" t="s">
        <v>76</v>
      </c>
      <c r="O222" s="12">
        <f t="shared" si="6"/>
        <v>0.22861948142957253</v>
      </c>
      <c r="P222" s="6" t="str">
        <f t="shared" si="7"/>
        <v>need improvement</v>
      </c>
    </row>
    <row r="223" spans="1:16" x14ac:dyDescent="0.3">
      <c r="A223" t="s">
        <v>571</v>
      </c>
      <c r="B223" s="6" t="s">
        <v>303</v>
      </c>
      <c r="C223" s="6" t="s">
        <v>182</v>
      </c>
      <c r="D223" s="6" t="s">
        <v>21</v>
      </c>
      <c r="E223" s="6" t="s">
        <v>74</v>
      </c>
      <c r="F223" s="6" t="s">
        <v>75</v>
      </c>
      <c r="G223" s="6">
        <v>11</v>
      </c>
      <c r="H223" s="6">
        <v>38.07</v>
      </c>
      <c r="I223" s="6">
        <v>418.77</v>
      </c>
      <c r="J223" s="6">
        <v>29.02</v>
      </c>
      <c r="K223" s="6">
        <v>114.75</v>
      </c>
      <c r="L223" s="6" t="s">
        <v>33</v>
      </c>
      <c r="M223" s="6" t="s">
        <v>25</v>
      </c>
      <c r="N223" s="6" t="s">
        <v>98</v>
      </c>
      <c r="O223" s="12">
        <f t="shared" si="6"/>
        <v>0.27401676337846553</v>
      </c>
      <c r="P223" s="6" t="str">
        <f t="shared" si="7"/>
        <v>need improvement</v>
      </c>
    </row>
    <row r="224" spans="1:16" x14ac:dyDescent="0.3">
      <c r="A224" t="s">
        <v>572</v>
      </c>
      <c r="B224" s="6" t="s">
        <v>573</v>
      </c>
      <c r="C224" s="6" t="s">
        <v>574</v>
      </c>
      <c r="D224" s="6" t="s">
        <v>55</v>
      </c>
      <c r="E224" s="6" t="s">
        <v>81</v>
      </c>
      <c r="F224" s="6" t="s">
        <v>68</v>
      </c>
      <c r="G224" s="6">
        <v>18</v>
      </c>
      <c r="H224" s="6">
        <v>19.32</v>
      </c>
      <c r="I224" s="6">
        <v>347.76</v>
      </c>
      <c r="J224" s="6">
        <v>21.34</v>
      </c>
      <c r="K224" s="6">
        <v>47.42</v>
      </c>
      <c r="L224" s="6" t="s">
        <v>33</v>
      </c>
      <c r="M224" s="6" t="s">
        <v>25</v>
      </c>
      <c r="N224" s="6" t="s">
        <v>98</v>
      </c>
      <c r="O224" s="12">
        <f t="shared" si="6"/>
        <v>0.13635840809753855</v>
      </c>
      <c r="P224" s="6" t="str">
        <f t="shared" si="7"/>
        <v>good</v>
      </c>
    </row>
    <row r="225" spans="1:16" x14ac:dyDescent="0.3">
      <c r="A225" t="s">
        <v>575</v>
      </c>
      <c r="B225" s="6" t="s">
        <v>281</v>
      </c>
      <c r="C225" s="6" t="s">
        <v>110</v>
      </c>
      <c r="D225" s="6" t="s">
        <v>31</v>
      </c>
      <c r="E225" s="6" t="s">
        <v>137</v>
      </c>
      <c r="F225" s="6" t="s">
        <v>68</v>
      </c>
      <c r="G225" s="6">
        <v>42</v>
      </c>
      <c r="H225" s="6">
        <v>50.02</v>
      </c>
      <c r="I225" s="6">
        <v>2100.84</v>
      </c>
      <c r="J225" s="6">
        <v>89.65</v>
      </c>
      <c r="K225" s="6">
        <v>835.19</v>
      </c>
      <c r="L225" s="6" t="s">
        <v>33</v>
      </c>
      <c r="M225" s="6" t="s">
        <v>34</v>
      </c>
      <c r="N225" s="6" t="s">
        <v>35</v>
      </c>
      <c r="O225" s="12">
        <f t="shared" si="6"/>
        <v>0.39755050360808059</v>
      </c>
      <c r="P225" s="6" t="str">
        <f t="shared" si="7"/>
        <v>excellent</v>
      </c>
    </row>
    <row r="226" spans="1:16" x14ac:dyDescent="0.3">
      <c r="A226" t="s">
        <v>576</v>
      </c>
      <c r="B226" s="6" t="s">
        <v>577</v>
      </c>
      <c r="C226" s="6" t="s">
        <v>410</v>
      </c>
      <c r="D226" s="6" t="s">
        <v>206</v>
      </c>
      <c r="E226" s="6" t="s">
        <v>137</v>
      </c>
      <c r="F226" s="6" t="s">
        <v>68</v>
      </c>
      <c r="G226" s="6">
        <v>13</v>
      </c>
      <c r="H226" s="6">
        <v>49.39</v>
      </c>
      <c r="I226" s="6">
        <v>642.07000000000005</v>
      </c>
      <c r="J226" s="6">
        <v>38.32</v>
      </c>
      <c r="K226" s="6">
        <v>239.75</v>
      </c>
      <c r="L226" s="6" t="s">
        <v>33</v>
      </c>
      <c r="M226" s="6" t="s">
        <v>25</v>
      </c>
      <c r="N226" s="6" t="s">
        <v>207</v>
      </c>
      <c r="O226" s="12">
        <f t="shared" si="6"/>
        <v>0.37340165402526199</v>
      </c>
      <c r="P226" s="6" t="str">
        <f t="shared" si="7"/>
        <v>need improvement</v>
      </c>
    </row>
    <row r="227" spans="1:16" x14ac:dyDescent="0.3">
      <c r="A227" t="s">
        <v>578</v>
      </c>
      <c r="B227" s="6" t="s">
        <v>579</v>
      </c>
      <c r="C227" s="6" t="s">
        <v>188</v>
      </c>
      <c r="D227" s="6" t="s">
        <v>31</v>
      </c>
      <c r="E227" s="6" t="s">
        <v>32</v>
      </c>
      <c r="F227" s="6" t="s">
        <v>23</v>
      </c>
      <c r="G227" s="6">
        <v>15</v>
      </c>
      <c r="H227" s="6">
        <v>22.86</v>
      </c>
      <c r="I227" s="6">
        <v>342.9</v>
      </c>
      <c r="J227" s="6">
        <v>27.16</v>
      </c>
      <c r="K227" s="6">
        <v>45.74</v>
      </c>
      <c r="L227" s="6" t="s">
        <v>48</v>
      </c>
      <c r="M227" s="6" t="s">
        <v>41</v>
      </c>
      <c r="N227" s="6" t="s">
        <v>35</v>
      </c>
      <c r="O227" s="12">
        <f t="shared" si="6"/>
        <v>0.13339165937591135</v>
      </c>
      <c r="P227" s="6" t="str">
        <f t="shared" si="7"/>
        <v>good</v>
      </c>
    </row>
    <row r="228" spans="1:16" x14ac:dyDescent="0.3">
      <c r="A228" t="s">
        <v>580</v>
      </c>
      <c r="B228" s="6" t="s">
        <v>581</v>
      </c>
      <c r="C228" s="6" t="s">
        <v>568</v>
      </c>
      <c r="D228" s="6" t="s">
        <v>70</v>
      </c>
      <c r="E228" s="6" t="s">
        <v>74</v>
      </c>
      <c r="F228" s="6" t="s">
        <v>75</v>
      </c>
      <c r="G228" s="6">
        <v>37</v>
      </c>
      <c r="H228" s="6">
        <v>37.270000000000003</v>
      </c>
      <c r="I228" s="6">
        <v>1378.99</v>
      </c>
      <c r="J228" s="6">
        <v>92.92</v>
      </c>
      <c r="K228" s="6">
        <v>361.07</v>
      </c>
      <c r="L228" s="6" t="s">
        <v>24</v>
      </c>
      <c r="M228" s="6" t="s">
        <v>25</v>
      </c>
      <c r="N228" s="6" t="s">
        <v>76</v>
      </c>
      <c r="O228" s="12">
        <f t="shared" si="6"/>
        <v>0.26183656154141799</v>
      </c>
      <c r="P228" s="6" t="str">
        <f t="shared" si="7"/>
        <v>need improvement</v>
      </c>
    </row>
    <row r="229" spans="1:16" x14ac:dyDescent="0.3">
      <c r="A229" t="s">
        <v>582</v>
      </c>
      <c r="B229" s="6" t="s">
        <v>583</v>
      </c>
      <c r="C229" s="6" t="s">
        <v>61</v>
      </c>
      <c r="D229" s="6" t="s">
        <v>171</v>
      </c>
      <c r="E229" s="6" t="s">
        <v>22</v>
      </c>
      <c r="F229" s="6" t="s">
        <v>23</v>
      </c>
      <c r="G229" s="6">
        <v>49</v>
      </c>
      <c r="H229" s="6">
        <v>54.05</v>
      </c>
      <c r="I229" s="6">
        <v>2648.45</v>
      </c>
      <c r="J229" s="6">
        <v>66.8</v>
      </c>
      <c r="K229" s="6">
        <v>866.65</v>
      </c>
      <c r="L229" s="6" t="s">
        <v>48</v>
      </c>
      <c r="M229" s="6" t="s">
        <v>25</v>
      </c>
      <c r="N229" s="6" t="s">
        <v>35</v>
      </c>
      <c r="O229" s="12">
        <f t="shared" si="6"/>
        <v>0.32722913402178633</v>
      </c>
      <c r="P229" s="6" t="str">
        <f t="shared" si="7"/>
        <v>excellent</v>
      </c>
    </row>
    <row r="230" spans="1:16" x14ac:dyDescent="0.3">
      <c r="A230" t="s">
        <v>584</v>
      </c>
      <c r="B230" s="6" t="s">
        <v>585</v>
      </c>
      <c r="C230" s="6" t="s">
        <v>586</v>
      </c>
      <c r="D230" s="6" t="s">
        <v>31</v>
      </c>
      <c r="E230" s="6" t="s">
        <v>86</v>
      </c>
      <c r="F230" s="6" t="s">
        <v>47</v>
      </c>
      <c r="G230" s="6">
        <v>33</v>
      </c>
      <c r="H230" s="6">
        <v>20.059999999999999</v>
      </c>
      <c r="I230" s="6">
        <v>661.98</v>
      </c>
      <c r="J230" s="6">
        <v>50.02</v>
      </c>
      <c r="K230" s="6">
        <v>191.21</v>
      </c>
      <c r="L230" s="6" t="s">
        <v>48</v>
      </c>
      <c r="M230" s="6" t="s">
        <v>34</v>
      </c>
      <c r="N230" s="6" t="s">
        <v>35</v>
      </c>
      <c r="O230" s="12">
        <f t="shared" si="6"/>
        <v>0.28884558445874498</v>
      </c>
      <c r="P230" s="6" t="str">
        <f t="shared" si="7"/>
        <v>need improvement</v>
      </c>
    </row>
    <row r="231" spans="1:16" x14ac:dyDescent="0.3">
      <c r="A231" t="s">
        <v>587</v>
      </c>
      <c r="B231" s="6" t="s">
        <v>588</v>
      </c>
      <c r="C231" s="6" t="s">
        <v>328</v>
      </c>
      <c r="D231" s="6" t="s">
        <v>241</v>
      </c>
      <c r="E231" s="6" t="s">
        <v>137</v>
      </c>
      <c r="F231" s="6" t="s">
        <v>68</v>
      </c>
      <c r="G231" s="6">
        <v>49</v>
      </c>
      <c r="H231" s="6">
        <v>35.68</v>
      </c>
      <c r="I231" s="6">
        <v>1748.32</v>
      </c>
      <c r="J231" s="6">
        <v>124.47</v>
      </c>
      <c r="K231" s="6">
        <v>251.85</v>
      </c>
      <c r="L231" s="6" t="s">
        <v>48</v>
      </c>
      <c r="M231" s="6" t="s">
        <v>41</v>
      </c>
      <c r="N231" s="6" t="s">
        <v>35</v>
      </c>
      <c r="O231" s="12">
        <f t="shared" si="6"/>
        <v>0.14405257618742565</v>
      </c>
      <c r="P231" s="6" t="str">
        <f t="shared" si="7"/>
        <v>good</v>
      </c>
    </row>
    <row r="232" spans="1:16" x14ac:dyDescent="0.3">
      <c r="A232" t="s">
        <v>589</v>
      </c>
      <c r="B232" s="6" t="s">
        <v>590</v>
      </c>
      <c r="C232" s="6" t="s">
        <v>40</v>
      </c>
      <c r="D232" s="6" t="s">
        <v>70</v>
      </c>
      <c r="E232" s="6" t="s">
        <v>74</v>
      </c>
      <c r="F232" s="6" t="s">
        <v>75</v>
      </c>
      <c r="G232" s="6">
        <v>23</v>
      </c>
      <c r="H232" s="6">
        <v>30.89</v>
      </c>
      <c r="I232" s="6">
        <v>710.47</v>
      </c>
      <c r="J232" s="6">
        <v>18.739999999999998</v>
      </c>
      <c r="K232" s="6">
        <v>116.73</v>
      </c>
      <c r="L232" s="6" t="s">
        <v>33</v>
      </c>
      <c r="M232" s="6" t="s">
        <v>25</v>
      </c>
      <c r="N232" s="6" t="s">
        <v>76</v>
      </c>
      <c r="O232" s="12">
        <f t="shared" si="6"/>
        <v>0.16429968893830843</v>
      </c>
      <c r="P232" s="6" t="str">
        <f t="shared" si="7"/>
        <v>good</v>
      </c>
    </row>
    <row r="233" spans="1:16" x14ac:dyDescent="0.3">
      <c r="A233" t="s">
        <v>591</v>
      </c>
      <c r="B233" s="6" t="s">
        <v>101</v>
      </c>
      <c r="C233" s="6" t="s">
        <v>44</v>
      </c>
      <c r="D233" s="6" t="s">
        <v>171</v>
      </c>
      <c r="E233" s="6" t="s">
        <v>22</v>
      </c>
      <c r="F233" s="6" t="s">
        <v>23</v>
      </c>
      <c r="G233" s="6">
        <v>14</v>
      </c>
      <c r="H233" s="6">
        <v>59.6</v>
      </c>
      <c r="I233" s="6">
        <v>834.4</v>
      </c>
      <c r="J233" s="6">
        <v>19.11</v>
      </c>
      <c r="K233" s="6">
        <v>325.29000000000002</v>
      </c>
      <c r="L233" s="6" t="s">
        <v>33</v>
      </c>
      <c r="M233" s="6" t="s">
        <v>34</v>
      </c>
      <c r="N233" s="6" t="s">
        <v>35</v>
      </c>
      <c r="O233" s="12">
        <f t="shared" si="6"/>
        <v>0.38984899328859063</v>
      </c>
      <c r="P233" s="6" t="str">
        <f t="shared" si="7"/>
        <v>need improvement</v>
      </c>
    </row>
    <row r="234" spans="1:16" x14ac:dyDescent="0.3">
      <c r="A234" t="s">
        <v>592</v>
      </c>
      <c r="B234" s="6" t="s">
        <v>314</v>
      </c>
      <c r="C234" s="6" t="s">
        <v>480</v>
      </c>
      <c r="D234" s="6" t="s">
        <v>241</v>
      </c>
      <c r="E234" s="6" t="s">
        <v>67</v>
      </c>
      <c r="F234" s="6" t="s">
        <v>68</v>
      </c>
      <c r="G234" s="6">
        <v>3</v>
      </c>
      <c r="H234" s="6">
        <v>28.36</v>
      </c>
      <c r="I234" s="6">
        <v>85.08</v>
      </c>
      <c r="J234" s="6">
        <v>4.46</v>
      </c>
      <c r="K234" s="6">
        <v>13.12</v>
      </c>
      <c r="L234" s="6" t="s">
        <v>24</v>
      </c>
      <c r="M234" s="6" t="s">
        <v>34</v>
      </c>
      <c r="N234" s="6" t="s">
        <v>35</v>
      </c>
      <c r="O234" s="12">
        <f t="shared" si="6"/>
        <v>0.15420780441936999</v>
      </c>
      <c r="P234" s="6" t="str">
        <f t="shared" si="7"/>
        <v>good</v>
      </c>
    </row>
    <row r="235" spans="1:16" x14ac:dyDescent="0.3">
      <c r="A235" t="s">
        <v>593</v>
      </c>
      <c r="B235" s="6" t="s">
        <v>398</v>
      </c>
      <c r="C235" s="6" t="s">
        <v>216</v>
      </c>
      <c r="D235" s="6" t="s">
        <v>241</v>
      </c>
      <c r="E235" s="6" t="s">
        <v>86</v>
      </c>
      <c r="F235" s="6" t="s">
        <v>47</v>
      </c>
      <c r="G235" s="6">
        <v>28</v>
      </c>
      <c r="H235" s="6">
        <v>22.13</v>
      </c>
      <c r="I235" s="6">
        <v>619.64</v>
      </c>
      <c r="J235" s="6">
        <v>17.2</v>
      </c>
      <c r="K235" s="6">
        <v>245.44</v>
      </c>
      <c r="L235" s="6" t="s">
        <v>33</v>
      </c>
      <c r="M235" s="6" t="s">
        <v>41</v>
      </c>
      <c r="N235" s="6" t="s">
        <v>35</v>
      </c>
      <c r="O235" s="12">
        <f t="shared" si="6"/>
        <v>0.39610096184881544</v>
      </c>
      <c r="P235" s="6" t="str">
        <f t="shared" si="7"/>
        <v>need improvement</v>
      </c>
    </row>
    <row r="236" spans="1:16" x14ac:dyDescent="0.3">
      <c r="A236" t="s">
        <v>594</v>
      </c>
      <c r="B236" s="6" t="s">
        <v>388</v>
      </c>
      <c r="C236" s="6" t="s">
        <v>372</v>
      </c>
      <c r="D236" s="6" t="s">
        <v>21</v>
      </c>
      <c r="E236" s="6" t="s">
        <v>32</v>
      </c>
      <c r="F236" s="6" t="s">
        <v>23</v>
      </c>
      <c r="G236" s="6">
        <v>28</v>
      </c>
      <c r="H236" s="6">
        <v>27.62</v>
      </c>
      <c r="I236" s="6">
        <v>773.36</v>
      </c>
      <c r="J236" s="6">
        <v>29.88</v>
      </c>
      <c r="K236" s="6">
        <v>239.48</v>
      </c>
      <c r="L236" s="6" t="s">
        <v>24</v>
      </c>
      <c r="M236" s="6" t="s">
        <v>25</v>
      </c>
      <c r="N236" s="6" t="s">
        <v>98</v>
      </c>
      <c r="O236" s="12">
        <f t="shared" si="6"/>
        <v>0.30966173580221368</v>
      </c>
      <c r="P236" s="6" t="str">
        <f t="shared" si="7"/>
        <v>need improvement</v>
      </c>
    </row>
    <row r="237" spans="1:16" x14ac:dyDescent="0.3">
      <c r="A237" t="s">
        <v>595</v>
      </c>
      <c r="B237" s="6" t="s">
        <v>596</v>
      </c>
      <c r="C237" s="6" t="s">
        <v>194</v>
      </c>
      <c r="D237" s="6" t="s">
        <v>55</v>
      </c>
      <c r="E237" s="6" t="s">
        <v>74</v>
      </c>
      <c r="F237" s="6" t="s">
        <v>75</v>
      </c>
      <c r="G237" s="6">
        <v>40</v>
      </c>
      <c r="H237" s="6">
        <v>34.229999999999997</v>
      </c>
      <c r="I237" s="6">
        <v>1369.2</v>
      </c>
      <c r="J237" s="6">
        <v>78.03</v>
      </c>
      <c r="K237" s="6">
        <v>291.17</v>
      </c>
      <c r="L237" s="6" t="s">
        <v>24</v>
      </c>
      <c r="M237" s="6" t="s">
        <v>25</v>
      </c>
      <c r="N237" s="6" t="s">
        <v>98</v>
      </c>
      <c r="O237" s="12">
        <f t="shared" si="6"/>
        <v>0.21265702600058428</v>
      </c>
      <c r="P237" s="6" t="str">
        <f t="shared" si="7"/>
        <v>need improvement</v>
      </c>
    </row>
    <row r="238" spans="1:16" x14ac:dyDescent="0.3">
      <c r="A238" t="s">
        <v>597</v>
      </c>
      <c r="B238" s="6" t="s">
        <v>598</v>
      </c>
      <c r="C238" s="6" t="s">
        <v>285</v>
      </c>
      <c r="D238" s="6" t="s">
        <v>127</v>
      </c>
      <c r="E238" s="6" t="s">
        <v>56</v>
      </c>
      <c r="F238" s="6" t="s">
        <v>57</v>
      </c>
      <c r="G238" s="6">
        <v>9</v>
      </c>
      <c r="H238" s="6">
        <v>52.2</v>
      </c>
      <c r="I238" s="6">
        <v>469.8</v>
      </c>
      <c r="J238" s="6">
        <v>31.5</v>
      </c>
      <c r="K238" s="6">
        <v>78.3</v>
      </c>
      <c r="L238" s="6" t="s">
        <v>48</v>
      </c>
      <c r="M238" s="6" t="s">
        <v>41</v>
      </c>
      <c r="N238" s="6" t="s">
        <v>76</v>
      </c>
      <c r="O238" s="12">
        <f t="shared" si="6"/>
        <v>0.16666666666666666</v>
      </c>
      <c r="P238" s="6" t="str">
        <f t="shared" si="7"/>
        <v>good</v>
      </c>
    </row>
    <row r="239" spans="1:16" x14ac:dyDescent="0.3">
      <c r="A239" t="s">
        <v>599</v>
      </c>
      <c r="B239" s="6" t="s">
        <v>205</v>
      </c>
      <c r="C239" s="6" t="s">
        <v>372</v>
      </c>
      <c r="D239" s="6" t="s">
        <v>171</v>
      </c>
      <c r="E239" s="6" t="s">
        <v>74</v>
      </c>
      <c r="F239" s="6" t="s">
        <v>75</v>
      </c>
      <c r="G239" s="6">
        <v>31</v>
      </c>
      <c r="H239" s="6">
        <v>43.54</v>
      </c>
      <c r="I239" s="6">
        <v>1349.74</v>
      </c>
      <c r="J239" s="6">
        <v>99.86</v>
      </c>
      <c r="K239" s="6">
        <v>474.88</v>
      </c>
      <c r="L239" s="6" t="s">
        <v>24</v>
      </c>
      <c r="M239" s="6" t="s">
        <v>34</v>
      </c>
      <c r="N239" s="6" t="s">
        <v>35</v>
      </c>
      <c r="O239" s="12">
        <f t="shared" si="6"/>
        <v>0.35183072295405038</v>
      </c>
      <c r="P239" s="6" t="str">
        <f t="shared" si="7"/>
        <v>need improvement</v>
      </c>
    </row>
    <row r="240" spans="1:16" x14ac:dyDescent="0.3">
      <c r="A240" t="s">
        <v>600</v>
      </c>
      <c r="B240" s="6" t="s">
        <v>479</v>
      </c>
      <c r="C240" s="6" t="s">
        <v>185</v>
      </c>
      <c r="D240" s="6" t="s">
        <v>123</v>
      </c>
      <c r="E240" s="6" t="s">
        <v>81</v>
      </c>
      <c r="F240" s="6" t="s">
        <v>68</v>
      </c>
      <c r="G240" s="6">
        <v>31</v>
      </c>
      <c r="H240" s="6">
        <v>18.63</v>
      </c>
      <c r="I240" s="6">
        <v>577.53</v>
      </c>
      <c r="J240" s="6">
        <v>36.65</v>
      </c>
      <c r="K240" s="6">
        <v>60.38</v>
      </c>
      <c r="L240" s="6" t="s">
        <v>48</v>
      </c>
      <c r="M240" s="6" t="s">
        <v>25</v>
      </c>
      <c r="N240" s="6" t="s">
        <v>76</v>
      </c>
      <c r="O240" s="12">
        <f t="shared" si="6"/>
        <v>0.1045486814537773</v>
      </c>
      <c r="P240" s="6" t="str">
        <f t="shared" si="7"/>
        <v>good</v>
      </c>
    </row>
    <row r="241" spans="1:16" x14ac:dyDescent="0.3">
      <c r="A241" t="s">
        <v>601</v>
      </c>
      <c r="B241" s="6" t="s">
        <v>602</v>
      </c>
      <c r="C241" s="6" t="s">
        <v>442</v>
      </c>
      <c r="D241" s="6" t="s">
        <v>127</v>
      </c>
      <c r="E241" s="6" t="s">
        <v>63</v>
      </c>
      <c r="F241" s="6" t="s">
        <v>47</v>
      </c>
      <c r="G241" s="6">
        <v>38</v>
      </c>
      <c r="H241" s="6">
        <v>27.28</v>
      </c>
      <c r="I241" s="6">
        <v>1036.6400000000001</v>
      </c>
      <c r="J241" s="6">
        <v>38.770000000000003</v>
      </c>
      <c r="K241" s="6">
        <v>237.87</v>
      </c>
      <c r="L241" s="6" t="s">
        <v>24</v>
      </c>
      <c r="M241" s="6" t="s">
        <v>41</v>
      </c>
      <c r="N241" s="6" t="s">
        <v>76</v>
      </c>
      <c r="O241" s="12">
        <f t="shared" si="6"/>
        <v>0.22946249421206974</v>
      </c>
      <c r="P241" s="6" t="str">
        <f t="shared" si="7"/>
        <v>need improvement</v>
      </c>
    </row>
    <row r="242" spans="1:16" x14ac:dyDescent="0.3">
      <c r="A242" t="s">
        <v>603</v>
      </c>
      <c r="B242" s="6" t="s">
        <v>482</v>
      </c>
      <c r="C242" s="6" t="s">
        <v>328</v>
      </c>
      <c r="D242" s="6" t="s">
        <v>45</v>
      </c>
      <c r="E242" s="6" t="s">
        <v>32</v>
      </c>
      <c r="F242" s="6" t="s">
        <v>23</v>
      </c>
      <c r="G242" s="6">
        <v>50</v>
      </c>
      <c r="H242" s="6">
        <v>30.97</v>
      </c>
      <c r="I242" s="6">
        <v>1548.5</v>
      </c>
      <c r="J242" s="6">
        <v>82.09</v>
      </c>
      <c r="K242" s="6">
        <v>566.41</v>
      </c>
      <c r="L242" s="6" t="s">
        <v>33</v>
      </c>
      <c r="M242" s="6" t="s">
        <v>34</v>
      </c>
      <c r="N242" s="6" t="s">
        <v>49</v>
      </c>
      <c r="O242" s="12">
        <f t="shared" si="6"/>
        <v>0.36577978689053919</v>
      </c>
      <c r="P242" s="6" t="str">
        <f t="shared" si="7"/>
        <v>need improvement</v>
      </c>
    </row>
    <row r="243" spans="1:16" x14ac:dyDescent="0.3">
      <c r="A243" t="s">
        <v>604</v>
      </c>
      <c r="B243" s="6" t="s">
        <v>118</v>
      </c>
      <c r="C243" s="6" t="s">
        <v>126</v>
      </c>
      <c r="D243" s="6" t="s">
        <v>127</v>
      </c>
      <c r="E243" s="6" t="s">
        <v>56</v>
      </c>
      <c r="F243" s="6" t="s">
        <v>57</v>
      </c>
      <c r="G243" s="6">
        <v>17</v>
      </c>
      <c r="H243" s="6">
        <v>60.91</v>
      </c>
      <c r="I243" s="6">
        <v>1035.47</v>
      </c>
      <c r="J243" s="6">
        <v>54.09</v>
      </c>
      <c r="K243" s="6">
        <v>301.38</v>
      </c>
      <c r="L243" s="6" t="s">
        <v>48</v>
      </c>
      <c r="M243" s="6" t="s">
        <v>25</v>
      </c>
      <c r="N243" s="6" t="s">
        <v>76</v>
      </c>
      <c r="O243" s="12">
        <f t="shared" si="6"/>
        <v>0.29105623533274744</v>
      </c>
      <c r="P243" s="6" t="str">
        <f t="shared" si="7"/>
        <v>need improvement</v>
      </c>
    </row>
    <row r="244" spans="1:16" x14ac:dyDescent="0.3">
      <c r="A244" t="s">
        <v>605</v>
      </c>
      <c r="B244" s="6" t="s">
        <v>606</v>
      </c>
      <c r="C244" s="6" t="s">
        <v>437</v>
      </c>
      <c r="D244" s="6" t="s">
        <v>51</v>
      </c>
      <c r="E244" s="6" t="s">
        <v>63</v>
      </c>
      <c r="F244" s="6" t="s">
        <v>47</v>
      </c>
      <c r="G244" s="6">
        <v>25</v>
      </c>
      <c r="H244" s="6">
        <v>31.15</v>
      </c>
      <c r="I244" s="6">
        <v>778.75</v>
      </c>
      <c r="J244" s="6">
        <v>47.45</v>
      </c>
      <c r="K244" s="6">
        <v>231.3</v>
      </c>
      <c r="L244" s="6" t="s">
        <v>24</v>
      </c>
      <c r="M244" s="6" t="s">
        <v>41</v>
      </c>
      <c r="N244" s="6" t="s">
        <v>76</v>
      </c>
      <c r="O244" s="12">
        <f t="shared" si="6"/>
        <v>0.29701444622792939</v>
      </c>
      <c r="P244" s="6" t="str">
        <f t="shared" si="7"/>
        <v>need improvement</v>
      </c>
    </row>
    <row r="245" spans="1:16" x14ac:dyDescent="0.3">
      <c r="A245" t="s">
        <v>607</v>
      </c>
      <c r="B245" s="6" t="s">
        <v>608</v>
      </c>
      <c r="C245" s="6" t="s">
        <v>462</v>
      </c>
      <c r="D245" s="6" t="s">
        <v>171</v>
      </c>
      <c r="E245" s="6" t="s">
        <v>32</v>
      </c>
      <c r="F245" s="6" t="s">
        <v>23</v>
      </c>
      <c r="G245" s="6">
        <v>30</v>
      </c>
      <c r="H245" s="6">
        <v>31.12</v>
      </c>
      <c r="I245" s="6">
        <v>933.6</v>
      </c>
      <c r="J245" s="6">
        <v>50.88</v>
      </c>
      <c r="K245" s="6">
        <v>342.72</v>
      </c>
      <c r="L245" s="6" t="s">
        <v>33</v>
      </c>
      <c r="M245" s="6" t="s">
        <v>34</v>
      </c>
      <c r="N245" s="6" t="s">
        <v>35</v>
      </c>
      <c r="O245" s="12">
        <f t="shared" si="6"/>
        <v>0.36709511568123393</v>
      </c>
      <c r="P245" s="6" t="str">
        <f t="shared" si="7"/>
        <v>need improvement</v>
      </c>
    </row>
    <row r="246" spans="1:16" x14ac:dyDescent="0.3">
      <c r="A246" t="s">
        <v>609</v>
      </c>
      <c r="B246" s="6" t="s">
        <v>610</v>
      </c>
      <c r="C246" s="6" t="s">
        <v>182</v>
      </c>
      <c r="D246" s="6" t="s">
        <v>62</v>
      </c>
      <c r="E246" s="6" t="s">
        <v>81</v>
      </c>
      <c r="F246" s="6" t="s">
        <v>68</v>
      </c>
      <c r="G246" s="6">
        <v>17</v>
      </c>
      <c r="H246" s="6">
        <v>19.64</v>
      </c>
      <c r="I246" s="6">
        <v>333.88</v>
      </c>
      <c r="J246" s="6">
        <v>22.23</v>
      </c>
      <c r="K246" s="6">
        <v>48.15</v>
      </c>
      <c r="L246" s="6" t="s">
        <v>48</v>
      </c>
      <c r="M246" s="6" t="s">
        <v>41</v>
      </c>
      <c r="N246" s="6" t="s">
        <v>98</v>
      </c>
      <c r="O246" s="12">
        <f t="shared" si="6"/>
        <v>0.14421348987660237</v>
      </c>
      <c r="P246" s="6" t="str">
        <f t="shared" si="7"/>
        <v>good</v>
      </c>
    </row>
    <row r="247" spans="1:16" x14ac:dyDescent="0.3">
      <c r="A247" t="s">
        <v>611</v>
      </c>
      <c r="B247" s="6" t="s">
        <v>612</v>
      </c>
      <c r="C247" s="6" t="s">
        <v>613</v>
      </c>
      <c r="D247" s="6" t="s">
        <v>21</v>
      </c>
      <c r="E247" s="6" t="s">
        <v>46</v>
      </c>
      <c r="F247" s="6" t="s">
        <v>47</v>
      </c>
      <c r="G247" s="6">
        <v>37</v>
      </c>
      <c r="H247" s="6">
        <v>57.35</v>
      </c>
      <c r="I247" s="6">
        <v>2121.9499999999998</v>
      </c>
      <c r="J247" s="6">
        <v>147.38999999999999</v>
      </c>
      <c r="K247" s="6">
        <v>790.56</v>
      </c>
      <c r="L247" s="6" t="s">
        <v>24</v>
      </c>
      <c r="M247" s="6" t="s">
        <v>25</v>
      </c>
      <c r="N247" s="6" t="s">
        <v>98</v>
      </c>
      <c r="O247" s="12">
        <f t="shared" si="6"/>
        <v>0.37256297273734068</v>
      </c>
      <c r="P247" s="6" t="str">
        <f t="shared" si="7"/>
        <v>excellent</v>
      </c>
    </row>
    <row r="248" spans="1:16" x14ac:dyDescent="0.3">
      <c r="A248" t="s">
        <v>614</v>
      </c>
      <c r="B248" s="6" t="s">
        <v>615</v>
      </c>
      <c r="C248" s="6" t="s">
        <v>20</v>
      </c>
      <c r="D248" s="6" t="s">
        <v>37</v>
      </c>
      <c r="E248" s="6" t="s">
        <v>22</v>
      </c>
      <c r="F248" s="6" t="s">
        <v>23</v>
      </c>
      <c r="G248" s="6">
        <v>45</v>
      </c>
      <c r="H248" s="6">
        <v>42.6</v>
      </c>
      <c r="I248" s="6">
        <v>1917</v>
      </c>
      <c r="J248" s="6">
        <v>104.27</v>
      </c>
      <c r="K248" s="6">
        <v>237.73</v>
      </c>
      <c r="L248" s="6" t="s">
        <v>33</v>
      </c>
      <c r="M248" s="6" t="s">
        <v>41</v>
      </c>
      <c r="N248" s="6" t="s">
        <v>35</v>
      </c>
      <c r="O248" s="12">
        <f t="shared" si="6"/>
        <v>0.12401147626499738</v>
      </c>
      <c r="P248" s="6" t="str">
        <f t="shared" si="7"/>
        <v>good</v>
      </c>
    </row>
    <row r="249" spans="1:16" x14ac:dyDescent="0.3">
      <c r="A249" t="s">
        <v>616</v>
      </c>
      <c r="B249" s="6" t="s">
        <v>617</v>
      </c>
      <c r="C249" s="6" t="s">
        <v>165</v>
      </c>
      <c r="D249" s="6" t="s">
        <v>31</v>
      </c>
      <c r="E249" s="6" t="s">
        <v>63</v>
      </c>
      <c r="F249" s="6" t="s">
        <v>47</v>
      </c>
      <c r="G249" s="6">
        <v>25</v>
      </c>
      <c r="H249" s="6">
        <v>31.82</v>
      </c>
      <c r="I249" s="6">
        <v>795.5</v>
      </c>
      <c r="J249" s="6">
        <v>37.33</v>
      </c>
      <c r="K249" s="6">
        <v>258.17</v>
      </c>
      <c r="L249" s="6" t="s">
        <v>24</v>
      </c>
      <c r="M249" s="6" t="s">
        <v>34</v>
      </c>
      <c r="N249" s="6" t="s">
        <v>35</v>
      </c>
      <c r="O249" s="12">
        <f t="shared" si="6"/>
        <v>0.32453802639849155</v>
      </c>
      <c r="P249" s="6" t="str">
        <f t="shared" si="7"/>
        <v>need improvement</v>
      </c>
    </row>
    <row r="250" spans="1:16" x14ac:dyDescent="0.3">
      <c r="A250" t="s">
        <v>618</v>
      </c>
      <c r="B250" s="6" t="s">
        <v>105</v>
      </c>
      <c r="C250" s="6" t="s">
        <v>200</v>
      </c>
      <c r="D250" s="6" t="s">
        <v>70</v>
      </c>
      <c r="E250" s="6" t="s">
        <v>74</v>
      </c>
      <c r="F250" s="6" t="s">
        <v>75</v>
      </c>
      <c r="G250" s="6">
        <v>17</v>
      </c>
      <c r="H250" s="6">
        <v>36.270000000000003</v>
      </c>
      <c r="I250" s="6">
        <v>616.59</v>
      </c>
      <c r="J250" s="6">
        <v>22.76</v>
      </c>
      <c r="K250" s="6">
        <v>168.83</v>
      </c>
      <c r="L250" s="6" t="s">
        <v>48</v>
      </c>
      <c r="M250" s="6" t="s">
        <v>25</v>
      </c>
      <c r="N250" s="6" t="s">
        <v>76</v>
      </c>
      <c r="O250" s="12">
        <f t="shared" si="6"/>
        <v>0.27381241992247685</v>
      </c>
      <c r="P250" s="6" t="str">
        <f t="shared" si="7"/>
        <v>need improvement</v>
      </c>
    </row>
    <row r="251" spans="1:16" x14ac:dyDescent="0.3">
      <c r="A251" t="s">
        <v>619</v>
      </c>
      <c r="B251" s="6" t="s">
        <v>620</v>
      </c>
      <c r="C251" s="6" t="s">
        <v>334</v>
      </c>
      <c r="D251" s="6" t="s">
        <v>123</v>
      </c>
      <c r="E251" s="6" t="s">
        <v>32</v>
      </c>
      <c r="F251" s="6" t="s">
        <v>23</v>
      </c>
      <c r="G251" s="6">
        <v>4</v>
      </c>
      <c r="H251" s="6">
        <v>27.01</v>
      </c>
      <c r="I251" s="6">
        <v>108.04</v>
      </c>
      <c r="J251" s="6">
        <v>4.7300000000000004</v>
      </c>
      <c r="K251" s="6">
        <v>31.31</v>
      </c>
      <c r="L251" s="6" t="s">
        <v>48</v>
      </c>
      <c r="M251" s="6" t="s">
        <v>41</v>
      </c>
      <c r="N251" s="6" t="s">
        <v>76</v>
      </c>
      <c r="O251" s="12">
        <f t="shared" si="6"/>
        <v>0.28980007404664937</v>
      </c>
      <c r="P251" s="6" t="str">
        <f t="shared" si="7"/>
        <v>need improvement</v>
      </c>
    </row>
    <row r="252" spans="1:16" x14ac:dyDescent="0.3">
      <c r="A252" t="s">
        <v>621</v>
      </c>
      <c r="B252" s="6" t="s">
        <v>173</v>
      </c>
      <c r="C252" s="6" t="s">
        <v>369</v>
      </c>
      <c r="D252" s="6" t="s">
        <v>62</v>
      </c>
      <c r="E252" s="6" t="s">
        <v>22</v>
      </c>
      <c r="F252" s="6" t="s">
        <v>23</v>
      </c>
      <c r="G252" s="6">
        <v>22</v>
      </c>
      <c r="H252" s="6">
        <v>57.6</v>
      </c>
      <c r="I252" s="6">
        <v>1267.2</v>
      </c>
      <c r="J252" s="6">
        <v>35.32</v>
      </c>
      <c r="K252" s="6">
        <v>461.88</v>
      </c>
      <c r="L252" s="6" t="s">
        <v>48</v>
      </c>
      <c r="M252" s="6" t="s">
        <v>25</v>
      </c>
      <c r="N252" s="6" t="s">
        <v>98</v>
      </c>
      <c r="O252" s="12">
        <f t="shared" si="6"/>
        <v>0.36448863636363632</v>
      </c>
      <c r="P252" s="6" t="str">
        <f t="shared" si="7"/>
        <v>need improvement</v>
      </c>
    </row>
    <row r="253" spans="1:16" x14ac:dyDescent="0.3">
      <c r="A253" t="s">
        <v>622</v>
      </c>
      <c r="B253" s="6" t="s">
        <v>623</v>
      </c>
      <c r="C253" s="6" t="s">
        <v>417</v>
      </c>
      <c r="D253" s="6" t="s">
        <v>241</v>
      </c>
      <c r="E253" s="6" t="s">
        <v>74</v>
      </c>
      <c r="F253" s="6" t="s">
        <v>75</v>
      </c>
      <c r="G253" s="6">
        <v>24</v>
      </c>
      <c r="H253" s="6">
        <v>43.34</v>
      </c>
      <c r="I253" s="6">
        <v>1040.1600000000001</v>
      </c>
      <c r="J253" s="6">
        <v>41.18</v>
      </c>
      <c r="K253" s="6">
        <v>398.98</v>
      </c>
      <c r="L253" s="6" t="s">
        <v>24</v>
      </c>
      <c r="M253" s="6" t="s">
        <v>41</v>
      </c>
      <c r="N253" s="6" t="s">
        <v>35</v>
      </c>
      <c r="O253" s="12">
        <f t="shared" si="6"/>
        <v>0.38357560375326871</v>
      </c>
      <c r="P253" s="6" t="str">
        <f t="shared" si="7"/>
        <v>need improvement</v>
      </c>
    </row>
    <row r="254" spans="1:16" x14ac:dyDescent="0.3">
      <c r="A254" t="s">
        <v>624</v>
      </c>
      <c r="B254" s="6" t="s">
        <v>625</v>
      </c>
      <c r="C254" s="6" t="s">
        <v>266</v>
      </c>
      <c r="D254" s="6" t="s">
        <v>62</v>
      </c>
      <c r="E254" s="6" t="s">
        <v>56</v>
      </c>
      <c r="F254" s="6" t="s">
        <v>57</v>
      </c>
      <c r="G254" s="6">
        <v>37</v>
      </c>
      <c r="H254" s="6">
        <v>71.8</v>
      </c>
      <c r="I254" s="6">
        <v>2656.6</v>
      </c>
      <c r="J254" s="6">
        <v>60.3</v>
      </c>
      <c r="K254" s="6">
        <v>1116.3</v>
      </c>
      <c r="L254" s="6" t="s">
        <v>33</v>
      </c>
      <c r="M254" s="6" t="s">
        <v>25</v>
      </c>
      <c r="N254" s="6" t="s">
        <v>98</v>
      </c>
      <c r="O254" s="12">
        <f t="shared" si="6"/>
        <v>0.42019875028231574</v>
      </c>
      <c r="P254" s="6" t="str">
        <f t="shared" si="7"/>
        <v>excellent</v>
      </c>
    </row>
    <row r="255" spans="1:16" x14ac:dyDescent="0.3">
      <c r="A255" t="s">
        <v>626</v>
      </c>
      <c r="B255" s="6" t="s">
        <v>627</v>
      </c>
      <c r="C255" s="6" t="s">
        <v>613</v>
      </c>
      <c r="D255" s="6" t="s">
        <v>123</v>
      </c>
      <c r="E255" s="6" t="s">
        <v>63</v>
      </c>
      <c r="F255" s="6" t="s">
        <v>47</v>
      </c>
      <c r="G255" s="6">
        <v>24</v>
      </c>
      <c r="H255" s="6">
        <v>29.11</v>
      </c>
      <c r="I255" s="6">
        <v>698.64</v>
      </c>
      <c r="J255" s="6">
        <v>53.99</v>
      </c>
      <c r="K255" s="6">
        <v>164.65</v>
      </c>
      <c r="L255" s="6" t="s">
        <v>48</v>
      </c>
      <c r="M255" s="6" t="s">
        <v>41</v>
      </c>
      <c r="N255" s="6" t="s">
        <v>76</v>
      </c>
      <c r="O255" s="12">
        <f t="shared" si="6"/>
        <v>0.23567216305965877</v>
      </c>
      <c r="P255" s="6" t="str">
        <f t="shared" si="7"/>
        <v>need improvement</v>
      </c>
    </row>
    <row r="256" spans="1:16" x14ac:dyDescent="0.3">
      <c r="A256" t="s">
        <v>628</v>
      </c>
      <c r="B256" s="6" t="s">
        <v>629</v>
      </c>
      <c r="C256" s="6" t="s">
        <v>630</v>
      </c>
      <c r="D256" s="6" t="s">
        <v>127</v>
      </c>
      <c r="E256" s="6" t="s">
        <v>67</v>
      </c>
      <c r="F256" s="6" t="s">
        <v>68</v>
      </c>
      <c r="G256" s="6">
        <v>6</v>
      </c>
      <c r="H256" s="6">
        <v>27.91</v>
      </c>
      <c r="I256" s="6">
        <v>167.46</v>
      </c>
      <c r="J256" s="6">
        <v>10.01</v>
      </c>
      <c r="K256" s="6">
        <v>22.45</v>
      </c>
      <c r="L256" s="6" t="s">
        <v>24</v>
      </c>
      <c r="M256" s="6" t="s">
        <v>25</v>
      </c>
      <c r="N256" s="6" t="s">
        <v>76</v>
      </c>
      <c r="O256" s="12">
        <f t="shared" si="6"/>
        <v>0.1340618655201242</v>
      </c>
      <c r="P256" s="6" t="str">
        <f t="shared" si="7"/>
        <v>good</v>
      </c>
    </row>
    <row r="257" spans="1:16" x14ac:dyDescent="0.3">
      <c r="A257" t="s">
        <v>631</v>
      </c>
      <c r="B257" s="6" t="s">
        <v>602</v>
      </c>
      <c r="C257" s="6" t="s">
        <v>44</v>
      </c>
      <c r="D257" s="6" t="s">
        <v>51</v>
      </c>
      <c r="E257" s="6" t="s">
        <v>67</v>
      </c>
      <c r="F257" s="6" t="s">
        <v>68</v>
      </c>
      <c r="G257" s="6">
        <v>28</v>
      </c>
      <c r="H257" s="6">
        <v>27.29</v>
      </c>
      <c r="I257" s="6">
        <v>764.12</v>
      </c>
      <c r="J257" s="6">
        <v>25.78</v>
      </c>
      <c r="K257" s="6">
        <v>108.34</v>
      </c>
      <c r="L257" s="6" t="s">
        <v>48</v>
      </c>
      <c r="M257" s="6" t="s">
        <v>25</v>
      </c>
      <c r="N257" s="6" t="s">
        <v>76</v>
      </c>
      <c r="O257" s="12">
        <f t="shared" si="6"/>
        <v>0.1417840129822541</v>
      </c>
      <c r="P257" s="6" t="str">
        <f t="shared" si="7"/>
        <v>good</v>
      </c>
    </row>
    <row r="258" spans="1:16" x14ac:dyDescent="0.3">
      <c r="A258" t="s">
        <v>632</v>
      </c>
      <c r="B258" s="6" t="s">
        <v>633</v>
      </c>
      <c r="C258" s="6" t="s">
        <v>505</v>
      </c>
      <c r="D258" s="6" t="s">
        <v>62</v>
      </c>
      <c r="E258" s="6" t="s">
        <v>67</v>
      </c>
      <c r="F258" s="6" t="s">
        <v>68</v>
      </c>
      <c r="G258" s="6">
        <v>47</v>
      </c>
      <c r="H258" s="6">
        <v>35.880000000000003</v>
      </c>
      <c r="I258" s="6">
        <v>1686.36</v>
      </c>
      <c r="J258" s="6">
        <v>70.3</v>
      </c>
      <c r="K258" s="6">
        <v>558.55999999999995</v>
      </c>
      <c r="L258" s="6" t="s">
        <v>24</v>
      </c>
      <c r="M258" s="6" t="s">
        <v>34</v>
      </c>
      <c r="N258" s="6" t="s">
        <v>98</v>
      </c>
      <c r="O258" s="12">
        <f t="shared" si="6"/>
        <v>0.33122227756825351</v>
      </c>
      <c r="P258" s="6" t="str">
        <f t="shared" si="7"/>
        <v>need improvement</v>
      </c>
    </row>
    <row r="259" spans="1:16" x14ac:dyDescent="0.3">
      <c r="A259" t="s">
        <v>634</v>
      </c>
      <c r="B259" s="6" t="s">
        <v>617</v>
      </c>
      <c r="C259" s="6" t="s">
        <v>317</v>
      </c>
      <c r="D259" s="6" t="s">
        <v>171</v>
      </c>
      <c r="E259" s="6" t="s">
        <v>81</v>
      </c>
      <c r="F259" s="6" t="s">
        <v>68</v>
      </c>
      <c r="G259" s="6">
        <v>19</v>
      </c>
      <c r="H259" s="6">
        <v>27.47</v>
      </c>
      <c r="I259" s="6">
        <v>521.92999999999995</v>
      </c>
      <c r="J259" s="6">
        <v>31.29</v>
      </c>
      <c r="K259" s="6">
        <v>196.14</v>
      </c>
      <c r="L259" s="6" t="s">
        <v>33</v>
      </c>
      <c r="M259" s="6" t="s">
        <v>41</v>
      </c>
      <c r="N259" s="6" t="s">
        <v>35</v>
      </c>
      <c r="O259" s="12">
        <f t="shared" si="6"/>
        <v>0.37579752074032918</v>
      </c>
      <c r="P259" s="6" t="str">
        <f t="shared" si="7"/>
        <v>need improvement</v>
      </c>
    </row>
    <row r="260" spans="1:16" x14ac:dyDescent="0.3">
      <c r="A260" t="s">
        <v>635</v>
      </c>
      <c r="B260" s="6" t="s">
        <v>294</v>
      </c>
      <c r="C260" s="6" t="s">
        <v>216</v>
      </c>
      <c r="D260" s="6" t="s">
        <v>206</v>
      </c>
      <c r="E260" s="6" t="s">
        <v>63</v>
      </c>
      <c r="F260" s="6" t="s">
        <v>47</v>
      </c>
      <c r="G260" s="6">
        <v>13</v>
      </c>
      <c r="H260" s="6">
        <v>29.26</v>
      </c>
      <c r="I260" s="6">
        <v>380.38</v>
      </c>
      <c r="J260" s="6">
        <v>9.4700000000000006</v>
      </c>
      <c r="K260" s="6">
        <v>110.91</v>
      </c>
      <c r="L260" s="6" t="s">
        <v>33</v>
      </c>
      <c r="M260" s="6" t="s">
        <v>41</v>
      </c>
      <c r="N260" s="6" t="s">
        <v>207</v>
      </c>
      <c r="O260" s="12">
        <f t="shared" si="6"/>
        <v>0.29157684420842317</v>
      </c>
      <c r="P260" s="6" t="str">
        <f t="shared" si="7"/>
        <v>need improvement</v>
      </c>
    </row>
    <row r="261" spans="1:16" x14ac:dyDescent="0.3">
      <c r="A261" t="s">
        <v>636</v>
      </c>
      <c r="B261" s="6" t="s">
        <v>598</v>
      </c>
      <c r="C261" s="6" t="s">
        <v>485</v>
      </c>
      <c r="D261" s="6" t="s">
        <v>241</v>
      </c>
      <c r="E261" s="6" t="s">
        <v>32</v>
      </c>
      <c r="F261" s="6" t="s">
        <v>23</v>
      </c>
      <c r="G261" s="6">
        <v>4</v>
      </c>
      <c r="H261" s="6">
        <v>26.17</v>
      </c>
      <c r="I261" s="6">
        <v>104.68</v>
      </c>
      <c r="J261" s="6">
        <v>6.33</v>
      </c>
      <c r="K261" s="6">
        <v>26.35</v>
      </c>
      <c r="L261" s="6" t="s">
        <v>24</v>
      </c>
      <c r="M261" s="6" t="s">
        <v>34</v>
      </c>
      <c r="N261" s="6" t="s">
        <v>35</v>
      </c>
      <c r="O261" s="12">
        <f t="shared" si="6"/>
        <v>0.25171952617500953</v>
      </c>
      <c r="P261" s="6" t="str">
        <f t="shared" si="7"/>
        <v>need improvement</v>
      </c>
    </row>
    <row r="262" spans="1:16" x14ac:dyDescent="0.3">
      <c r="A262" t="s">
        <v>637</v>
      </c>
      <c r="B262" s="6" t="s">
        <v>638</v>
      </c>
      <c r="C262" s="6" t="s">
        <v>266</v>
      </c>
      <c r="D262" s="6" t="s">
        <v>241</v>
      </c>
      <c r="E262" s="6" t="s">
        <v>67</v>
      </c>
      <c r="F262" s="6" t="s">
        <v>68</v>
      </c>
      <c r="G262" s="6">
        <v>43</v>
      </c>
      <c r="H262" s="6">
        <v>37.32</v>
      </c>
      <c r="I262" s="6">
        <v>1604.76</v>
      </c>
      <c r="J262" s="6">
        <v>61.01</v>
      </c>
      <c r="K262" s="6">
        <v>576.25</v>
      </c>
      <c r="L262" s="6" t="s">
        <v>24</v>
      </c>
      <c r="M262" s="6" t="s">
        <v>34</v>
      </c>
      <c r="N262" s="6" t="s">
        <v>35</v>
      </c>
      <c r="O262" s="12">
        <f t="shared" ref="O262:O325" si="8">K262/I262</f>
        <v>0.35908796330915527</v>
      </c>
      <c r="P262" s="6" t="str">
        <f t="shared" ref="P262:P325" si="9">IF(AND(O262&gt;20%,I262&gt;2000),"excellent",IF(AND(O262&gt;=10%,O262&lt;=20%),"good","need improvement"))</f>
        <v>need improvement</v>
      </c>
    </row>
    <row r="263" spans="1:16" x14ac:dyDescent="0.3">
      <c r="A263" t="s">
        <v>639</v>
      </c>
      <c r="B263" s="6" t="s">
        <v>640</v>
      </c>
      <c r="C263" s="6" t="s">
        <v>465</v>
      </c>
      <c r="D263" s="6" t="s">
        <v>141</v>
      </c>
      <c r="E263" s="6" t="s">
        <v>32</v>
      </c>
      <c r="F263" s="6" t="s">
        <v>23</v>
      </c>
      <c r="G263" s="6">
        <v>27</v>
      </c>
      <c r="H263" s="6">
        <v>23.05</v>
      </c>
      <c r="I263" s="6">
        <v>622.35</v>
      </c>
      <c r="J263" s="6">
        <v>20.440000000000001</v>
      </c>
      <c r="K263" s="6">
        <v>115.91</v>
      </c>
      <c r="L263" s="6" t="s">
        <v>48</v>
      </c>
      <c r="M263" s="6" t="s">
        <v>34</v>
      </c>
      <c r="N263" s="6" t="s">
        <v>142</v>
      </c>
      <c r="O263" s="12">
        <f t="shared" si="8"/>
        <v>0.18624568169036715</v>
      </c>
      <c r="P263" s="6" t="str">
        <f t="shared" si="9"/>
        <v>good</v>
      </c>
    </row>
    <row r="264" spans="1:16" x14ac:dyDescent="0.3">
      <c r="A264" t="s">
        <v>641</v>
      </c>
      <c r="B264" s="6" t="s">
        <v>642</v>
      </c>
      <c r="C264" s="6" t="s">
        <v>643</v>
      </c>
      <c r="D264" s="6" t="s">
        <v>127</v>
      </c>
      <c r="E264" s="6" t="s">
        <v>86</v>
      </c>
      <c r="F264" s="6" t="s">
        <v>47</v>
      </c>
      <c r="G264" s="6">
        <v>38</v>
      </c>
      <c r="H264" s="6">
        <v>19.02</v>
      </c>
      <c r="I264" s="6">
        <v>722.76</v>
      </c>
      <c r="J264" s="6">
        <v>14.63</v>
      </c>
      <c r="K264" s="6">
        <v>223.63</v>
      </c>
      <c r="L264" s="6" t="s">
        <v>33</v>
      </c>
      <c r="M264" s="6" t="s">
        <v>34</v>
      </c>
      <c r="N264" s="6" t="s">
        <v>76</v>
      </c>
      <c r="O264" s="12">
        <f t="shared" si="8"/>
        <v>0.30941114616193482</v>
      </c>
      <c r="P264" s="6" t="str">
        <f t="shared" si="9"/>
        <v>need improvement</v>
      </c>
    </row>
    <row r="265" spans="1:16" x14ac:dyDescent="0.3">
      <c r="A265" t="s">
        <v>644</v>
      </c>
      <c r="B265" s="6" t="s">
        <v>645</v>
      </c>
      <c r="C265" s="6" t="s">
        <v>646</v>
      </c>
      <c r="D265" s="6" t="s">
        <v>55</v>
      </c>
      <c r="E265" s="6" t="s">
        <v>56</v>
      </c>
      <c r="F265" s="6" t="s">
        <v>57</v>
      </c>
      <c r="G265" s="6">
        <v>10</v>
      </c>
      <c r="H265" s="6">
        <v>70.94</v>
      </c>
      <c r="I265" s="6">
        <v>709.4</v>
      </c>
      <c r="J265" s="6">
        <v>18.64</v>
      </c>
      <c r="K265" s="6">
        <v>290.76</v>
      </c>
      <c r="L265" s="6" t="s">
        <v>33</v>
      </c>
      <c r="M265" s="6" t="s">
        <v>41</v>
      </c>
      <c r="N265" s="6" t="s">
        <v>98</v>
      </c>
      <c r="O265" s="12">
        <f t="shared" si="8"/>
        <v>0.40986749365661124</v>
      </c>
      <c r="P265" s="6" t="str">
        <f t="shared" si="9"/>
        <v>need improvement</v>
      </c>
    </row>
    <row r="266" spans="1:16" x14ac:dyDescent="0.3">
      <c r="A266" t="s">
        <v>647</v>
      </c>
      <c r="B266" s="6" t="s">
        <v>648</v>
      </c>
      <c r="C266" s="6" t="s">
        <v>442</v>
      </c>
      <c r="D266" s="6" t="s">
        <v>116</v>
      </c>
      <c r="E266" s="6" t="s">
        <v>74</v>
      </c>
      <c r="F266" s="6" t="s">
        <v>75</v>
      </c>
      <c r="G266" s="6">
        <v>17</v>
      </c>
      <c r="H266" s="6">
        <v>38.28</v>
      </c>
      <c r="I266" s="6">
        <v>650.76</v>
      </c>
      <c r="J266" s="6">
        <v>38.43</v>
      </c>
      <c r="K266" s="6">
        <v>187.33</v>
      </c>
      <c r="L266" s="6" t="s">
        <v>33</v>
      </c>
      <c r="M266" s="6" t="s">
        <v>41</v>
      </c>
      <c r="N266" s="6" t="s">
        <v>76</v>
      </c>
      <c r="O266" s="12">
        <f t="shared" si="8"/>
        <v>0.28786342123056119</v>
      </c>
      <c r="P266" s="6" t="str">
        <f t="shared" si="9"/>
        <v>need improvement</v>
      </c>
    </row>
    <row r="267" spans="1:16" x14ac:dyDescent="0.3">
      <c r="A267" t="s">
        <v>649</v>
      </c>
      <c r="B267" s="6" t="s">
        <v>650</v>
      </c>
      <c r="C267" s="6" t="s">
        <v>574</v>
      </c>
      <c r="D267" s="6" t="s">
        <v>21</v>
      </c>
      <c r="E267" s="6" t="s">
        <v>46</v>
      </c>
      <c r="F267" s="6" t="s">
        <v>47</v>
      </c>
      <c r="G267" s="6">
        <v>10</v>
      </c>
      <c r="H267" s="6">
        <v>38.799999999999997</v>
      </c>
      <c r="I267" s="6">
        <v>388</v>
      </c>
      <c r="J267" s="6">
        <v>16.39</v>
      </c>
      <c r="K267" s="6">
        <v>51.61</v>
      </c>
      <c r="L267" s="6" t="s">
        <v>48</v>
      </c>
      <c r="M267" s="6" t="s">
        <v>34</v>
      </c>
      <c r="N267" s="6" t="s">
        <v>98</v>
      </c>
      <c r="O267" s="12">
        <f t="shared" si="8"/>
        <v>0.13301546391752578</v>
      </c>
      <c r="P267" s="6" t="str">
        <f t="shared" si="9"/>
        <v>good</v>
      </c>
    </row>
    <row r="268" spans="1:16" x14ac:dyDescent="0.3">
      <c r="A268" t="s">
        <v>651</v>
      </c>
      <c r="B268" s="6" t="s">
        <v>652</v>
      </c>
      <c r="C268" s="6" t="s">
        <v>266</v>
      </c>
      <c r="D268" s="6" t="s">
        <v>51</v>
      </c>
      <c r="E268" s="6" t="s">
        <v>74</v>
      </c>
      <c r="F268" s="6" t="s">
        <v>75</v>
      </c>
      <c r="G268" s="6">
        <v>3</v>
      </c>
      <c r="H268" s="6">
        <v>33.840000000000003</v>
      </c>
      <c r="I268" s="6">
        <v>101.52</v>
      </c>
      <c r="J268" s="6">
        <v>2.3199999999999998</v>
      </c>
      <c r="K268" s="6">
        <v>24.2</v>
      </c>
      <c r="L268" s="6" t="s">
        <v>48</v>
      </c>
      <c r="M268" s="6" t="s">
        <v>41</v>
      </c>
      <c r="N268" s="6" t="s">
        <v>76</v>
      </c>
      <c r="O268" s="12">
        <f t="shared" si="8"/>
        <v>0.23837667454688732</v>
      </c>
      <c r="P268" s="6" t="str">
        <f t="shared" si="9"/>
        <v>need improvement</v>
      </c>
    </row>
    <row r="269" spans="1:16" x14ac:dyDescent="0.3">
      <c r="A269" t="s">
        <v>653</v>
      </c>
      <c r="B269" s="6" t="s">
        <v>654</v>
      </c>
      <c r="C269" s="6" t="s">
        <v>317</v>
      </c>
      <c r="D269" s="6" t="s">
        <v>241</v>
      </c>
      <c r="E269" s="6" t="s">
        <v>81</v>
      </c>
      <c r="F269" s="6" t="s">
        <v>68</v>
      </c>
      <c r="G269" s="6">
        <v>20</v>
      </c>
      <c r="H269" s="6">
        <v>21.12</v>
      </c>
      <c r="I269" s="6">
        <v>422.4</v>
      </c>
      <c r="J269" s="6">
        <v>22.08</v>
      </c>
      <c r="K269" s="6">
        <v>90.32</v>
      </c>
      <c r="L269" s="6" t="s">
        <v>33</v>
      </c>
      <c r="M269" s="6" t="s">
        <v>41</v>
      </c>
      <c r="N269" s="6" t="s">
        <v>35</v>
      </c>
      <c r="O269" s="12">
        <f t="shared" si="8"/>
        <v>0.21382575757575756</v>
      </c>
      <c r="P269" s="6" t="str">
        <f t="shared" si="9"/>
        <v>need improvement</v>
      </c>
    </row>
    <row r="270" spans="1:16" x14ac:dyDescent="0.3">
      <c r="A270" t="s">
        <v>655</v>
      </c>
      <c r="B270" s="6" t="s">
        <v>656</v>
      </c>
      <c r="C270" s="6" t="s">
        <v>440</v>
      </c>
      <c r="D270" s="6" t="s">
        <v>141</v>
      </c>
      <c r="E270" s="6" t="s">
        <v>22</v>
      </c>
      <c r="F270" s="6" t="s">
        <v>23</v>
      </c>
      <c r="G270" s="6">
        <v>1</v>
      </c>
      <c r="H270" s="6">
        <v>58.15</v>
      </c>
      <c r="I270" s="6">
        <v>58.15</v>
      </c>
      <c r="J270" s="6">
        <v>4.2</v>
      </c>
      <c r="K270" s="6">
        <v>18.95</v>
      </c>
      <c r="L270" s="6" t="s">
        <v>33</v>
      </c>
      <c r="M270" s="6" t="s">
        <v>34</v>
      </c>
      <c r="N270" s="6" t="s">
        <v>142</v>
      </c>
      <c r="O270" s="12">
        <f t="shared" si="8"/>
        <v>0.32588134135855545</v>
      </c>
      <c r="P270" s="6" t="str">
        <f t="shared" si="9"/>
        <v>need improvement</v>
      </c>
    </row>
    <row r="271" spans="1:16" x14ac:dyDescent="0.3">
      <c r="A271" t="s">
        <v>657</v>
      </c>
      <c r="B271" s="6" t="s">
        <v>658</v>
      </c>
      <c r="C271" s="6" t="s">
        <v>157</v>
      </c>
      <c r="D271" s="6" t="s">
        <v>45</v>
      </c>
      <c r="E271" s="6" t="s">
        <v>46</v>
      </c>
      <c r="F271" s="6" t="s">
        <v>47</v>
      </c>
      <c r="G271" s="6">
        <v>32</v>
      </c>
      <c r="H271" s="6">
        <v>45.96</v>
      </c>
      <c r="I271" s="6">
        <v>1470.72</v>
      </c>
      <c r="J271" s="6">
        <v>82.77</v>
      </c>
      <c r="K271" s="6">
        <v>363.95</v>
      </c>
      <c r="L271" s="6" t="s">
        <v>24</v>
      </c>
      <c r="M271" s="6" t="s">
        <v>34</v>
      </c>
      <c r="N271" s="6" t="s">
        <v>49</v>
      </c>
      <c r="O271" s="12">
        <f t="shared" si="8"/>
        <v>0.24746382724107918</v>
      </c>
      <c r="P271" s="6" t="str">
        <f t="shared" si="9"/>
        <v>need improvement</v>
      </c>
    </row>
    <row r="272" spans="1:16" x14ac:dyDescent="0.3">
      <c r="A272" t="s">
        <v>659</v>
      </c>
      <c r="B272" s="6" t="s">
        <v>660</v>
      </c>
      <c r="C272" s="6" t="s">
        <v>471</v>
      </c>
      <c r="D272" s="6" t="s">
        <v>37</v>
      </c>
      <c r="E272" s="6" t="s">
        <v>86</v>
      </c>
      <c r="F272" s="6" t="s">
        <v>47</v>
      </c>
      <c r="G272" s="6">
        <v>37</v>
      </c>
      <c r="H272" s="6">
        <v>16.82</v>
      </c>
      <c r="I272" s="6">
        <v>622.34</v>
      </c>
      <c r="J272" s="6">
        <v>32.9</v>
      </c>
      <c r="K272" s="6">
        <v>117.69</v>
      </c>
      <c r="L272" s="6" t="s">
        <v>48</v>
      </c>
      <c r="M272" s="6" t="s">
        <v>34</v>
      </c>
      <c r="N272" s="6" t="s">
        <v>35</v>
      </c>
      <c r="O272" s="12">
        <f t="shared" si="8"/>
        <v>0.18910884725391264</v>
      </c>
      <c r="P272" s="6" t="str">
        <f t="shared" si="9"/>
        <v>good</v>
      </c>
    </row>
    <row r="273" spans="1:16" x14ac:dyDescent="0.3">
      <c r="A273" t="s">
        <v>661</v>
      </c>
      <c r="B273" s="6" t="s">
        <v>662</v>
      </c>
      <c r="C273" s="6" t="s">
        <v>66</v>
      </c>
      <c r="D273" s="6" t="s">
        <v>37</v>
      </c>
      <c r="E273" s="6" t="s">
        <v>46</v>
      </c>
      <c r="F273" s="6" t="s">
        <v>47</v>
      </c>
      <c r="G273" s="6">
        <v>18</v>
      </c>
      <c r="H273" s="6">
        <v>54.62</v>
      </c>
      <c r="I273" s="6">
        <v>983.16</v>
      </c>
      <c r="J273" s="6">
        <v>22.61</v>
      </c>
      <c r="K273" s="6">
        <v>384.55</v>
      </c>
      <c r="L273" s="6" t="s">
        <v>48</v>
      </c>
      <c r="M273" s="6" t="s">
        <v>34</v>
      </c>
      <c r="N273" s="6" t="s">
        <v>35</v>
      </c>
      <c r="O273" s="12">
        <f t="shared" si="8"/>
        <v>0.39113674274787424</v>
      </c>
      <c r="P273" s="6" t="str">
        <f t="shared" si="9"/>
        <v>need improvement</v>
      </c>
    </row>
    <row r="274" spans="1:16" x14ac:dyDescent="0.3">
      <c r="A274" t="s">
        <v>663</v>
      </c>
      <c r="B274" s="6" t="s">
        <v>664</v>
      </c>
      <c r="C274" s="6" t="s">
        <v>170</v>
      </c>
      <c r="D274" s="6" t="s">
        <v>37</v>
      </c>
      <c r="E274" s="6" t="s">
        <v>86</v>
      </c>
      <c r="F274" s="6" t="s">
        <v>47</v>
      </c>
      <c r="G274" s="6">
        <v>30</v>
      </c>
      <c r="H274" s="6">
        <v>22.83</v>
      </c>
      <c r="I274" s="6">
        <v>684.9</v>
      </c>
      <c r="J274" s="6">
        <v>32.31</v>
      </c>
      <c r="K274" s="6">
        <v>270.08999999999997</v>
      </c>
      <c r="L274" s="6" t="s">
        <v>24</v>
      </c>
      <c r="M274" s="6" t="s">
        <v>34</v>
      </c>
      <c r="N274" s="6" t="s">
        <v>35</v>
      </c>
      <c r="O274" s="12">
        <f t="shared" si="8"/>
        <v>0.3943495400788436</v>
      </c>
      <c r="P274" s="6" t="str">
        <f t="shared" si="9"/>
        <v>need improvement</v>
      </c>
    </row>
    <row r="275" spans="1:16" x14ac:dyDescent="0.3">
      <c r="A275" t="s">
        <v>665</v>
      </c>
      <c r="B275" s="6" t="s">
        <v>388</v>
      </c>
      <c r="C275" s="6" t="s">
        <v>666</v>
      </c>
      <c r="D275" s="6" t="s">
        <v>171</v>
      </c>
      <c r="E275" s="6" t="s">
        <v>46</v>
      </c>
      <c r="F275" s="6" t="s">
        <v>47</v>
      </c>
      <c r="G275" s="6">
        <v>39</v>
      </c>
      <c r="H275" s="6">
        <v>47.02</v>
      </c>
      <c r="I275" s="6">
        <v>1833.78</v>
      </c>
      <c r="J275" s="6">
        <v>50.01</v>
      </c>
      <c r="K275" s="6">
        <v>535.77</v>
      </c>
      <c r="L275" s="6" t="s">
        <v>48</v>
      </c>
      <c r="M275" s="6" t="s">
        <v>34</v>
      </c>
      <c r="N275" s="6" t="s">
        <v>35</v>
      </c>
      <c r="O275" s="12">
        <f t="shared" si="8"/>
        <v>0.29216699931289469</v>
      </c>
      <c r="P275" s="6" t="str">
        <f t="shared" si="9"/>
        <v>need improvement</v>
      </c>
    </row>
    <row r="276" spans="1:16" x14ac:dyDescent="0.3">
      <c r="A276" t="s">
        <v>667</v>
      </c>
      <c r="B276" s="6" t="s">
        <v>668</v>
      </c>
      <c r="C276" s="6" t="s">
        <v>145</v>
      </c>
      <c r="D276" s="6" t="s">
        <v>21</v>
      </c>
      <c r="E276" s="6" t="s">
        <v>137</v>
      </c>
      <c r="F276" s="6" t="s">
        <v>68</v>
      </c>
      <c r="G276" s="6">
        <v>22</v>
      </c>
      <c r="H276" s="6">
        <v>43.32</v>
      </c>
      <c r="I276" s="6">
        <v>953.04</v>
      </c>
      <c r="J276" s="6">
        <v>71.3</v>
      </c>
      <c r="K276" s="6">
        <v>265.74</v>
      </c>
      <c r="L276" s="6" t="s">
        <v>33</v>
      </c>
      <c r="M276" s="6" t="s">
        <v>41</v>
      </c>
      <c r="N276" s="6" t="s">
        <v>98</v>
      </c>
      <c r="O276" s="12">
        <f t="shared" si="8"/>
        <v>0.27883404683958701</v>
      </c>
      <c r="P276" s="6" t="str">
        <f t="shared" si="9"/>
        <v>need improvement</v>
      </c>
    </row>
    <row r="277" spans="1:16" x14ac:dyDescent="0.3">
      <c r="A277" t="s">
        <v>669</v>
      </c>
      <c r="B277" s="6" t="s">
        <v>670</v>
      </c>
      <c r="C277" s="6" t="s">
        <v>475</v>
      </c>
      <c r="D277" s="6" t="s">
        <v>127</v>
      </c>
      <c r="E277" s="6" t="s">
        <v>67</v>
      </c>
      <c r="F277" s="6" t="s">
        <v>68</v>
      </c>
      <c r="G277" s="6">
        <v>6</v>
      </c>
      <c r="H277" s="6">
        <v>31.69</v>
      </c>
      <c r="I277" s="6">
        <v>190.14</v>
      </c>
      <c r="J277" s="6">
        <v>12.52</v>
      </c>
      <c r="K277" s="6">
        <v>42.62</v>
      </c>
      <c r="L277" s="6" t="s">
        <v>48</v>
      </c>
      <c r="M277" s="6" t="s">
        <v>34</v>
      </c>
      <c r="N277" s="6" t="s">
        <v>76</v>
      </c>
      <c r="O277" s="12">
        <f t="shared" si="8"/>
        <v>0.22415062585463344</v>
      </c>
      <c r="P277" s="6" t="str">
        <f t="shared" si="9"/>
        <v>need improvement</v>
      </c>
    </row>
    <row r="278" spans="1:16" x14ac:dyDescent="0.3">
      <c r="A278" t="s">
        <v>671</v>
      </c>
      <c r="B278" s="6" t="s">
        <v>672</v>
      </c>
      <c r="C278" s="6" t="s">
        <v>317</v>
      </c>
      <c r="D278" s="6" t="s">
        <v>241</v>
      </c>
      <c r="E278" s="6" t="s">
        <v>22</v>
      </c>
      <c r="F278" s="6" t="s">
        <v>23</v>
      </c>
      <c r="G278" s="6">
        <v>19</v>
      </c>
      <c r="H278" s="6">
        <v>53.28</v>
      </c>
      <c r="I278" s="6">
        <v>1012.32</v>
      </c>
      <c r="J278" s="6">
        <v>27.24</v>
      </c>
      <c r="K278" s="6">
        <v>320.08</v>
      </c>
      <c r="L278" s="6" t="s">
        <v>48</v>
      </c>
      <c r="M278" s="6" t="s">
        <v>34</v>
      </c>
      <c r="N278" s="6" t="s">
        <v>35</v>
      </c>
      <c r="O278" s="12">
        <f t="shared" si="8"/>
        <v>0.31618460565828982</v>
      </c>
      <c r="P278" s="6" t="str">
        <f t="shared" si="9"/>
        <v>need improvement</v>
      </c>
    </row>
    <row r="279" spans="1:16" x14ac:dyDescent="0.3">
      <c r="A279" t="s">
        <v>673</v>
      </c>
      <c r="B279" s="6" t="s">
        <v>530</v>
      </c>
      <c r="C279" s="6" t="s">
        <v>246</v>
      </c>
      <c r="D279" s="6" t="s">
        <v>21</v>
      </c>
      <c r="E279" s="6" t="s">
        <v>22</v>
      </c>
      <c r="F279" s="6" t="s">
        <v>23</v>
      </c>
      <c r="G279" s="6">
        <v>47</v>
      </c>
      <c r="H279" s="6">
        <v>47.53</v>
      </c>
      <c r="I279" s="6">
        <v>2233.91</v>
      </c>
      <c r="J279" s="6">
        <v>128.91</v>
      </c>
      <c r="K279" s="6">
        <v>460</v>
      </c>
      <c r="L279" s="6" t="s">
        <v>33</v>
      </c>
      <c r="M279" s="6" t="s">
        <v>25</v>
      </c>
      <c r="N279" s="6" t="s">
        <v>98</v>
      </c>
      <c r="O279" s="12">
        <f t="shared" si="8"/>
        <v>0.20591697964555422</v>
      </c>
      <c r="P279" s="6" t="str">
        <f t="shared" si="9"/>
        <v>excellent</v>
      </c>
    </row>
    <row r="280" spans="1:16" x14ac:dyDescent="0.3">
      <c r="A280" t="s">
        <v>674</v>
      </c>
      <c r="B280" s="6" t="s">
        <v>675</v>
      </c>
      <c r="C280" s="6" t="s">
        <v>455</v>
      </c>
      <c r="D280" s="6" t="s">
        <v>116</v>
      </c>
      <c r="E280" s="6" t="s">
        <v>63</v>
      </c>
      <c r="F280" s="6" t="s">
        <v>47</v>
      </c>
      <c r="G280" s="6">
        <v>12</v>
      </c>
      <c r="H280" s="6">
        <v>24.02</v>
      </c>
      <c r="I280" s="6">
        <v>288.24</v>
      </c>
      <c r="J280" s="6">
        <v>9.8000000000000007</v>
      </c>
      <c r="K280" s="6">
        <v>38.44</v>
      </c>
      <c r="L280" s="6" t="s">
        <v>24</v>
      </c>
      <c r="M280" s="6" t="s">
        <v>41</v>
      </c>
      <c r="N280" s="6" t="s">
        <v>76</v>
      </c>
      <c r="O280" s="12">
        <f t="shared" si="8"/>
        <v>0.133361087982237</v>
      </c>
      <c r="P280" s="6" t="str">
        <f t="shared" si="9"/>
        <v>good</v>
      </c>
    </row>
    <row r="281" spans="1:16" x14ac:dyDescent="0.3">
      <c r="A281" t="s">
        <v>676</v>
      </c>
      <c r="B281" s="6" t="s">
        <v>577</v>
      </c>
      <c r="C281" s="6" t="s">
        <v>574</v>
      </c>
      <c r="D281" s="6" t="s">
        <v>116</v>
      </c>
      <c r="E281" s="6" t="s">
        <v>86</v>
      </c>
      <c r="F281" s="6" t="s">
        <v>47</v>
      </c>
      <c r="G281" s="6">
        <v>32</v>
      </c>
      <c r="H281" s="6">
        <v>15.64</v>
      </c>
      <c r="I281" s="6">
        <v>500.48</v>
      </c>
      <c r="J281" s="6">
        <v>24.69</v>
      </c>
      <c r="K281" s="6">
        <v>67.790000000000006</v>
      </c>
      <c r="L281" s="6" t="s">
        <v>48</v>
      </c>
      <c r="M281" s="6" t="s">
        <v>25</v>
      </c>
      <c r="N281" s="6" t="s">
        <v>76</v>
      </c>
      <c r="O281" s="12">
        <f t="shared" si="8"/>
        <v>0.13544996803069054</v>
      </c>
      <c r="P281" s="6" t="str">
        <f t="shared" si="9"/>
        <v>good</v>
      </c>
    </row>
    <row r="282" spans="1:16" x14ac:dyDescent="0.3">
      <c r="A282" t="s">
        <v>677</v>
      </c>
      <c r="B282" s="6" t="s">
        <v>495</v>
      </c>
      <c r="C282" s="6" t="s">
        <v>381</v>
      </c>
      <c r="D282" s="6" t="s">
        <v>206</v>
      </c>
      <c r="E282" s="6" t="s">
        <v>46</v>
      </c>
      <c r="F282" s="6" t="s">
        <v>47</v>
      </c>
      <c r="G282" s="6">
        <v>22</v>
      </c>
      <c r="H282" s="6">
        <v>42.54</v>
      </c>
      <c r="I282" s="6">
        <v>935.88</v>
      </c>
      <c r="J282" s="6">
        <v>45.37</v>
      </c>
      <c r="K282" s="6">
        <v>186.51</v>
      </c>
      <c r="L282" s="6" t="s">
        <v>24</v>
      </c>
      <c r="M282" s="6" t="s">
        <v>41</v>
      </c>
      <c r="N282" s="6" t="s">
        <v>207</v>
      </c>
      <c r="O282" s="12">
        <f t="shared" si="8"/>
        <v>0.1992883703038851</v>
      </c>
      <c r="P282" s="6" t="str">
        <f t="shared" si="9"/>
        <v>good</v>
      </c>
    </row>
    <row r="283" spans="1:16" x14ac:dyDescent="0.3">
      <c r="A283" t="s">
        <v>678</v>
      </c>
      <c r="B283" s="6" t="s">
        <v>679</v>
      </c>
      <c r="C283" s="6" t="s">
        <v>499</v>
      </c>
      <c r="D283" s="6" t="s">
        <v>70</v>
      </c>
      <c r="E283" s="6" t="s">
        <v>74</v>
      </c>
      <c r="F283" s="6" t="s">
        <v>75</v>
      </c>
      <c r="G283" s="6">
        <v>37</v>
      </c>
      <c r="H283" s="6">
        <v>43.55</v>
      </c>
      <c r="I283" s="6">
        <v>1611.35</v>
      </c>
      <c r="J283" s="6">
        <v>67.78</v>
      </c>
      <c r="K283" s="6">
        <v>618.57000000000005</v>
      </c>
      <c r="L283" s="6" t="s">
        <v>33</v>
      </c>
      <c r="M283" s="6" t="s">
        <v>34</v>
      </c>
      <c r="N283" s="6" t="s">
        <v>76</v>
      </c>
      <c r="O283" s="12">
        <f t="shared" si="8"/>
        <v>0.38388307940546751</v>
      </c>
      <c r="P283" s="6" t="str">
        <f t="shared" si="9"/>
        <v>need improvement</v>
      </c>
    </row>
    <row r="284" spans="1:16" x14ac:dyDescent="0.3">
      <c r="A284" t="s">
        <v>680</v>
      </c>
      <c r="B284" s="6" t="s">
        <v>349</v>
      </c>
      <c r="C284" s="6" t="s">
        <v>182</v>
      </c>
      <c r="D284" s="6" t="s">
        <v>45</v>
      </c>
      <c r="E284" s="6" t="s">
        <v>81</v>
      </c>
      <c r="F284" s="6" t="s">
        <v>68</v>
      </c>
      <c r="G284" s="6">
        <v>42</v>
      </c>
      <c r="H284" s="6">
        <v>20.260000000000002</v>
      </c>
      <c r="I284" s="6">
        <v>850.92</v>
      </c>
      <c r="J284" s="6">
        <v>22.43</v>
      </c>
      <c r="K284" s="6">
        <v>177.49</v>
      </c>
      <c r="L284" s="6" t="s">
        <v>48</v>
      </c>
      <c r="M284" s="6" t="s">
        <v>41</v>
      </c>
      <c r="N284" s="6" t="s">
        <v>49</v>
      </c>
      <c r="O284" s="12">
        <f t="shared" si="8"/>
        <v>0.20858600103417479</v>
      </c>
      <c r="P284" s="6" t="str">
        <f t="shared" si="9"/>
        <v>need improvement</v>
      </c>
    </row>
    <row r="285" spans="1:16" x14ac:dyDescent="0.3">
      <c r="A285" t="s">
        <v>681</v>
      </c>
      <c r="B285" s="6" t="s">
        <v>682</v>
      </c>
      <c r="C285" s="6" t="s">
        <v>113</v>
      </c>
      <c r="D285" s="6" t="s">
        <v>55</v>
      </c>
      <c r="E285" s="6" t="s">
        <v>32</v>
      </c>
      <c r="F285" s="6" t="s">
        <v>23</v>
      </c>
      <c r="G285" s="6">
        <v>43</v>
      </c>
      <c r="H285" s="6">
        <v>24.08</v>
      </c>
      <c r="I285" s="6">
        <v>1035.44</v>
      </c>
      <c r="J285" s="6">
        <v>35.07</v>
      </c>
      <c r="K285" s="6">
        <v>226.37</v>
      </c>
      <c r="L285" s="6" t="s">
        <v>33</v>
      </c>
      <c r="M285" s="6" t="s">
        <v>41</v>
      </c>
      <c r="N285" s="6" t="s">
        <v>98</v>
      </c>
      <c r="O285" s="12">
        <f t="shared" si="8"/>
        <v>0.21862203507687553</v>
      </c>
      <c r="P285" s="6" t="str">
        <f t="shared" si="9"/>
        <v>need improvement</v>
      </c>
    </row>
    <row r="286" spans="1:16" x14ac:dyDescent="0.3">
      <c r="A286" t="s">
        <v>683</v>
      </c>
      <c r="B286" s="6" t="s">
        <v>366</v>
      </c>
      <c r="C286" s="6" t="s">
        <v>471</v>
      </c>
      <c r="D286" s="6" t="s">
        <v>241</v>
      </c>
      <c r="E286" s="6" t="s">
        <v>56</v>
      </c>
      <c r="F286" s="6" t="s">
        <v>57</v>
      </c>
      <c r="G286" s="6">
        <v>14</v>
      </c>
      <c r="H286" s="6">
        <v>69.010000000000005</v>
      </c>
      <c r="I286" s="6">
        <v>966.14</v>
      </c>
      <c r="J286" s="6">
        <v>32.67</v>
      </c>
      <c r="K286" s="6">
        <v>373.47</v>
      </c>
      <c r="L286" s="6" t="s">
        <v>33</v>
      </c>
      <c r="M286" s="6" t="s">
        <v>25</v>
      </c>
      <c r="N286" s="6" t="s">
        <v>35</v>
      </c>
      <c r="O286" s="12">
        <f t="shared" si="8"/>
        <v>0.38655888380565967</v>
      </c>
      <c r="P286" s="6" t="str">
        <f t="shared" si="9"/>
        <v>need improvement</v>
      </c>
    </row>
    <row r="287" spans="1:16" x14ac:dyDescent="0.3">
      <c r="A287" t="s">
        <v>684</v>
      </c>
      <c r="B287" s="6" t="s">
        <v>435</v>
      </c>
      <c r="C287" s="6" t="s">
        <v>188</v>
      </c>
      <c r="D287" s="6" t="s">
        <v>206</v>
      </c>
      <c r="E287" s="6" t="s">
        <v>63</v>
      </c>
      <c r="F287" s="6" t="s">
        <v>47</v>
      </c>
      <c r="G287" s="6">
        <v>29</v>
      </c>
      <c r="H287" s="6">
        <v>28.29</v>
      </c>
      <c r="I287" s="6">
        <v>820.41</v>
      </c>
      <c r="J287" s="6">
        <v>63.15</v>
      </c>
      <c r="K287" s="6">
        <v>177.26</v>
      </c>
      <c r="L287" s="6" t="s">
        <v>48</v>
      </c>
      <c r="M287" s="6" t="s">
        <v>41</v>
      </c>
      <c r="N287" s="6" t="s">
        <v>207</v>
      </c>
      <c r="O287" s="12">
        <f t="shared" si="8"/>
        <v>0.21606270035713851</v>
      </c>
      <c r="P287" s="6" t="str">
        <f t="shared" si="9"/>
        <v>need improvement</v>
      </c>
    </row>
    <row r="288" spans="1:16" x14ac:dyDescent="0.3">
      <c r="A288" t="s">
        <v>685</v>
      </c>
      <c r="B288" s="6" t="s">
        <v>686</v>
      </c>
      <c r="C288" s="6" t="s">
        <v>352</v>
      </c>
      <c r="D288" s="6" t="s">
        <v>62</v>
      </c>
      <c r="E288" s="6" t="s">
        <v>81</v>
      </c>
      <c r="F288" s="6" t="s">
        <v>68</v>
      </c>
      <c r="G288" s="6">
        <v>29</v>
      </c>
      <c r="H288" s="6">
        <v>26.51</v>
      </c>
      <c r="I288" s="6">
        <v>768.79</v>
      </c>
      <c r="J288" s="6">
        <v>15.66</v>
      </c>
      <c r="K288" s="6">
        <v>303.63</v>
      </c>
      <c r="L288" s="6" t="s">
        <v>33</v>
      </c>
      <c r="M288" s="6" t="s">
        <v>25</v>
      </c>
      <c r="N288" s="6" t="s">
        <v>98</v>
      </c>
      <c r="O288" s="12">
        <f t="shared" si="8"/>
        <v>0.3949453036589966</v>
      </c>
      <c r="P288" s="6" t="str">
        <f t="shared" si="9"/>
        <v>need improvement</v>
      </c>
    </row>
    <row r="289" spans="1:16" x14ac:dyDescent="0.3">
      <c r="A289" t="s">
        <v>687</v>
      </c>
      <c r="B289" s="6" t="s">
        <v>688</v>
      </c>
      <c r="C289" s="6" t="s">
        <v>194</v>
      </c>
      <c r="D289" s="6" t="s">
        <v>55</v>
      </c>
      <c r="E289" s="6" t="s">
        <v>22</v>
      </c>
      <c r="F289" s="6" t="s">
        <v>23</v>
      </c>
      <c r="G289" s="6">
        <v>11</v>
      </c>
      <c r="H289" s="6">
        <v>58.07</v>
      </c>
      <c r="I289" s="6">
        <v>638.77</v>
      </c>
      <c r="J289" s="6">
        <v>43.89</v>
      </c>
      <c r="K289" s="6">
        <v>209.88</v>
      </c>
      <c r="L289" s="6" t="s">
        <v>24</v>
      </c>
      <c r="M289" s="6" t="s">
        <v>34</v>
      </c>
      <c r="N289" s="6" t="s">
        <v>98</v>
      </c>
      <c r="O289" s="12">
        <f t="shared" si="8"/>
        <v>0.32856896848630962</v>
      </c>
      <c r="P289" s="6" t="str">
        <f t="shared" si="9"/>
        <v>need improvement</v>
      </c>
    </row>
    <row r="290" spans="1:16" x14ac:dyDescent="0.3">
      <c r="A290" t="s">
        <v>689</v>
      </c>
      <c r="B290" s="6" t="s">
        <v>536</v>
      </c>
      <c r="C290" s="6" t="s">
        <v>177</v>
      </c>
      <c r="D290" s="6" t="s">
        <v>31</v>
      </c>
      <c r="E290" s="6" t="s">
        <v>46</v>
      </c>
      <c r="F290" s="6" t="s">
        <v>47</v>
      </c>
      <c r="G290" s="6">
        <v>3</v>
      </c>
      <c r="H290" s="6">
        <v>48.76</v>
      </c>
      <c r="I290" s="6">
        <v>146.28</v>
      </c>
      <c r="J290" s="6">
        <v>10.45</v>
      </c>
      <c r="K290" s="6">
        <v>39.83</v>
      </c>
      <c r="L290" s="6" t="s">
        <v>48</v>
      </c>
      <c r="M290" s="6" t="s">
        <v>34</v>
      </c>
      <c r="N290" s="6" t="s">
        <v>35</v>
      </c>
      <c r="O290" s="12">
        <f t="shared" si="8"/>
        <v>0.2722860267979218</v>
      </c>
      <c r="P290" s="6" t="str">
        <f t="shared" si="9"/>
        <v>need improvement</v>
      </c>
    </row>
    <row r="291" spans="1:16" x14ac:dyDescent="0.3">
      <c r="A291" t="s">
        <v>690</v>
      </c>
      <c r="B291" s="6" t="s">
        <v>691</v>
      </c>
      <c r="C291" s="6" t="s">
        <v>257</v>
      </c>
      <c r="D291" s="6" t="s">
        <v>70</v>
      </c>
      <c r="E291" s="6" t="s">
        <v>63</v>
      </c>
      <c r="F291" s="6" t="s">
        <v>47</v>
      </c>
      <c r="G291" s="6">
        <v>49</v>
      </c>
      <c r="H291" s="6">
        <v>30.46</v>
      </c>
      <c r="I291" s="6">
        <v>1492.54</v>
      </c>
      <c r="J291" s="6">
        <v>51.82</v>
      </c>
      <c r="K291" s="6">
        <v>460.72</v>
      </c>
      <c r="L291" s="6" t="s">
        <v>33</v>
      </c>
      <c r="M291" s="6" t="s">
        <v>25</v>
      </c>
      <c r="N291" s="6" t="s">
        <v>76</v>
      </c>
      <c r="O291" s="12">
        <f t="shared" si="8"/>
        <v>0.30868184437268015</v>
      </c>
      <c r="P291" s="6" t="str">
        <f t="shared" si="9"/>
        <v>need improvement</v>
      </c>
    </row>
    <row r="292" spans="1:16" x14ac:dyDescent="0.3">
      <c r="A292" t="s">
        <v>692</v>
      </c>
      <c r="B292" s="6" t="s">
        <v>131</v>
      </c>
      <c r="C292" s="6" t="s">
        <v>40</v>
      </c>
      <c r="D292" s="6" t="s">
        <v>51</v>
      </c>
      <c r="E292" s="6" t="s">
        <v>137</v>
      </c>
      <c r="F292" s="6" t="s">
        <v>68</v>
      </c>
      <c r="G292" s="6">
        <v>25</v>
      </c>
      <c r="H292" s="6">
        <v>35.21</v>
      </c>
      <c r="I292" s="6">
        <v>880.25</v>
      </c>
      <c r="J292" s="6">
        <v>39.799999999999997</v>
      </c>
      <c r="K292" s="6">
        <v>140.44999999999999</v>
      </c>
      <c r="L292" s="6" t="s">
        <v>48</v>
      </c>
      <c r="M292" s="6" t="s">
        <v>34</v>
      </c>
      <c r="N292" s="6" t="s">
        <v>76</v>
      </c>
      <c r="O292" s="12">
        <f t="shared" si="8"/>
        <v>0.1595569440499858</v>
      </c>
      <c r="P292" s="6" t="str">
        <f t="shared" si="9"/>
        <v>good</v>
      </c>
    </row>
    <row r="293" spans="1:16" x14ac:dyDescent="0.3">
      <c r="A293" t="s">
        <v>693</v>
      </c>
      <c r="B293" s="6" t="s">
        <v>694</v>
      </c>
      <c r="C293" s="6" t="s">
        <v>352</v>
      </c>
      <c r="D293" s="6" t="s">
        <v>21</v>
      </c>
      <c r="E293" s="6" t="s">
        <v>137</v>
      </c>
      <c r="F293" s="6" t="s">
        <v>68</v>
      </c>
      <c r="G293" s="6">
        <v>37</v>
      </c>
      <c r="H293" s="6">
        <v>44.82</v>
      </c>
      <c r="I293" s="6">
        <v>1658.34</v>
      </c>
      <c r="J293" s="6">
        <v>65.75</v>
      </c>
      <c r="K293" s="6">
        <v>556.59</v>
      </c>
      <c r="L293" s="6" t="s">
        <v>33</v>
      </c>
      <c r="M293" s="6" t="s">
        <v>34</v>
      </c>
      <c r="N293" s="6" t="s">
        <v>98</v>
      </c>
      <c r="O293" s="12">
        <f t="shared" si="8"/>
        <v>0.33563081153442603</v>
      </c>
      <c r="P293" s="6" t="str">
        <f t="shared" si="9"/>
        <v>need improvement</v>
      </c>
    </row>
    <row r="294" spans="1:16" x14ac:dyDescent="0.3">
      <c r="A294" t="s">
        <v>695</v>
      </c>
      <c r="B294" s="6" t="s">
        <v>696</v>
      </c>
      <c r="C294" s="6" t="s">
        <v>485</v>
      </c>
      <c r="D294" s="6" t="s">
        <v>241</v>
      </c>
      <c r="E294" s="6" t="s">
        <v>81</v>
      </c>
      <c r="F294" s="6" t="s">
        <v>68</v>
      </c>
      <c r="G294" s="6">
        <v>11</v>
      </c>
      <c r="H294" s="6">
        <v>18.75</v>
      </c>
      <c r="I294" s="6">
        <v>206.25</v>
      </c>
      <c r="J294" s="6">
        <v>11.67</v>
      </c>
      <c r="K294" s="6">
        <v>24.08</v>
      </c>
      <c r="L294" s="6" t="s">
        <v>24</v>
      </c>
      <c r="M294" s="6" t="s">
        <v>25</v>
      </c>
      <c r="N294" s="6" t="s">
        <v>35</v>
      </c>
      <c r="O294" s="12">
        <f t="shared" si="8"/>
        <v>0.11675151515151515</v>
      </c>
      <c r="P294" s="6" t="str">
        <f t="shared" si="9"/>
        <v>good</v>
      </c>
    </row>
    <row r="295" spans="1:16" x14ac:dyDescent="0.3">
      <c r="A295" t="s">
        <v>697</v>
      </c>
      <c r="B295" s="6" t="s">
        <v>488</v>
      </c>
      <c r="C295" s="6" t="s">
        <v>352</v>
      </c>
      <c r="D295" s="6" t="s">
        <v>45</v>
      </c>
      <c r="E295" s="6" t="s">
        <v>63</v>
      </c>
      <c r="F295" s="6" t="s">
        <v>47</v>
      </c>
      <c r="G295" s="6">
        <v>37</v>
      </c>
      <c r="H295" s="6">
        <v>31.66</v>
      </c>
      <c r="I295" s="6">
        <v>1171.42</v>
      </c>
      <c r="J295" s="6">
        <v>58.95</v>
      </c>
      <c r="K295" s="6">
        <v>372.47</v>
      </c>
      <c r="L295" s="6" t="s">
        <v>48</v>
      </c>
      <c r="M295" s="6" t="s">
        <v>25</v>
      </c>
      <c r="N295" s="6" t="s">
        <v>49</v>
      </c>
      <c r="O295" s="12">
        <f t="shared" si="8"/>
        <v>0.31796452169162215</v>
      </c>
      <c r="P295" s="6" t="str">
        <f t="shared" si="9"/>
        <v>need improvement</v>
      </c>
    </row>
    <row r="296" spans="1:16" x14ac:dyDescent="0.3">
      <c r="A296" t="s">
        <v>698</v>
      </c>
      <c r="B296" s="6" t="s">
        <v>699</v>
      </c>
      <c r="C296" s="6" t="s">
        <v>475</v>
      </c>
      <c r="D296" s="6" t="s">
        <v>31</v>
      </c>
      <c r="E296" s="6" t="s">
        <v>63</v>
      </c>
      <c r="F296" s="6" t="s">
        <v>47</v>
      </c>
      <c r="G296" s="6">
        <v>17</v>
      </c>
      <c r="H296" s="6">
        <v>32.74</v>
      </c>
      <c r="I296" s="6">
        <v>556.58000000000004</v>
      </c>
      <c r="J296" s="6">
        <v>14.68</v>
      </c>
      <c r="K296" s="6">
        <v>201.9</v>
      </c>
      <c r="L296" s="6" t="s">
        <v>33</v>
      </c>
      <c r="M296" s="6" t="s">
        <v>34</v>
      </c>
      <c r="N296" s="6" t="s">
        <v>35</v>
      </c>
      <c r="O296" s="12">
        <f t="shared" si="8"/>
        <v>0.36275108699558012</v>
      </c>
      <c r="P296" s="6" t="str">
        <f t="shared" si="9"/>
        <v>need improvement</v>
      </c>
    </row>
    <row r="297" spans="1:16" x14ac:dyDescent="0.3">
      <c r="A297" t="s">
        <v>700</v>
      </c>
      <c r="B297" s="6" t="s">
        <v>701</v>
      </c>
      <c r="C297" s="6" t="s">
        <v>113</v>
      </c>
      <c r="D297" s="6" t="s">
        <v>21</v>
      </c>
      <c r="E297" s="6" t="s">
        <v>137</v>
      </c>
      <c r="F297" s="6" t="s">
        <v>68</v>
      </c>
      <c r="G297" s="6">
        <v>7</v>
      </c>
      <c r="H297" s="6">
        <v>46.64</v>
      </c>
      <c r="I297" s="6">
        <v>326.48</v>
      </c>
      <c r="J297" s="6">
        <v>25.19</v>
      </c>
      <c r="K297" s="6">
        <v>105.29</v>
      </c>
      <c r="L297" s="6" t="s">
        <v>33</v>
      </c>
      <c r="M297" s="6" t="s">
        <v>41</v>
      </c>
      <c r="N297" s="6" t="s">
        <v>98</v>
      </c>
      <c r="O297" s="12">
        <f t="shared" si="8"/>
        <v>0.32250061259495222</v>
      </c>
      <c r="P297" s="6" t="str">
        <f t="shared" si="9"/>
        <v>need improvement</v>
      </c>
    </row>
    <row r="298" spans="1:16" x14ac:dyDescent="0.3">
      <c r="A298" t="s">
        <v>702</v>
      </c>
      <c r="B298" s="6" t="s">
        <v>703</v>
      </c>
      <c r="C298" s="6" t="s">
        <v>216</v>
      </c>
      <c r="D298" s="6" t="s">
        <v>123</v>
      </c>
      <c r="E298" s="6" t="s">
        <v>32</v>
      </c>
      <c r="F298" s="6" t="s">
        <v>23</v>
      </c>
      <c r="G298" s="6">
        <v>16</v>
      </c>
      <c r="H298" s="6">
        <v>24.77</v>
      </c>
      <c r="I298" s="6">
        <v>396.32</v>
      </c>
      <c r="J298" s="6">
        <v>15.6</v>
      </c>
      <c r="K298" s="6">
        <v>92.72</v>
      </c>
      <c r="L298" s="6" t="s">
        <v>24</v>
      </c>
      <c r="M298" s="6" t="s">
        <v>41</v>
      </c>
      <c r="N298" s="6" t="s">
        <v>76</v>
      </c>
      <c r="O298" s="12">
        <f t="shared" si="8"/>
        <v>0.23395236172789666</v>
      </c>
      <c r="P298" s="6" t="str">
        <f t="shared" si="9"/>
        <v>need improvement</v>
      </c>
    </row>
    <row r="299" spans="1:16" x14ac:dyDescent="0.3">
      <c r="A299" t="s">
        <v>704</v>
      </c>
      <c r="B299" s="6" t="s">
        <v>406</v>
      </c>
      <c r="C299" s="6" t="s">
        <v>85</v>
      </c>
      <c r="D299" s="6" t="s">
        <v>62</v>
      </c>
      <c r="E299" s="6" t="s">
        <v>56</v>
      </c>
      <c r="F299" s="6" t="s">
        <v>57</v>
      </c>
      <c r="G299" s="6">
        <v>39</v>
      </c>
      <c r="H299" s="6">
        <v>56.5</v>
      </c>
      <c r="I299" s="6">
        <v>2203.5</v>
      </c>
      <c r="J299" s="6">
        <v>141.58000000000001</v>
      </c>
      <c r="K299" s="6">
        <v>501.92</v>
      </c>
      <c r="L299" s="6" t="s">
        <v>48</v>
      </c>
      <c r="M299" s="6" t="s">
        <v>25</v>
      </c>
      <c r="N299" s="6" t="s">
        <v>98</v>
      </c>
      <c r="O299" s="12">
        <f t="shared" si="8"/>
        <v>0.2277830723848423</v>
      </c>
      <c r="P299" s="6" t="str">
        <f t="shared" si="9"/>
        <v>excellent</v>
      </c>
    </row>
    <row r="300" spans="1:16" x14ac:dyDescent="0.3">
      <c r="A300" t="s">
        <v>705</v>
      </c>
      <c r="B300" s="6" t="s">
        <v>706</v>
      </c>
      <c r="C300" s="6" t="s">
        <v>574</v>
      </c>
      <c r="D300" s="6" t="s">
        <v>70</v>
      </c>
      <c r="E300" s="6" t="s">
        <v>81</v>
      </c>
      <c r="F300" s="6" t="s">
        <v>68</v>
      </c>
      <c r="G300" s="6">
        <v>1</v>
      </c>
      <c r="H300" s="6">
        <v>24.01</v>
      </c>
      <c r="I300" s="6">
        <v>24.01</v>
      </c>
      <c r="J300" s="6">
        <v>1.58</v>
      </c>
      <c r="K300" s="6">
        <v>6.93</v>
      </c>
      <c r="L300" s="6" t="s">
        <v>24</v>
      </c>
      <c r="M300" s="6" t="s">
        <v>25</v>
      </c>
      <c r="N300" s="6" t="s">
        <v>76</v>
      </c>
      <c r="O300" s="12">
        <f t="shared" si="8"/>
        <v>0.28862973760932942</v>
      </c>
      <c r="P300" s="6" t="str">
        <f t="shared" si="9"/>
        <v>need improvement</v>
      </c>
    </row>
    <row r="301" spans="1:16" x14ac:dyDescent="0.3">
      <c r="A301" t="s">
        <v>707</v>
      </c>
      <c r="B301" s="6" t="s">
        <v>187</v>
      </c>
      <c r="C301" s="6" t="s">
        <v>162</v>
      </c>
      <c r="D301" s="6" t="s">
        <v>70</v>
      </c>
      <c r="E301" s="6" t="s">
        <v>74</v>
      </c>
      <c r="F301" s="6" t="s">
        <v>75</v>
      </c>
      <c r="G301" s="6">
        <v>45</v>
      </c>
      <c r="H301" s="6">
        <v>35.99</v>
      </c>
      <c r="I301" s="6">
        <v>1619.55</v>
      </c>
      <c r="J301" s="6">
        <v>49.95</v>
      </c>
      <c r="K301" s="6">
        <v>444.6</v>
      </c>
      <c r="L301" s="6" t="s">
        <v>24</v>
      </c>
      <c r="M301" s="6" t="s">
        <v>34</v>
      </c>
      <c r="N301" s="6" t="s">
        <v>76</v>
      </c>
      <c r="O301" s="12">
        <f t="shared" si="8"/>
        <v>0.27452070019449848</v>
      </c>
      <c r="P301" s="6" t="str">
        <f t="shared" si="9"/>
        <v>need improvement</v>
      </c>
    </row>
    <row r="302" spans="1:16" x14ac:dyDescent="0.3">
      <c r="A302" t="s">
        <v>708</v>
      </c>
      <c r="B302" s="6" t="s">
        <v>303</v>
      </c>
      <c r="C302" s="6" t="s">
        <v>266</v>
      </c>
      <c r="D302" s="6" t="s">
        <v>116</v>
      </c>
      <c r="E302" s="6" t="s">
        <v>63</v>
      </c>
      <c r="F302" s="6" t="s">
        <v>47</v>
      </c>
      <c r="G302" s="6">
        <v>5</v>
      </c>
      <c r="H302" s="6">
        <v>25.45</v>
      </c>
      <c r="I302" s="6">
        <v>127.25</v>
      </c>
      <c r="J302" s="6">
        <v>7.22</v>
      </c>
      <c r="K302" s="6">
        <v>20.03</v>
      </c>
      <c r="L302" s="6" t="s">
        <v>48</v>
      </c>
      <c r="M302" s="6" t="s">
        <v>41</v>
      </c>
      <c r="N302" s="6" t="s">
        <v>76</v>
      </c>
      <c r="O302" s="12">
        <f t="shared" si="8"/>
        <v>0.15740667976424363</v>
      </c>
      <c r="P302" s="6" t="str">
        <f t="shared" si="9"/>
        <v>good</v>
      </c>
    </row>
    <row r="303" spans="1:16" x14ac:dyDescent="0.3">
      <c r="A303" t="s">
        <v>709</v>
      </c>
      <c r="B303" s="6" t="s">
        <v>395</v>
      </c>
      <c r="C303" s="6" t="s">
        <v>162</v>
      </c>
      <c r="D303" s="6" t="s">
        <v>127</v>
      </c>
      <c r="E303" s="6" t="s">
        <v>81</v>
      </c>
      <c r="F303" s="6" t="s">
        <v>68</v>
      </c>
      <c r="G303" s="6">
        <v>24</v>
      </c>
      <c r="H303" s="6">
        <v>19.53</v>
      </c>
      <c r="I303" s="6">
        <v>468.72</v>
      </c>
      <c r="J303" s="6">
        <v>14.12</v>
      </c>
      <c r="K303" s="6">
        <v>82.6</v>
      </c>
      <c r="L303" s="6" t="s">
        <v>24</v>
      </c>
      <c r="M303" s="6" t="s">
        <v>25</v>
      </c>
      <c r="N303" s="6" t="s">
        <v>76</v>
      </c>
      <c r="O303" s="12">
        <f t="shared" si="8"/>
        <v>0.17622461170848266</v>
      </c>
      <c r="P303" s="6" t="str">
        <f t="shared" si="9"/>
        <v>good</v>
      </c>
    </row>
    <row r="304" spans="1:16" x14ac:dyDescent="0.3">
      <c r="A304" t="s">
        <v>710</v>
      </c>
      <c r="B304" s="6" t="s">
        <v>164</v>
      </c>
      <c r="C304" s="6" t="s">
        <v>30</v>
      </c>
      <c r="D304" s="6" t="s">
        <v>55</v>
      </c>
      <c r="E304" s="6" t="s">
        <v>86</v>
      </c>
      <c r="F304" s="6" t="s">
        <v>47</v>
      </c>
      <c r="G304" s="6">
        <v>28</v>
      </c>
      <c r="H304" s="6">
        <v>22.33</v>
      </c>
      <c r="I304" s="6">
        <v>625.24</v>
      </c>
      <c r="J304" s="6">
        <v>44.24</v>
      </c>
      <c r="K304" s="6">
        <v>224</v>
      </c>
      <c r="L304" s="6" t="s">
        <v>24</v>
      </c>
      <c r="M304" s="6" t="s">
        <v>25</v>
      </c>
      <c r="N304" s="6" t="s">
        <v>98</v>
      </c>
      <c r="O304" s="12">
        <f t="shared" si="8"/>
        <v>0.35826242722794449</v>
      </c>
      <c r="P304" s="6" t="str">
        <f t="shared" si="9"/>
        <v>need improvement</v>
      </c>
    </row>
    <row r="305" spans="1:16" x14ac:dyDescent="0.3">
      <c r="A305" t="s">
        <v>711</v>
      </c>
      <c r="B305" s="6" t="s">
        <v>712</v>
      </c>
      <c r="C305" s="6" t="s">
        <v>148</v>
      </c>
      <c r="D305" s="6" t="s">
        <v>37</v>
      </c>
      <c r="E305" s="6" t="s">
        <v>46</v>
      </c>
      <c r="F305" s="6" t="s">
        <v>47</v>
      </c>
      <c r="G305" s="6">
        <v>49</v>
      </c>
      <c r="H305" s="6">
        <v>39.31</v>
      </c>
      <c r="I305" s="6">
        <v>1926.19</v>
      </c>
      <c r="J305" s="6">
        <v>69.7</v>
      </c>
      <c r="K305" s="6">
        <v>288.49</v>
      </c>
      <c r="L305" s="6" t="s">
        <v>33</v>
      </c>
      <c r="M305" s="6" t="s">
        <v>25</v>
      </c>
      <c r="N305" s="6" t="s">
        <v>35</v>
      </c>
      <c r="O305" s="12">
        <f t="shared" si="8"/>
        <v>0.14977234852221225</v>
      </c>
      <c r="P305" s="6" t="str">
        <f t="shared" si="9"/>
        <v>good</v>
      </c>
    </row>
    <row r="306" spans="1:16" x14ac:dyDescent="0.3">
      <c r="A306" t="s">
        <v>713</v>
      </c>
      <c r="B306" s="6" t="s">
        <v>714</v>
      </c>
      <c r="C306" s="6" t="s">
        <v>290</v>
      </c>
      <c r="D306" s="6" t="s">
        <v>70</v>
      </c>
      <c r="E306" s="6" t="s">
        <v>81</v>
      </c>
      <c r="F306" s="6" t="s">
        <v>68</v>
      </c>
      <c r="G306" s="6">
        <v>6</v>
      </c>
      <c r="H306" s="6">
        <v>22.95</v>
      </c>
      <c r="I306" s="6">
        <v>137.69999999999999</v>
      </c>
      <c r="J306" s="6">
        <v>5.63</v>
      </c>
      <c r="K306" s="6">
        <v>39.07</v>
      </c>
      <c r="L306" s="6" t="s">
        <v>33</v>
      </c>
      <c r="M306" s="6" t="s">
        <v>34</v>
      </c>
      <c r="N306" s="6" t="s">
        <v>76</v>
      </c>
      <c r="O306" s="12">
        <f t="shared" si="8"/>
        <v>0.28373275236020334</v>
      </c>
      <c r="P306" s="6" t="str">
        <f t="shared" si="9"/>
        <v>need improvement</v>
      </c>
    </row>
    <row r="307" spans="1:16" x14ac:dyDescent="0.3">
      <c r="A307" t="s">
        <v>715</v>
      </c>
      <c r="B307" s="6" t="s">
        <v>612</v>
      </c>
      <c r="C307" s="6" t="s">
        <v>246</v>
      </c>
      <c r="D307" s="6" t="s">
        <v>62</v>
      </c>
      <c r="E307" s="6" t="s">
        <v>63</v>
      </c>
      <c r="F307" s="6" t="s">
        <v>47</v>
      </c>
      <c r="G307" s="6">
        <v>35</v>
      </c>
      <c r="H307" s="6">
        <v>27.72</v>
      </c>
      <c r="I307" s="6">
        <v>970.2</v>
      </c>
      <c r="J307" s="6">
        <v>61.74</v>
      </c>
      <c r="K307" s="6">
        <v>208.46</v>
      </c>
      <c r="L307" s="6" t="s">
        <v>24</v>
      </c>
      <c r="M307" s="6" t="s">
        <v>41</v>
      </c>
      <c r="N307" s="6" t="s">
        <v>98</v>
      </c>
      <c r="O307" s="12">
        <f t="shared" si="8"/>
        <v>0.21486291486291487</v>
      </c>
      <c r="P307" s="6" t="str">
        <f t="shared" si="9"/>
        <v>need improvement</v>
      </c>
    </row>
    <row r="308" spans="1:16" x14ac:dyDescent="0.3">
      <c r="A308" t="s">
        <v>716</v>
      </c>
      <c r="B308" s="6" t="s">
        <v>261</v>
      </c>
      <c r="C308" s="6" t="s">
        <v>232</v>
      </c>
      <c r="D308" s="6" t="s">
        <v>51</v>
      </c>
      <c r="E308" s="6" t="s">
        <v>56</v>
      </c>
      <c r="F308" s="6" t="s">
        <v>57</v>
      </c>
      <c r="G308" s="6">
        <v>34</v>
      </c>
      <c r="H308" s="6">
        <v>64.75</v>
      </c>
      <c r="I308" s="6">
        <v>2201.5</v>
      </c>
      <c r="J308" s="6">
        <v>68.05</v>
      </c>
      <c r="K308" s="6">
        <v>773.45</v>
      </c>
      <c r="L308" s="6" t="s">
        <v>48</v>
      </c>
      <c r="M308" s="6" t="s">
        <v>41</v>
      </c>
      <c r="N308" s="6" t="s">
        <v>76</v>
      </c>
      <c r="O308" s="12">
        <f t="shared" si="8"/>
        <v>0.35132863956393368</v>
      </c>
      <c r="P308" s="6" t="str">
        <f t="shared" si="9"/>
        <v>excellent</v>
      </c>
    </row>
    <row r="309" spans="1:16" x14ac:dyDescent="0.3">
      <c r="A309" t="s">
        <v>717</v>
      </c>
      <c r="B309" s="6" t="s">
        <v>718</v>
      </c>
      <c r="C309" s="6" t="s">
        <v>191</v>
      </c>
      <c r="D309" s="6" t="s">
        <v>206</v>
      </c>
      <c r="E309" s="6" t="s">
        <v>63</v>
      </c>
      <c r="F309" s="6" t="s">
        <v>47</v>
      </c>
      <c r="G309" s="6">
        <v>49</v>
      </c>
      <c r="H309" s="6">
        <v>26.02</v>
      </c>
      <c r="I309" s="6">
        <v>1274.98</v>
      </c>
      <c r="J309" s="6">
        <v>61.84</v>
      </c>
      <c r="K309" s="6">
        <v>233.14</v>
      </c>
      <c r="L309" s="6" t="s">
        <v>48</v>
      </c>
      <c r="M309" s="6" t="s">
        <v>34</v>
      </c>
      <c r="N309" s="6" t="s">
        <v>207</v>
      </c>
      <c r="O309" s="12">
        <f t="shared" si="8"/>
        <v>0.18285777031796577</v>
      </c>
      <c r="P309" s="6" t="str">
        <f t="shared" si="9"/>
        <v>good</v>
      </c>
    </row>
    <row r="310" spans="1:16" x14ac:dyDescent="0.3">
      <c r="A310" t="s">
        <v>719</v>
      </c>
      <c r="B310" s="6" t="s">
        <v>263</v>
      </c>
      <c r="C310" s="6" t="s">
        <v>391</v>
      </c>
      <c r="D310" s="6" t="s">
        <v>45</v>
      </c>
      <c r="E310" s="6" t="s">
        <v>74</v>
      </c>
      <c r="F310" s="6" t="s">
        <v>75</v>
      </c>
      <c r="G310" s="6">
        <v>1</v>
      </c>
      <c r="H310" s="6">
        <v>32.979999999999997</v>
      </c>
      <c r="I310" s="6">
        <v>32.979999999999997</v>
      </c>
      <c r="J310" s="6">
        <v>1.89</v>
      </c>
      <c r="K310" s="6">
        <v>6.09</v>
      </c>
      <c r="L310" s="6" t="s">
        <v>48</v>
      </c>
      <c r="M310" s="6" t="s">
        <v>34</v>
      </c>
      <c r="N310" s="6" t="s">
        <v>49</v>
      </c>
      <c r="O310" s="12">
        <f t="shared" si="8"/>
        <v>0.18465736810187994</v>
      </c>
      <c r="P310" s="6" t="str">
        <f t="shared" si="9"/>
        <v>good</v>
      </c>
    </row>
    <row r="311" spans="1:16" x14ac:dyDescent="0.3">
      <c r="A311" t="s">
        <v>720</v>
      </c>
      <c r="B311" s="6" t="s">
        <v>294</v>
      </c>
      <c r="C311" s="6" t="s">
        <v>499</v>
      </c>
      <c r="D311" s="6" t="s">
        <v>45</v>
      </c>
      <c r="E311" s="6" t="s">
        <v>86</v>
      </c>
      <c r="F311" s="6" t="s">
        <v>47</v>
      </c>
      <c r="G311" s="6">
        <v>18</v>
      </c>
      <c r="H311" s="6">
        <v>20.09</v>
      </c>
      <c r="I311" s="6">
        <v>361.62</v>
      </c>
      <c r="J311" s="6">
        <v>8.3800000000000008</v>
      </c>
      <c r="K311" s="6">
        <v>123.74</v>
      </c>
      <c r="L311" s="6" t="s">
        <v>24</v>
      </c>
      <c r="M311" s="6" t="s">
        <v>25</v>
      </c>
      <c r="N311" s="6" t="s">
        <v>49</v>
      </c>
      <c r="O311" s="12">
        <f t="shared" si="8"/>
        <v>0.34218240141585088</v>
      </c>
      <c r="P311" s="6" t="str">
        <f t="shared" si="9"/>
        <v>need improvement</v>
      </c>
    </row>
    <row r="312" spans="1:16" x14ac:dyDescent="0.3">
      <c r="A312" t="s">
        <v>721</v>
      </c>
      <c r="B312" s="6" t="s">
        <v>679</v>
      </c>
      <c r="C312" s="6" t="s">
        <v>266</v>
      </c>
      <c r="D312" s="6" t="s">
        <v>70</v>
      </c>
      <c r="E312" s="6" t="s">
        <v>22</v>
      </c>
      <c r="F312" s="6" t="s">
        <v>23</v>
      </c>
      <c r="G312" s="6">
        <v>39</v>
      </c>
      <c r="H312" s="6">
        <v>49.59</v>
      </c>
      <c r="I312" s="6">
        <v>1934.01</v>
      </c>
      <c r="J312" s="6">
        <v>62.79</v>
      </c>
      <c r="K312" s="6">
        <v>506.22</v>
      </c>
      <c r="L312" s="6" t="s">
        <v>33</v>
      </c>
      <c r="M312" s="6" t="s">
        <v>34</v>
      </c>
      <c r="N312" s="6" t="s">
        <v>76</v>
      </c>
      <c r="O312" s="12">
        <f t="shared" si="8"/>
        <v>0.26174631982254487</v>
      </c>
      <c r="P312" s="6" t="str">
        <f t="shared" si="9"/>
        <v>need improvement</v>
      </c>
    </row>
    <row r="313" spans="1:16" x14ac:dyDescent="0.3">
      <c r="A313" t="s">
        <v>722</v>
      </c>
      <c r="B313" s="6" t="s">
        <v>723</v>
      </c>
      <c r="C313" s="6" t="s">
        <v>462</v>
      </c>
      <c r="D313" s="6" t="s">
        <v>55</v>
      </c>
      <c r="E313" s="6" t="s">
        <v>46</v>
      </c>
      <c r="F313" s="6" t="s">
        <v>47</v>
      </c>
      <c r="G313" s="6">
        <v>6</v>
      </c>
      <c r="H313" s="6">
        <v>41.99</v>
      </c>
      <c r="I313" s="6">
        <v>251.94</v>
      </c>
      <c r="J313" s="6">
        <v>10.76</v>
      </c>
      <c r="K313" s="6">
        <v>49.18</v>
      </c>
      <c r="L313" s="6" t="s">
        <v>24</v>
      </c>
      <c r="M313" s="6" t="s">
        <v>25</v>
      </c>
      <c r="N313" s="6" t="s">
        <v>98</v>
      </c>
      <c r="O313" s="12">
        <f t="shared" si="8"/>
        <v>0.19520520758910853</v>
      </c>
      <c r="P313" s="6" t="str">
        <f t="shared" si="9"/>
        <v>good</v>
      </c>
    </row>
    <row r="314" spans="1:16" x14ac:dyDescent="0.3">
      <c r="A314" t="s">
        <v>724</v>
      </c>
      <c r="B314" s="6" t="s">
        <v>243</v>
      </c>
      <c r="C314" s="6" t="s">
        <v>113</v>
      </c>
      <c r="D314" s="6" t="s">
        <v>116</v>
      </c>
      <c r="E314" s="6" t="s">
        <v>22</v>
      </c>
      <c r="F314" s="6" t="s">
        <v>23</v>
      </c>
      <c r="G314" s="6">
        <v>12</v>
      </c>
      <c r="H314" s="6">
        <v>47.4</v>
      </c>
      <c r="I314" s="6">
        <v>568.79999999999995</v>
      </c>
      <c r="J314" s="6">
        <v>23.31</v>
      </c>
      <c r="K314" s="6">
        <v>125.49</v>
      </c>
      <c r="L314" s="6" t="s">
        <v>48</v>
      </c>
      <c r="M314" s="6" t="s">
        <v>25</v>
      </c>
      <c r="N314" s="6" t="s">
        <v>76</v>
      </c>
      <c r="O314" s="12">
        <f t="shared" si="8"/>
        <v>0.22062236286919831</v>
      </c>
      <c r="P314" s="6" t="str">
        <f t="shared" si="9"/>
        <v>need improvement</v>
      </c>
    </row>
    <row r="315" spans="1:16" x14ac:dyDescent="0.3">
      <c r="A315" t="s">
        <v>725</v>
      </c>
      <c r="B315" s="6" t="s">
        <v>726</v>
      </c>
      <c r="C315" s="6" t="s">
        <v>396</v>
      </c>
      <c r="D315" s="6" t="s">
        <v>123</v>
      </c>
      <c r="E315" s="6" t="s">
        <v>63</v>
      </c>
      <c r="F315" s="6" t="s">
        <v>47</v>
      </c>
      <c r="G315" s="6">
        <v>50</v>
      </c>
      <c r="H315" s="6">
        <v>34.28</v>
      </c>
      <c r="I315" s="6">
        <v>1714</v>
      </c>
      <c r="J315" s="6">
        <v>59.84</v>
      </c>
      <c r="K315" s="6">
        <v>654.16</v>
      </c>
      <c r="L315" s="6" t="s">
        <v>24</v>
      </c>
      <c r="M315" s="6" t="s">
        <v>25</v>
      </c>
      <c r="N315" s="6" t="s">
        <v>76</v>
      </c>
      <c r="O315" s="12">
        <f t="shared" si="8"/>
        <v>0.38165694282380397</v>
      </c>
      <c r="P315" s="6" t="str">
        <f t="shared" si="9"/>
        <v>need improvement</v>
      </c>
    </row>
    <row r="316" spans="1:16" x14ac:dyDescent="0.3">
      <c r="A316" t="s">
        <v>727</v>
      </c>
      <c r="B316" s="6" t="s">
        <v>728</v>
      </c>
      <c r="C316" s="6" t="s">
        <v>323</v>
      </c>
      <c r="D316" s="6" t="s">
        <v>141</v>
      </c>
      <c r="E316" s="6" t="s">
        <v>32</v>
      </c>
      <c r="F316" s="6" t="s">
        <v>23</v>
      </c>
      <c r="G316" s="6">
        <v>50</v>
      </c>
      <c r="H316" s="6">
        <v>29.39</v>
      </c>
      <c r="I316" s="6">
        <v>1469.5</v>
      </c>
      <c r="J316" s="6">
        <v>101.51</v>
      </c>
      <c r="K316" s="6">
        <v>467.99</v>
      </c>
      <c r="L316" s="6" t="s">
        <v>48</v>
      </c>
      <c r="M316" s="6" t="s">
        <v>41</v>
      </c>
      <c r="N316" s="6" t="s">
        <v>142</v>
      </c>
      <c r="O316" s="12">
        <f t="shared" si="8"/>
        <v>0.31846886696155158</v>
      </c>
      <c r="P316" s="6" t="str">
        <f t="shared" si="9"/>
        <v>need improvement</v>
      </c>
    </row>
    <row r="317" spans="1:16" x14ac:dyDescent="0.3">
      <c r="A317" t="s">
        <v>729</v>
      </c>
      <c r="B317" s="6" t="s">
        <v>423</v>
      </c>
      <c r="C317" s="6" t="s">
        <v>182</v>
      </c>
      <c r="D317" s="6" t="s">
        <v>45</v>
      </c>
      <c r="E317" s="6" t="s">
        <v>32</v>
      </c>
      <c r="F317" s="6" t="s">
        <v>23</v>
      </c>
      <c r="G317" s="6">
        <v>46</v>
      </c>
      <c r="H317" s="6">
        <v>30.34</v>
      </c>
      <c r="I317" s="6">
        <v>1395.64</v>
      </c>
      <c r="J317" s="6">
        <v>104.2</v>
      </c>
      <c r="K317" s="6">
        <v>463.44</v>
      </c>
      <c r="L317" s="6" t="s">
        <v>24</v>
      </c>
      <c r="M317" s="6" t="s">
        <v>34</v>
      </c>
      <c r="N317" s="6" t="s">
        <v>49</v>
      </c>
      <c r="O317" s="12">
        <f t="shared" si="8"/>
        <v>0.33206270958126732</v>
      </c>
      <c r="P317" s="6" t="str">
        <f t="shared" si="9"/>
        <v>need improvement</v>
      </c>
    </row>
    <row r="318" spans="1:16" x14ac:dyDescent="0.3">
      <c r="A318" t="s">
        <v>730</v>
      </c>
      <c r="B318" s="6" t="s">
        <v>731</v>
      </c>
      <c r="C318" s="6" t="s">
        <v>732</v>
      </c>
      <c r="D318" s="6" t="s">
        <v>116</v>
      </c>
      <c r="E318" s="6" t="s">
        <v>86</v>
      </c>
      <c r="F318" s="6" t="s">
        <v>47</v>
      </c>
      <c r="G318" s="6">
        <v>50</v>
      </c>
      <c r="H318" s="6">
        <v>18.809999999999999</v>
      </c>
      <c r="I318" s="6">
        <v>940.5</v>
      </c>
      <c r="J318" s="6">
        <v>40.25</v>
      </c>
      <c r="K318" s="6">
        <v>262.75</v>
      </c>
      <c r="L318" s="6" t="s">
        <v>33</v>
      </c>
      <c r="M318" s="6" t="s">
        <v>34</v>
      </c>
      <c r="N318" s="6" t="s">
        <v>76</v>
      </c>
      <c r="O318" s="12">
        <f t="shared" si="8"/>
        <v>0.27937267410951622</v>
      </c>
      <c r="P318" s="6" t="str">
        <f t="shared" si="9"/>
        <v>need improvement</v>
      </c>
    </row>
    <row r="319" spans="1:16" x14ac:dyDescent="0.3">
      <c r="A319" t="s">
        <v>733</v>
      </c>
      <c r="B319" s="6" t="s">
        <v>734</v>
      </c>
      <c r="C319" s="6" t="s">
        <v>323</v>
      </c>
      <c r="D319" s="6" t="s">
        <v>206</v>
      </c>
      <c r="E319" s="6" t="s">
        <v>67</v>
      </c>
      <c r="F319" s="6" t="s">
        <v>68</v>
      </c>
      <c r="G319" s="6">
        <v>2</v>
      </c>
      <c r="H319" s="6">
        <v>29.64</v>
      </c>
      <c r="I319" s="6">
        <v>59.28</v>
      </c>
      <c r="J319" s="6">
        <v>4.59</v>
      </c>
      <c r="K319" s="6">
        <v>9.69</v>
      </c>
      <c r="L319" s="6" t="s">
        <v>33</v>
      </c>
      <c r="M319" s="6" t="s">
        <v>41</v>
      </c>
      <c r="N319" s="6" t="s">
        <v>207</v>
      </c>
      <c r="O319" s="12">
        <f t="shared" si="8"/>
        <v>0.16346153846153846</v>
      </c>
      <c r="P319" s="6" t="str">
        <f t="shared" si="9"/>
        <v>good</v>
      </c>
    </row>
    <row r="320" spans="1:16" x14ac:dyDescent="0.3">
      <c r="A320" t="s">
        <v>735</v>
      </c>
      <c r="B320" s="6" t="s">
        <v>736</v>
      </c>
      <c r="C320" s="6" t="s">
        <v>574</v>
      </c>
      <c r="D320" s="6" t="s">
        <v>116</v>
      </c>
      <c r="E320" s="6" t="s">
        <v>67</v>
      </c>
      <c r="F320" s="6" t="s">
        <v>68</v>
      </c>
      <c r="G320" s="6">
        <v>48</v>
      </c>
      <c r="H320" s="6">
        <v>27.9</v>
      </c>
      <c r="I320" s="6">
        <v>1339.2</v>
      </c>
      <c r="J320" s="6">
        <v>66.31</v>
      </c>
      <c r="K320" s="6">
        <v>192.89</v>
      </c>
      <c r="L320" s="6" t="s">
        <v>33</v>
      </c>
      <c r="M320" s="6" t="s">
        <v>41</v>
      </c>
      <c r="N320" s="6" t="s">
        <v>76</v>
      </c>
      <c r="O320" s="12">
        <f t="shared" si="8"/>
        <v>0.1440337514934289</v>
      </c>
      <c r="P320" s="6" t="str">
        <f t="shared" si="9"/>
        <v>good</v>
      </c>
    </row>
    <row r="321" spans="1:16" x14ac:dyDescent="0.3">
      <c r="A321" t="s">
        <v>737</v>
      </c>
      <c r="B321" s="6" t="s">
        <v>527</v>
      </c>
      <c r="C321" s="6" t="s">
        <v>465</v>
      </c>
      <c r="D321" s="6" t="s">
        <v>171</v>
      </c>
      <c r="E321" s="6" t="s">
        <v>74</v>
      </c>
      <c r="F321" s="6" t="s">
        <v>75</v>
      </c>
      <c r="G321" s="6">
        <v>28</v>
      </c>
      <c r="H321" s="6">
        <v>38.520000000000003</v>
      </c>
      <c r="I321" s="6">
        <v>1078.56</v>
      </c>
      <c r="J321" s="6">
        <v>64.510000000000005</v>
      </c>
      <c r="K321" s="6">
        <v>314.05</v>
      </c>
      <c r="L321" s="6" t="s">
        <v>24</v>
      </c>
      <c r="M321" s="6" t="s">
        <v>34</v>
      </c>
      <c r="N321" s="6" t="s">
        <v>35</v>
      </c>
      <c r="O321" s="12">
        <f t="shared" si="8"/>
        <v>0.29117527073134553</v>
      </c>
      <c r="P321" s="6" t="str">
        <f t="shared" si="9"/>
        <v>need improvement</v>
      </c>
    </row>
    <row r="322" spans="1:16" x14ac:dyDescent="0.3">
      <c r="A322" t="s">
        <v>738</v>
      </c>
      <c r="B322" s="6" t="s">
        <v>449</v>
      </c>
      <c r="C322" s="6" t="s">
        <v>288</v>
      </c>
      <c r="D322" s="6" t="s">
        <v>31</v>
      </c>
      <c r="E322" s="6" t="s">
        <v>67</v>
      </c>
      <c r="F322" s="6" t="s">
        <v>68</v>
      </c>
      <c r="G322" s="6">
        <v>11</v>
      </c>
      <c r="H322" s="6">
        <v>31.08</v>
      </c>
      <c r="I322" s="6">
        <v>341.88</v>
      </c>
      <c r="J322" s="6">
        <v>17.18</v>
      </c>
      <c r="K322" s="6">
        <v>77.2</v>
      </c>
      <c r="L322" s="6" t="s">
        <v>48</v>
      </c>
      <c r="M322" s="6" t="s">
        <v>41</v>
      </c>
      <c r="N322" s="6" t="s">
        <v>35</v>
      </c>
      <c r="O322" s="12">
        <f t="shared" si="8"/>
        <v>0.22581022581022583</v>
      </c>
      <c r="P322" s="6" t="str">
        <f t="shared" si="9"/>
        <v>need improvement</v>
      </c>
    </row>
    <row r="323" spans="1:16" x14ac:dyDescent="0.3">
      <c r="A323" t="s">
        <v>739</v>
      </c>
      <c r="B323" s="6" t="s">
        <v>740</v>
      </c>
      <c r="C323" s="6" t="s">
        <v>391</v>
      </c>
      <c r="D323" s="6" t="s">
        <v>62</v>
      </c>
      <c r="E323" s="6" t="s">
        <v>63</v>
      </c>
      <c r="F323" s="6" t="s">
        <v>47</v>
      </c>
      <c r="G323" s="6">
        <v>42</v>
      </c>
      <c r="H323" s="6">
        <v>25.95</v>
      </c>
      <c r="I323" s="6">
        <v>1089.9000000000001</v>
      </c>
      <c r="J323" s="6">
        <v>27.5</v>
      </c>
      <c r="K323" s="6">
        <v>222.4</v>
      </c>
      <c r="L323" s="6" t="s">
        <v>48</v>
      </c>
      <c r="M323" s="6" t="s">
        <v>41</v>
      </c>
      <c r="N323" s="6" t="s">
        <v>98</v>
      </c>
      <c r="O323" s="12">
        <f t="shared" si="8"/>
        <v>0.2040554179282503</v>
      </c>
      <c r="P323" s="6" t="str">
        <f t="shared" si="9"/>
        <v>need improvement</v>
      </c>
    </row>
    <row r="324" spans="1:16" x14ac:dyDescent="0.3">
      <c r="A324" t="s">
        <v>741</v>
      </c>
      <c r="B324" s="6" t="s">
        <v>393</v>
      </c>
      <c r="C324" s="6" t="s">
        <v>630</v>
      </c>
      <c r="D324" s="6" t="s">
        <v>116</v>
      </c>
      <c r="E324" s="6" t="s">
        <v>74</v>
      </c>
      <c r="F324" s="6" t="s">
        <v>75</v>
      </c>
      <c r="G324" s="6">
        <v>30</v>
      </c>
      <c r="H324" s="6">
        <v>30.16</v>
      </c>
      <c r="I324" s="6">
        <v>904.8</v>
      </c>
      <c r="J324" s="6">
        <v>70.13</v>
      </c>
      <c r="K324" s="6">
        <v>84.67</v>
      </c>
      <c r="L324" s="6" t="s">
        <v>33</v>
      </c>
      <c r="M324" s="6" t="s">
        <v>25</v>
      </c>
      <c r="N324" s="6" t="s">
        <v>76</v>
      </c>
      <c r="O324" s="12">
        <f t="shared" si="8"/>
        <v>9.3578691423519017E-2</v>
      </c>
      <c r="P324" s="6" t="str">
        <f t="shared" si="9"/>
        <v>need improvement</v>
      </c>
    </row>
    <row r="325" spans="1:16" x14ac:dyDescent="0.3">
      <c r="A325" t="s">
        <v>742</v>
      </c>
      <c r="B325" s="6" t="s">
        <v>464</v>
      </c>
      <c r="C325" s="6" t="s">
        <v>743</v>
      </c>
      <c r="D325" s="6" t="s">
        <v>45</v>
      </c>
      <c r="E325" s="6" t="s">
        <v>63</v>
      </c>
      <c r="F325" s="6" t="s">
        <v>47</v>
      </c>
      <c r="G325" s="6">
        <v>40</v>
      </c>
      <c r="H325" s="6">
        <v>30.03</v>
      </c>
      <c r="I325" s="6">
        <v>1201.2</v>
      </c>
      <c r="J325" s="6">
        <v>71.97</v>
      </c>
      <c r="K325" s="6">
        <v>329.23</v>
      </c>
      <c r="L325" s="6" t="s">
        <v>33</v>
      </c>
      <c r="M325" s="6" t="s">
        <v>25</v>
      </c>
      <c r="N325" s="6" t="s">
        <v>49</v>
      </c>
      <c r="O325" s="12">
        <f t="shared" si="8"/>
        <v>0.27408424908424911</v>
      </c>
      <c r="P325" s="6" t="str">
        <f t="shared" si="9"/>
        <v>need improvement</v>
      </c>
    </row>
    <row r="326" spans="1:16" x14ac:dyDescent="0.3">
      <c r="A326" t="s">
        <v>744</v>
      </c>
      <c r="B326" s="6" t="s">
        <v>745</v>
      </c>
      <c r="C326" s="6" t="s">
        <v>162</v>
      </c>
      <c r="D326" s="6" t="s">
        <v>141</v>
      </c>
      <c r="E326" s="6" t="s">
        <v>63</v>
      </c>
      <c r="F326" s="6" t="s">
        <v>47</v>
      </c>
      <c r="G326" s="6">
        <v>15</v>
      </c>
      <c r="H326" s="6">
        <v>27.12</v>
      </c>
      <c r="I326" s="6">
        <v>406.8</v>
      </c>
      <c r="J326" s="6">
        <v>24.28</v>
      </c>
      <c r="K326" s="6">
        <v>82.52</v>
      </c>
      <c r="L326" s="6" t="s">
        <v>33</v>
      </c>
      <c r="M326" s="6" t="s">
        <v>34</v>
      </c>
      <c r="N326" s="6" t="s">
        <v>142</v>
      </c>
      <c r="O326" s="12">
        <f t="shared" ref="O326:O389" si="10">K326/I326</f>
        <v>0.20285152409046212</v>
      </c>
      <c r="P326" s="6" t="str">
        <f t="shared" ref="P326:P389" si="11">IF(AND(O326&gt;20%,I326&gt;2000),"excellent",IF(AND(O326&gt;=10%,O326&lt;=20%),"good","need improvement"))</f>
        <v>need improvement</v>
      </c>
    </row>
    <row r="327" spans="1:16" x14ac:dyDescent="0.3">
      <c r="A327" t="s">
        <v>746</v>
      </c>
      <c r="B327" s="6" t="s">
        <v>567</v>
      </c>
      <c r="C327" s="6" t="s">
        <v>257</v>
      </c>
      <c r="D327" s="6" t="s">
        <v>171</v>
      </c>
      <c r="E327" s="6" t="s">
        <v>86</v>
      </c>
      <c r="F327" s="6" t="s">
        <v>47</v>
      </c>
      <c r="G327" s="6">
        <v>35</v>
      </c>
      <c r="H327" s="6">
        <v>18.350000000000001</v>
      </c>
      <c r="I327" s="6">
        <v>642.25</v>
      </c>
      <c r="J327" s="6">
        <v>29.35</v>
      </c>
      <c r="K327" s="6">
        <v>166.65</v>
      </c>
      <c r="L327" s="6" t="s">
        <v>24</v>
      </c>
      <c r="M327" s="6" t="s">
        <v>34</v>
      </c>
      <c r="N327" s="6" t="s">
        <v>35</v>
      </c>
      <c r="O327" s="12">
        <f t="shared" si="10"/>
        <v>0.2594783962631374</v>
      </c>
      <c r="P327" s="6" t="str">
        <f t="shared" si="11"/>
        <v>need improvement</v>
      </c>
    </row>
    <row r="328" spans="1:16" x14ac:dyDescent="0.3">
      <c r="A328" t="s">
        <v>747</v>
      </c>
      <c r="B328" s="6" t="s">
        <v>696</v>
      </c>
      <c r="C328" s="6" t="s">
        <v>646</v>
      </c>
      <c r="D328" s="6" t="s">
        <v>141</v>
      </c>
      <c r="E328" s="6" t="s">
        <v>22</v>
      </c>
      <c r="F328" s="6" t="s">
        <v>23</v>
      </c>
      <c r="G328" s="6">
        <v>21</v>
      </c>
      <c r="H328" s="6">
        <v>52.59</v>
      </c>
      <c r="I328" s="6">
        <v>1104.3900000000001</v>
      </c>
      <c r="J328" s="6">
        <v>57.06</v>
      </c>
      <c r="K328" s="6">
        <v>312.33</v>
      </c>
      <c r="L328" s="6" t="s">
        <v>33</v>
      </c>
      <c r="M328" s="6" t="s">
        <v>34</v>
      </c>
      <c r="N328" s="6" t="s">
        <v>142</v>
      </c>
      <c r="O328" s="12">
        <f t="shared" si="10"/>
        <v>0.28280770380028791</v>
      </c>
      <c r="P328" s="6" t="str">
        <f t="shared" si="11"/>
        <v>need improvement</v>
      </c>
    </row>
    <row r="329" spans="1:16" x14ac:dyDescent="0.3">
      <c r="A329" t="s">
        <v>748</v>
      </c>
      <c r="B329" s="6" t="s">
        <v>749</v>
      </c>
      <c r="C329" s="6" t="s">
        <v>574</v>
      </c>
      <c r="D329" s="6" t="s">
        <v>51</v>
      </c>
      <c r="E329" s="6" t="s">
        <v>137</v>
      </c>
      <c r="F329" s="6" t="s">
        <v>68</v>
      </c>
      <c r="G329" s="6">
        <v>10</v>
      </c>
      <c r="H329" s="6">
        <v>44.2</v>
      </c>
      <c r="I329" s="6">
        <v>442</v>
      </c>
      <c r="J329" s="6">
        <v>18.45</v>
      </c>
      <c r="K329" s="6">
        <v>143.55000000000001</v>
      </c>
      <c r="L329" s="6" t="s">
        <v>24</v>
      </c>
      <c r="M329" s="6" t="s">
        <v>25</v>
      </c>
      <c r="N329" s="6" t="s">
        <v>76</v>
      </c>
      <c r="O329" s="12">
        <f t="shared" si="10"/>
        <v>0.32477375565610861</v>
      </c>
      <c r="P329" s="6" t="str">
        <f t="shared" si="11"/>
        <v>need improvement</v>
      </c>
    </row>
    <row r="330" spans="1:16" x14ac:dyDescent="0.3">
      <c r="A330" t="s">
        <v>750</v>
      </c>
      <c r="B330" s="6" t="s">
        <v>532</v>
      </c>
      <c r="C330" s="6" t="s">
        <v>331</v>
      </c>
      <c r="D330" s="6" t="s">
        <v>51</v>
      </c>
      <c r="E330" s="6" t="s">
        <v>22</v>
      </c>
      <c r="F330" s="6" t="s">
        <v>23</v>
      </c>
      <c r="G330" s="6">
        <v>11</v>
      </c>
      <c r="H330" s="6">
        <v>60.9</v>
      </c>
      <c r="I330" s="6">
        <v>669.9</v>
      </c>
      <c r="J330" s="6">
        <v>26.28</v>
      </c>
      <c r="K330" s="6">
        <v>258.62</v>
      </c>
      <c r="L330" s="6" t="s">
        <v>33</v>
      </c>
      <c r="M330" s="6" t="s">
        <v>34</v>
      </c>
      <c r="N330" s="6" t="s">
        <v>76</v>
      </c>
      <c r="O330" s="12">
        <f t="shared" si="10"/>
        <v>0.38605762054037918</v>
      </c>
      <c r="P330" s="6" t="str">
        <f t="shared" si="11"/>
        <v>need improvement</v>
      </c>
    </row>
    <row r="331" spans="1:16" x14ac:dyDescent="0.3">
      <c r="A331" t="s">
        <v>751</v>
      </c>
      <c r="B331" s="6" t="s">
        <v>752</v>
      </c>
      <c r="C331" s="6" t="s">
        <v>73</v>
      </c>
      <c r="D331" s="6" t="s">
        <v>123</v>
      </c>
      <c r="E331" s="6" t="s">
        <v>86</v>
      </c>
      <c r="F331" s="6" t="s">
        <v>47</v>
      </c>
      <c r="G331" s="6">
        <v>26</v>
      </c>
      <c r="H331" s="6">
        <v>22.32</v>
      </c>
      <c r="I331" s="6">
        <v>580.32000000000005</v>
      </c>
      <c r="J331" s="6">
        <v>45.08</v>
      </c>
      <c r="K331" s="6">
        <v>203.74</v>
      </c>
      <c r="L331" s="6" t="s">
        <v>33</v>
      </c>
      <c r="M331" s="6" t="s">
        <v>34</v>
      </c>
      <c r="N331" s="6" t="s">
        <v>76</v>
      </c>
      <c r="O331" s="12">
        <f t="shared" si="10"/>
        <v>0.3510821615660325</v>
      </c>
      <c r="P331" s="6" t="str">
        <f t="shared" si="11"/>
        <v>need improvement</v>
      </c>
    </row>
    <row r="332" spans="1:16" x14ac:dyDescent="0.3">
      <c r="A332" t="s">
        <v>753</v>
      </c>
      <c r="B332" s="6" t="s">
        <v>754</v>
      </c>
      <c r="C332" s="6" t="s">
        <v>417</v>
      </c>
      <c r="D332" s="6" t="s">
        <v>51</v>
      </c>
      <c r="E332" s="6" t="s">
        <v>137</v>
      </c>
      <c r="F332" s="6" t="s">
        <v>68</v>
      </c>
      <c r="G332" s="6">
        <v>46</v>
      </c>
      <c r="H332" s="6">
        <v>41.89</v>
      </c>
      <c r="I332" s="6">
        <v>1926.94</v>
      </c>
      <c r="J332" s="6">
        <v>97.39</v>
      </c>
      <c r="K332" s="6">
        <v>541.54999999999995</v>
      </c>
      <c r="L332" s="6" t="s">
        <v>24</v>
      </c>
      <c r="M332" s="6" t="s">
        <v>41</v>
      </c>
      <c r="N332" s="6" t="s">
        <v>76</v>
      </c>
      <c r="O332" s="12">
        <f t="shared" si="10"/>
        <v>0.28104144394739844</v>
      </c>
      <c r="P332" s="6" t="str">
        <f t="shared" si="11"/>
        <v>need improvement</v>
      </c>
    </row>
    <row r="333" spans="1:16" x14ac:dyDescent="0.3">
      <c r="A333" t="s">
        <v>755</v>
      </c>
      <c r="B333" s="6" t="s">
        <v>495</v>
      </c>
      <c r="C333" s="6" t="s">
        <v>277</v>
      </c>
      <c r="D333" s="6" t="s">
        <v>31</v>
      </c>
      <c r="E333" s="6" t="s">
        <v>86</v>
      </c>
      <c r="F333" s="6" t="s">
        <v>47</v>
      </c>
      <c r="G333" s="6">
        <v>43</v>
      </c>
      <c r="H333" s="6">
        <v>21.24</v>
      </c>
      <c r="I333" s="6">
        <v>913.32</v>
      </c>
      <c r="J333" s="6">
        <v>50.32</v>
      </c>
      <c r="K333" s="6">
        <v>314.75</v>
      </c>
      <c r="L333" s="6" t="s">
        <v>33</v>
      </c>
      <c r="M333" s="6" t="s">
        <v>25</v>
      </c>
      <c r="N333" s="6" t="s">
        <v>35</v>
      </c>
      <c r="O333" s="12">
        <f t="shared" si="10"/>
        <v>0.34462181929663205</v>
      </c>
      <c r="P333" s="6" t="str">
        <f t="shared" si="11"/>
        <v>need improvement</v>
      </c>
    </row>
    <row r="334" spans="1:16" x14ac:dyDescent="0.3">
      <c r="A334" t="s">
        <v>756</v>
      </c>
      <c r="B334" s="6" t="s">
        <v>658</v>
      </c>
      <c r="C334" s="6" t="s">
        <v>757</v>
      </c>
      <c r="D334" s="6" t="s">
        <v>241</v>
      </c>
      <c r="E334" s="6" t="s">
        <v>67</v>
      </c>
      <c r="F334" s="6" t="s">
        <v>68</v>
      </c>
      <c r="G334" s="6">
        <v>28</v>
      </c>
      <c r="H334" s="6">
        <v>33.700000000000003</v>
      </c>
      <c r="I334" s="6">
        <v>943.6</v>
      </c>
      <c r="J334" s="6">
        <v>20.170000000000002</v>
      </c>
      <c r="K334" s="6">
        <v>293.43</v>
      </c>
      <c r="L334" s="6" t="s">
        <v>24</v>
      </c>
      <c r="M334" s="6" t="s">
        <v>34</v>
      </c>
      <c r="N334" s="6" t="s">
        <v>35</v>
      </c>
      <c r="O334" s="12">
        <f t="shared" si="10"/>
        <v>0.31096863077575243</v>
      </c>
      <c r="P334" s="6" t="str">
        <f t="shared" si="11"/>
        <v>need improvement</v>
      </c>
    </row>
    <row r="335" spans="1:16" x14ac:dyDescent="0.3">
      <c r="A335" t="s">
        <v>758</v>
      </c>
      <c r="B335" s="6" t="s">
        <v>759</v>
      </c>
      <c r="C335" s="6" t="s">
        <v>334</v>
      </c>
      <c r="D335" s="6" t="s">
        <v>70</v>
      </c>
      <c r="E335" s="6" t="s">
        <v>22</v>
      </c>
      <c r="F335" s="6" t="s">
        <v>23</v>
      </c>
      <c r="G335" s="6">
        <v>41</v>
      </c>
      <c r="H335" s="6">
        <v>42.74</v>
      </c>
      <c r="I335" s="6">
        <v>1752.34</v>
      </c>
      <c r="J335" s="6">
        <v>92.09</v>
      </c>
      <c r="K335" s="6">
        <v>225.25</v>
      </c>
      <c r="L335" s="6" t="s">
        <v>48</v>
      </c>
      <c r="M335" s="6" t="s">
        <v>25</v>
      </c>
      <c r="N335" s="6" t="s">
        <v>76</v>
      </c>
      <c r="O335" s="12">
        <f t="shared" si="10"/>
        <v>0.12854240615405688</v>
      </c>
      <c r="P335" s="6" t="str">
        <f t="shared" si="11"/>
        <v>good</v>
      </c>
    </row>
    <row r="336" spans="1:16" x14ac:dyDescent="0.3">
      <c r="A336" t="s">
        <v>760</v>
      </c>
      <c r="B336" s="6" t="s">
        <v>761</v>
      </c>
      <c r="C336" s="6" t="s">
        <v>646</v>
      </c>
      <c r="D336" s="6" t="s">
        <v>31</v>
      </c>
      <c r="E336" s="6" t="s">
        <v>63</v>
      </c>
      <c r="F336" s="6" t="s">
        <v>47</v>
      </c>
      <c r="G336" s="6">
        <v>24</v>
      </c>
      <c r="H336" s="6">
        <v>30.18</v>
      </c>
      <c r="I336" s="6">
        <v>724.32</v>
      </c>
      <c r="J336" s="6">
        <v>44.97</v>
      </c>
      <c r="K336" s="6">
        <v>199.35</v>
      </c>
      <c r="L336" s="6" t="s">
        <v>24</v>
      </c>
      <c r="M336" s="6" t="s">
        <v>25</v>
      </c>
      <c r="N336" s="6" t="s">
        <v>35</v>
      </c>
      <c r="O336" s="12">
        <f t="shared" si="10"/>
        <v>0.27522365805168986</v>
      </c>
      <c r="P336" s="6" t="str">
        <f t="shared" si="11"/>
        <v>need improvement</v>
      </c>
    </row>
    <row r="337" spans="1:16" x14ac:dyDescent="0.3">
      <c r="A337" t="s">
        <v>762</v>
      </c>
      <c r="B337" s="6" t="s">
        <v>354</v>
      </c>
      <c r="C337" s="6" t="s">
        <v>177</v>
      </c>
      <c r="D337" s="6" t="s">
        <v>127</v>
      </c>
      <c r="E337" s="6" t="s">
        <v>81</v>
      </c>
      <c r="F337" s="6" t="s">
        <v>68</v>
      </c>
      <c r="G337" s="6">
        <v>44</v>
      </c>
      <c r="H337" s="6">
        <v>20.02</v>
      </c>
      <c r="I337" s="6">
        <v>880.88</v>
      </c>
      <c r="J337" s="6">
        <v>60.27</v>
      </c>
      <c r="K337" s="6">
        <v>138.61000000000001</v>
      </c>
      <c r="L337" s="6" t="s">
        <v>33</v>
      </c>
      <c r="M337" s="6" t="s">
        <v>34</v>
      </c>
      <c r="N337" s="6" t="s">
        <v>76</v>
      </c>
      <c r="O337" s="12">
        <f t="shared" si="10"/>
        <v>0.15735400962673693</v>
      </c>
      <c r="P337" s="6" t="str">
        <f t="shared" si="11"/>
        <v>good</v>
      </c>
    </row>
    <row r="338" spans="1:16" x14ac:dyDescent="0.3">
      <c r="A338" t="s">
        <v>763</v>
      </c>
      <c r="B338" s="6" t="s">
        <v>585</v>
      </c>
      <c r="C338" s="6" t="s">
        <v>174</v>
      </c>
      <c r="D338" s="6" t="s">
        <v>31</v>
      </c>
      <c r="E338" s="6" t="s">
        <v>63</v>
      </c>
      <c r="F338" s="6" t="s">
        <v>47</v>
      </c>
      <c r="G338" s="6">
        <v>12</v>
      </c>
      <c r="H338" s="6">
        <v>27.45</v>
      </c>
      <c r="I338" s="6">
        <v>329.4</v>
      </c>
      <c r="J338" s="6">
        <v>13.22</v>
      </c>
      <c r="K338" s="6">
        <v>76.180000000000007</v>
      </c>
      <c r="L338" s="6" t="s">
        <v>48</v>
      </c>
      <c r="M338" s="6" t="s">
        <v>41</v>
      </c>
      <c r="N338" s="6" t="s">
        <v>35</v>
      </c>
      <c r="O338" s="12">
        <f t="shared" si="10"/>
        <v>0.23126897389192475</v>
      </c>
      <c r="P338" s="6" t="str">
        <f t="shared" si="11"/>
        <v>need improvement</v>
      </c>
    </row>
    <row r="339" spans="1:16" x14ac:dyDescent="0.3">
      <c r="A339" t="s">
        <v>764</v>
      </c>
      <c r="B339" s="6" t="s">
        <v>306</v>
      </c>
      <c r="C339" s="6" t="s">
        <v>145</v>
      </c>
      <c r="D339" s="6" t="s">
        <v>141</v>
      </c>
      <c r="E339" s="6" t="s">
        <v>63</v>
      </c>
      <c r="F339" s="6" t="s">
        <v>47</v>
      </c>
      <c r="G339" s="6">
        <v>26</v>
      </c>
      <c r="H339" s="6">
        <v>30.57</v>
      </c>
      <c r="I339" s="6">
        <v>794.82</v>
      </c>
      <c r="J339" s="6">
        <v>19.45</v>
      </c>
      <c r="K339" s="6">
        <v>255.37</v>
      </c>
      <c r="L339" s="6" t="s">
        <v>48</v>
      </c>
      <c r="M339" s="6" t="s">
        <v>34</v>
      </c>
      <c r="N339" s="6" t="s">
        <v>142</v>
      </c>
      <c r="O339" s="12">
        <f t="shared" si="10"/>
        <v>0.32129287134193907</v>
      </c>
      <c r="P339" s="6" t="str">
        <f t="shared" si="11"/>
        <v>need improvement</v>
      </c>
    </row>
    <row r="340" spans="1:16" x14ac:dyDescent="0.3">
      <c r="A340" t="s">
        <v>765</v>
      </c>
      <c r="B340" s="6" t="s">
        <v>766</v>
      </c>
      <c r="C340" s="6" t="s">
        <v>185</v>
      </c>
      <c r="D340" s="6" t="s">
        <v>127</v>
      </c>
      <c r="E340" s="6" t="s">
        <v>74</v>
      </c>
      <c r="F340" s="6" t="s">
        <v>75</v>
      </c>
      <c r="G340" s="6">
        <v>46</v>
      </c>
      <c r="H340" s="6">
        <v>32.19</v>
      </c>
      <c r="I340" s="6">
        <v>1480.74</v>
      </c>
      <c r="J340" s="6">
        <v>111.13</v>
      </c>
      <c r="K340" s="6">
        <v>219.61</v>
      </c>
      <c r="L340" s="6" t="s">
        <v>48</v>
      </c>
      <c r="M340" s="6" t="s">
        <v>34</v>
      </c>
      <c r="N340" s="6" t="s">
        <v>76</v>
      </c>
      <c r="O340" s="12">
        <f t="shared" si="10"/>
        <v>0.14831097964531248</v>
      </c>
      <c r="P340" s="6" t="str">
        <f t="shared" si="11"/>
        <v>good</v>
      </c>
    </row>
    <row r="341" spans="1:16" x14ac:dyDescent="0.3">
      <c r="A341" t="s">
        <v>767</v>
      </c>
      <c r="B341" s="6" t="s">
        <v>768</v>
      </c>
      <c r="C341" s="6" t="s">
        <v>140</v>
      </c>
      <c r="D341" s="6" t="s">
        <v>116</v>
      </c>
      <c r="E341" s="6" t="s">
        <v>32</v>
      </c>
      <c r="F341" s="6" t="s">
        <v>23</v>
      </c>
      <c r="G341" s="6">
        <v>20</v>
      </c>
      <c r="H341" s="6">
        <v>31.79</v>
      </c>
      <c r="I341" s="6">
        <v>635.79999999999995</v>
      </c>
      <c r="J341" s="6">
        <v>38.43</v>
      </c>
      <c r="K341" s="6">
        <v>237.37</v>
      </c>
      <c r="L341" s="6" t="s">
        <v>24</v>
      </c>
      <c r="M341" s="6" t="s">
        <v>34</v>
      </c>
      <c r="N341" s="6" t="s">
        <v>76</v>
      </c>
      <c r="O341" s="12">
        <f t="shared" si="10"/>
        <v>0.37334067316766284</v>
      </c>
      <c r="P341" s="6" t="str">
        <f t="shared" si="11"/>
        <v>need improvement</v>
      </c>
    </row>
    <row r="342" spans="1:16" x14ac:dyDescent="0.3">
      <c r="A342" t="s">
        <v>769</v>
      </c>
      <c r="B342" s="6" t="s">
        <v>770</v>
      </c>
      <c r="C342" s="6" t="s">
        <v>20</v>
      </c>
      <c r="D342" s="6" t="s">
        <v>206</v>
      </c>
      <c r="E342" s="6" t="s">
        <v>32</v>
      </c>
      <c r="F342" s="6" t="s">
        <v>23</v>
      </c>
      <c r="G342" s="6">
        <v>8</v>
      </c>
      <c r="H342" s="6">
        <v>28.94</v>
      </c>
      <c r="I342" s="6">
        <v>231.52</v>
      </c>
      <c r="J342" s="6">
        <v>7</v>
      </c>
      <c r="K342" s="6">
        <v>80.52</v>
      </c>
      <c r="L342" s="6" t="s">
        <v>48</v>
      </c>
      <c r="M342" s="6" t="s">
        <v>34</v>
      </c>
      <c r="N342" s="6" t="s">
        <v>207</v>
      </c>
      <c r="O342" s="12">
        <f t="shared" si="10"/>
        <v>0.34778852798894261</v>
      </c>
      <c r="P342" s="6" t="str">
        <f t="shared" si="11"/>
        <v>need improvement</v>
      </c>
    </row>
    <row r="343" spans="1:16" x14ac:dyDescent="0.3">
      <c r="A343" t="s">
        <v>771</v>
      </c>
      <c r="B343" s="6" t="s">
        <v>772</v>
      </c>
      <c r="C343" s="6" t="s">
        <v>334</v>
      </c>
      <c r="D343" s="6" t="s">
        <v>171</v>
      </c>
      <c r="E343" s="6" t="s">
        <v>32</v>
      </c>
      <c r="F343" s="6" t="s">
        <v>23</v>
      </c>
      <c r="G343" s="6">
        <v>40</v>
      </c>
      <c r="H343" s="6">
        <v>30.66</v>
      </c>
      <c r="I343" s="6">
        <v>1226.4000000000001</v>
      </c>
      <c r="J343" s="6">
        <v>85.24</v>
      </c>
      <c r="K343" s="6">
        <v>421.16</v>
      </c>
      <c r="L343" s="6" t="s">
        <v>24</v>
      </c>
      <c r="M343" s="6" t="s">
        <v>25</v>
      </c>
      <c r="N343" s="6" t="s">
        <v>35</v>
      </c>
      <c r="O343" s="12">
        <f t="shared" si="10"/>
        <v>0.34341161121983038</v>
      </c>
      <c r="P343" s="6" t="str">
        <f t="shared" si="11"/>
        <v>need improvement</v>
      </c>
    </row>
    <row r="344" spans="1:16" x14ac:dyDescent="0.3">
      <c r="A344" t="s">
        <v>773</v>
      </c>
      <c r="B344" s="6" t="s">
        <v>316</v>
      </c>
      <c r="C344" s="6" t="s">
        <v>539</v>
      </c>
      <c r="D344" s="6" t="s">
        <v>206</v>
      </c>
      <c r="E344" s="6" t="s">
        <v>46</v>
      </c>
      <c r="F344" s="6" t="s">
        <v>47</v>
      </c>
      <c r="G344" s="6">
        <v>44</v>
      </c>
      <c r="H344" s="6">
        <v>54.09</v>
      </c>
      <c r="I344" s="6">
        <v>2379.96</v>
      </c>
      <c r="J344" s="6">
        <v>106.39</v>
      </c>
      <c r="K344" s="6">
        <v>865.57</v>
      </c>
      <c r="L344" s="6" t="s">
        <v>24</v>
      </c>
      <c r="M344" s="6" t="s">
        <v>34</v>
      </c>
      <c r="N344" s="6" t="s">
        <v>207</v>
      </c>
      <c r="O344" s="12">
        <f t="shared" si="10"/>
        <v>0.36369098640313285</v>
      </c>
      <c r="P344" s="6" t="str">
        <f t="shared" si="11"/>
        <v>excellent</v>
      </c>
    </row>
    <row r="345" spans="1:16" x14ac:dyDescent="0.3">
      <c r="A345" t="s">
        <v>774</v>
      </c>
      <c r="B345" s="6" t="s">
        <v>615</v>
      </c>
      <c r="C345" s="6" t="s">
        <v>177</v>
      </c>
      <c r="D345" s="6" t="s">
        <v>116</v>
      </c>
      <c r="E345" s="6" t="s">
        <v>56</v>
      </c>
      <c r="F345" s="6" t="s">
        <v>57</v>
      </c>
      <c r="G345" s="6">
        <v>32</v>
      </c>
      <c r="H345" s="6">
        <v>68.89</v>
      </c>
      <c r="I345" s="6">
        <v>2204.48</v>
      </c>
      <c r="J345" s="6">
        <v>152.05000000000001</v>
      </c>
      <c r="K345" s="6">
        <v>772.43</v>
      </c>
      <c r="L345" s="6" t="s">
        <v>24</v>
      </c>
      <c r="M345" s="6" t="s">
        <v>34</v>
      </c>
      <c r="N345" s="6" t="s">
        <v>76</v>
      </c>
      <c r="O345" s="12">
        <f t="shared" si="10"/>
        <v>0.35039102191900129</v>
      </c>
      <c r="P345" s="6" t="str">
        <f t="shared" si="11"/>
        <v>excellent</v>
      </c>
    </row>
    <row r="346" spans="1:16" x14ac:dyDescent="0.3">
      <c r="A346" t="s">
        <v>775</v>
      </c>
      <c r="B346" s="6" t="s">
        <v>776</v>
      </c>
      <c r="C346" s="6" t="s">
        <v>732</v>
      </c>
      <c r="D346" s="6" t="s">
        <v>70</v>
      </c>
      <c r="E346" s="6" t="s">
        <v>22</v>
      </c>
      <c r="F346" s="6" t="s">
        <v>23</v>
      </c>
      <c r="G346" s="6">
        <v>44</v>
      </c>
      <c r="H346" s="6">
        <v>43.35</v>
      </c>
      <c r="I346" s="6">
        <v>1907.4</v>
      </c>
      <c r="J346" s="6">
        <v>99.05</v>
      </c>
      <c r="K346" s="6">
        <v>268.35000000000002</v>
      </c>
      <c r="L346" s="6" t="s">
        <v>48</v>
      </c>
      <c r="M346" s="6" t="s">
        <v>34</v>
      </c>
      <c r="N346" s="6" t="s">
        <v>76</v>
      </c>
      <c r="O346" s="12">
        <f t="shared" si="10"/>
        <v>0.1406888958792073</v>
      </c>
      <c r="P346" s="6" t="str">
        <f t="shared" si="11"/>
        <v>good</v>
      </c>
    </row>
    <row r="347" spans="1:16" x14ac:dyDescent="0.3">
      <c r="A347" t="s">
        <v>777</v>
      </c>
      <c r="B347" s="6" t="s">
        <v>778</v>
      </c>
      <c r="C347" s="6" t="s">
        <v>30</v>
      </c>
      <c r="D347" s="6" t="s">
        <v>62</v>
      </c>
      <c r="E347" s="6" t="s">
        <v>137</v>
      </c>
      <c r="F347" s="6" t="s">
        <v>68</v>
      </c>
      <c r="G347" s="6">
        <v>24</v>
      </c>
      <c r="H347" s="6">
        <v>34</v>
      </c>
      <c r="I347" s="6">
        <v>816</v>
      </c>
      <c r="J347" s="6">
        <v>42.15</v>
      </c>
      <c r="K347" s="6">
        <v>101.85</v>
      </c>
      <c r="L347" s="6" t="s">
        <v>48</v>
      </c>
      <c r="M347" s="6" t="s">
        <v>25</v>
      </c>
      <c r="N347" s="6" t="s">
        <v>98</v>
      </c>
      <c r="O347" s="12">
        <f t="shared" si="10"/>
        <v>0.12481617647058822</v>
      </c>
      <c r="P347" s="6" t="str">
        <f t="shared" si="11"/>
        <v>good</v>
      </c>
    </row>
    <row r="348" spans="1:16" x14ac:dyDescent="0.3">
      <c r="A348" t="s">
        <v>779</v>
      </c>
      <c r="B348" s="6" t="s">
        <v>633</v>
      </c>
      <c r="C348" s="6" t="s">
        <v>238</v>
      </c>
      <c r="D348" s="6" t="s">
        <v>51</v>
      </c>
      <c r="E348" s="6" t="s">
        <v>32</v>
      </c>
      <c r="F348" s="6" t="s">
        <v>23</v>
      </c>
      <c r="G348" s="6">
        <v>41</v>
      </c>
      <c r="H348" s="6">
        <v>30.25</v>
      </c>
      <c r="I348" s="6">
        <v>1240.25</v>
      </c>
      <c r="J348" s="6">
        <v>92.86</v>
      </c>
      <c r="K348" s="6">
        <v>409.39</v>
      </c>
      <c r="L348" s="6" t="s">
        <v>24</v>
      </c>
      <c r="M348" s="6" t="s">
        <v>25</v>
      </c>
      <c r="N348" s="6" t="s">
        <v>76</v>
      </c>
      <c r="O348" s="12">
        <f t="shared" si="10"/>
        <v>0.33008667607337228</v>
      </c>
      <c r="P348" s="6" t="str">
        <f t="shared" si="11"/>
        <v>need improvement</v>
      </c>
    </row>
    <row r="349" spans="1:16" x14ac:dyDescent="0.3">
      <c r="A349" t="s">
        <v>780</v>
      </c>
      <c r="B349" s="6" t="s">
        <v>781</v>
      </c>
      <c r="C349" s="6" t="s">
        <v>20</v>
      </c>
      <c r="D349" s="6" t="s">
        <v>141</v>
      </c>
      <c r="E349" s="6" t="s">
        <v>81</v>
      </c>
      <c r="F349" s="6" t="s">
        <v>68</v>
      </c>
      <c r="G349" s="6">
        <v>15</v>
      </c>
      <c r="H349" s="6">
        <v>23.71</v>
      </c>
      <c r="I349" s="6">
        <v>355.65</v>
      </c>
      <c r="J349" s="6">
        <v>7.22</v>
      </c>
      <c r="K349" s="6">
        <v>115.93</v>
      </c>
      <c r="L349" s="6" t="s">
        <v>33</v>
      </c>
      <c r="M349" s="6" t="s">
        <v>34</v>
      </c>
      <c r="N349" s="6" t="s">
        <v>142</v>
      </c>
      <c r="O349" s="12">
        <f t="shared" si="10"/>
        <v>0.32596654013777593</v>
      </c>
      <c r="P349" s="6" t="str">
        <f t="shared" si="11"/>
        <v>need improvement</v>
      </c>
    </row>
    <row r="350" spans="1:16" x14ac:dyDescent="0.3">
      <c r="A350" t="s">
        <v>782</v>
      </c>
      <c r="B350" s="6" t="s">
        <v>276</v>
      </c>
      <c r="C350" s="6" t="s">
        <v>197</v>
      </c>
      <c r="D350" s="6" t="s">
        <v>116</v>
      </c>
      <c r="E350" s="6" t="s">
        <v>46</v>
      </c>
      <c r="F350" s="6" t="s">
        <v>47</v>
      </c>
      <c r="G350" s="6">
        <v>33</v>
      </c>
      <c r="H350" s="6">
        <v>48.64</v>
      </c>
      <c r="I350" s="6">
        <v>1605.12</v>
      </c>
      <c r="J350" s="6">
        <v>98.71</v>
      </c>
      <c r="K350" s="6">
        <v>450.41</v>
      </c>
      <c r="L350" s="6" t="s">
        <v>24</v>
      </c>
      <c r="M350" s="6" t="s">
        <v>34</v>
      </c>
      <c r="N350" s="6" t="s">
        <v>76</v>
      </c>
      <c r="O350" s="12">
        <f t="shared" si="10"/>
        <v>0.28060830342902715</v>
      </c>
      <c r="P350" s="6" t="str">
        <f t="shared" si="11"/>
        <v>need improvement</v>
      </c>
    </row>
    <row r="351" spans="1:16" x14ac:dyDescent="0.3">
      <c r="A351" t="s">
        <v>783</v>
      </c>
      <c r="B351" s="6" t="s">
        <v>784</v>
      </c>
      <c r="C351" s="6" t="s">
        <v>44</v>
      </c>
      <c r="D351" s="6" t="s">
        <v>241</v>
      </c>
      <c r="E351" s="6" t="s">
        <v>22</v>
      </c>
      <c r="F351" s="6" t="s">
        <v>23</v>
      </c>
      <c r="G351" s="6">
        <v>7</v>
      </c>
      <c r="H351" s="6">
        <v>50.94</v>
      </c>
      <c r="I351" s="6">
        <v>356.58</v>
      </c>
      <c r="J351" s="6">
        <v>11.19</v>
      </c>
      <c r="K351" s="6">
        <v>100.39</v>
      </c>
      <c r="L351" s="6" t="s">
        <v>33</v>
      </c>
      <c r="M351" s="6" t="s">
        <v>25</v>
      </c>
      <c r="N351" s="6" t="s">
        <v>35</v>
      </c>
      <c r="O351" s="12">
        <f t="shared" si="10"/>
        <v>0.28153570026361546</v>
      </c>
      <c r="P351" s="6" t="str">
        <f t="shared" si="11"/>
        <v>need improvement</v>
      </c>
    </row>
    <row r="352" spans="1:16" x14ac:dyDescent="0.3">
      <c r="A352" t="s">
        <v>785</v>
      </c>
      <c r="B352" s="6" t="s">
        <v>786</v>
      </c>
      <c r="C352" s="6" t="s">
        <v>323</v>
      </c>
      <c r="D352" s="6" t="s">
        <v>206</v>
      </c>
      <c r="E352" s="6" t="s">
        <v>63</v>
      </c>
      <c r="F352" s="6" t="s">
        <v>47</v>
      </c>
      <c r="G352" s="6">
        <v>1</v>
      </c>
      <c r="H352" s="6">
        <v>31.4</v>
      </c>
      <c r="I352" s="6">
        <v>31.4</v>
      </c>
      <c r="J352" s="6">
        <v>1.1399999999999999</v>
      </c>
      <c r="K352" s="6">
        <v>10.26</v>
      </c>
      <c r="L352" s="6" t="s">
        <v>48</v>
      </c>
      <c r="M352" s="6" t="s">
        <v>34</v>
      </c>
      <c r="N352" s="6" t="s">
        <v>207</v>
      </c>
      <c r="O352" s="12">
        <f t="shared" si="10"/>
        <v>0.32675159235668788</v>
      </c>
      <c r="P352" s="6" t="str">
        <f t="shared" si="11"/>
        <v>need improvement</v>
      </c>
    </row>
    <row r="353" spans="1:16" x14ac:dyDescent="0.3">
      <c r="A353" t="s">
        <v>787</v>
      </c>
      <c r="B353" s="6" t="s">
        <v>408</v>
      </c>
      <c r="C353" s="6" t="s">
        <v>317</v>
      </c>
      <c r="D353" s="6" t="s">
        <v>37</v>
      </c>
      <c r="E353" s="6" t="s">
        <v>86</v>
      </c>
      <c r="F353" s="6" t="s">
        <v>47</v>
      </c>
      <c r="G353" s="6">
        <v>28</v>
      </c>
      <c r="H353" s="6">
        <v>18.59</v>
      </c>
      <c r="I353" s="6">
        <v>520.52</v>
      </c>
      <c r="J353" s="6">
        <v>14.08</v>
      </c>
      <c r="K353" s="6">
        <v>149.44</v>
      </c>
      <c r="L353" s="6" t="s">
        <v>24</v>
      </c>
      <c r="M353" s="6" t="s">
        <v>25</v>
      </c>
      <c r="N353" s="6" t="s">
        <v>35</v>
      </c>
      <c r="O353" s="12">
        <f t="shared" si="10"/>
        <v>0.28709751786674864</v>
      </c>
      <c r="P353" s="6" t="str">
        <f t="shared" si="11"/>
        <v>need improvement</v>
      </c>
    </row>
    <row r="354" spans="1:16" x14ac:dyDescent="0.3">
      <c r="A354" t="s">
        <v>788</v>
      </c>
      <c r="B354" s="6" t="s">
        <v>789</v>
      </c>
      <c r="C354" s="6" t="s">
        <v>790</v>
      </c>
      <c r="D354" s="6" t="s">
        <v>171</v>
      </c>
      <c r="E354" s="6" t="s">
        <v>81</v>
      </c>
      <c r="F354" s="6" t="s">
        <v>68</v>
      </c>
      <c r="G354" s="6">
        <v>50</v>
      </c>
      <c r="H354" s="6">
        <v>20.66</v>
      </c>
      <c r="I354" s="6">
        <v>1033</v>
      </c>
      <c r="J354" s="6">
        <v>34.130000000000003</v>
      </c>
      <c r="K354" s="6">
        <v>223.87</v>
      </c>
      <c r="L354" s="6" t="s">
        <v>48</v>
      </c>
      <c r="M354" s="6" t="s">
        <v>34</v>
      </c>
      <c r="N354" s="6" t="s">
        <v>35</v>
      </c>
      <c r="O354" s="12">
        <f t="shared" si="10"/>
        <v>0.21671829622458857</v>
      </c>
      <c r="P354" s="6" t="str">
        <f t="shared" si="11"/>
        <v>need improvement</v>
      </c>
    </row>
    <row r="355" spans="1:16" x14ac:dyDescent="0.3">
      <c r="A355" t="s">
        <v>791</v>
      </c>
      <c r="B355" s="6" t="s">
        <v>547</v>
      </c>
      <c r="C355" s="6" t="s">
        <v>249</v>
      </c>
      <c r="D355" s="6" t="s">
        <v>51</v>
      </c>
      <c r="E355" s="6" t="s">
        <v>22</v>
      </c>
      <c r="F355" s="6" t="s">
        <v>23</v>
      </c>
      <c r="G355" s="6">
        <v>4</v>
      </c>
      <c r="H355" s="6">
        <v>46.62</v>
      </c>
      <c r="I355" s="6">
        <v>186.48</v>
      </c>
      <c r="J355" s="6">
        <v>13.29</v>
      </c>
      <c r="K355" s="6">
        <v>33.19</v>
      </c>
      <c r="L355" s="6" t="s">
        <v>33</v>
      </c>
      <c r="M355" s="6" t="s">
        <v>25</v>
      </c>
      <c r="N355" s="6" t="s">
        <v>76</v>
      </c>
      <c r="O355" s="12">
        <f t="shared" si="10"/>
        <v>0.17798155298155299</v>
      </c>
      <c r="P355" s="6" t="str">
        <f t="shared" si="11"/>
        <v>good</v>
      </c>
    </row>
    <row r="356" spans="1:16" x14ac:dyDescent="0.3">
      <c r="A356" t="s">
        <v>792</v>
      </c>
      <c r="B356" s="6" t="s">
        <v>547</v>
      </c>
      <c r="C356" s="6" t="s">
        <v>732</v>
      </c>
      <c r="D356" s="6" t="s">
        <v>141</v>
      </c>
      <c r="E356" s="6" t="s">
        <v>81</v>
      </c>
      <c r="F356" s="6" t="s">
        <v>68</v>
      </c>
      <c r="G356" s="6">
        <v>37</v>
      </c>
      <c r="H356" s="6">
        <v>21.81</v>
      </c>
      <c r="I356" s="6">
        <v>806.97</v>
      </c>
      <c r="J356" s="6">
        <v>19.63</v>
      </c>
      <c r="K356" s="6">
        <v>213.84</v>
      </c>
      <c r="L356" s="6" t="s">
        <v>48</v>
      </c>
      <c r="M356" s="6" t="s">
        <v>41</v>
      </c>
      <c r="N356" s="6" t="s">
        <v>142</v>
      </c>
      <c r="O356" s="12">
        <f t="shared" si="10"/>
        <v>0.26499126361574782</v>
      </c>
      <c r="P356" s="6" t="str">
        <f t="shared" si="11"/>
        <v>need improvement</v>
      </c>
    </row>
    <row r="357" spans="1:16" x14ac:dyDescent="0.3">
      <c r="A357" t="s">
        <v>793</v>
      </c>
      <c r="B357" s="6" t="s">
        <v>100</v>
      </c>
      <c r="C357" s="6" t="s">
        <v>216</v>
      </c>
      <c r="D357" s="6" t="s">
        <v>51</v>
      </c>
      <c r="E357" s="6" t="s">
        <v>81</v>
      </c>
      <c r="F357" s="6" t="s">
        <v>68</v>
      </c>
      <c r="G357" s="6">
        <v>48</v>
      </c>
      <c r="H357" s="6">
        <v>26.68</v>
      </c>
      <c r="I357" s="6">
        <v>1280.6400000000001</v>
      </c>
      <c r="J357" s="6">
        <v>55.36</v>
      </c>
      <c r="K357" s="6">
        <v>481.28</v>
      </c>
      <c r="L357" s="6" t="s">
        <v>24</v>
      </c>
      <c r="M357" s="6" t="s">
        <v>34</v>
      </c>
      <c r="N357" s="6" t="s">
        <v>76</v>
      </c>
      <c r="O357" s="12">
        <f t="shared" si="10"/>
        <v>0.37581209395302345</v>
      </c>
      <c r="P357" s="6" t="str">
        <f t="shared" si="11"/>
        <v>need improvement</v>
      </c>
    </row>
    <row r="358" spans="1:16" x14ac:dyDescent="0.3">
      <c r="A358" t="s">
        <v>794</v>
      </c>
      <c r="B358" s="6" t="s">
        <v>795</v>
      </c>
      <c r="C358" s="6" t="s">
        <v>191</v>
      </c>
      <c r="D358" s="6" t="s">
        <v>45</v>
      </c>
      <c r="E358" s="6" t="s">
        <v>74</v>
      </c>
      <c r="F358" s="6" t="s">
        <v>75</v>
      </c>
      <c r="G358" s="6">
        <v>24</v>
      </c>
      <c r="H358" s="6">
        <v>42.82</v>
      </c>
      <c r="I358" s="6">
        <v>1027.68</v>
      </c>
      <c r="J358" s="6">
        <v>69.95</v>
      </c>
      <c r="K358" s="6">
        <v>357.73</v>
      </c>
      <c r="L358" s="6" t="s">
        <v>24</v>
      </c>
      <c r="M358" s="6" t="s">
        <v>25</v>
      </c>
      <c r="N358" s="6" t="s">
        <v>49</v>
      </c>
      <c r="O358" s="12">
        <f t="shared" si="10"/>
        <v>0.34809473766152887</v>
      </c>
      <c r="P358" s="6" t="str">
        <f t="shared" si="11"/>
        <v>need improvement</v>
      </c>
    </row>
    <row r="359" spans="1:16" x14ac:dyDescent="0.3">
      <c r="A359" t="s">
        <v>796</v>
      </c>
      <c r="B359" s="6" t="s">
        <v>179</v>
      </c>
      <c r="C359" s="6" t="s">
        <v>194</v>
      </c>
      <c r="D359" s="6" t="s">
        <v>206</v>
      </c>
      <c r="E359" s="6" t="s">
        <v>67</v>
      </c>
      <c r="F359" s="6" t="s">
        <v>68</v>
      </c>
      <c r="G359" s="6">
        <v>26</v>
      </c>
      <c r="H359" s="6">
        <v>34.4</v>
      </c>
      <c r="I359" s="6">
        <v>894.4</v>
      </c>
      <c r="J359" s="6">
        <v>40.42</v>
      </c>
      <c r="K359" s="6">
        <v>268.98</v>
      </c>
      <c r="L359" s="6" t="s">
        <v>24</v>
      </c>
      <c r="M359" s="6" t="s">
        <v>25</v>
      </c>
      <c r="N359" s="6" t="s">
        <v>207</v>
      </c>
      <c r="O359" s="12">
        <f t="shared" si="10"/>
        <v>0.3007379248658319</v>
      </c>
      <c r="P359" s="6" t="str">
        <f t="shared" si="11"/>
        <v>need improvement</v>
      </c>
    </row>
    <row r="360" spans="1:16" x14ac:dyDescent="0.3">
      <c r="A360" t="s">
        <v>797</v>
      </c>
      <c r="B360" s="6" t="s">
        <v>798</v>
      </c>
      <c r="C360" s="6" t="s">
        <v>321</v>
      </c>
      <c r="D360" s="6" t="s">
        <v>37</v>
      </c>
      <c r="E360" s="6" t="s">
        <v>22</v>
      </c>
      <c r="F360" s="6" t="s">
        <v>23</v>
      </c>
      <c r="G360" s="6">
        <v>47</v>
      </c>
      <c r="H360" s="6">
        <v>44.89</v>
      </c>
      <c r="I360" s="6">
        <v>2109.83</v>
      </c>
      <c r="J360" s="6">
        <v>45.91</v>
      </c>
      <c r="K360" s="6">
        <v>418.92</v>
      </c>
      <c r="L360" s="6" t="s">
        <v>24</v>
      </c>
      <c r="M360" s="6" t="s">
        <v>34</v>
      </c>
      <c r="N360" s="6" t="s">
        <v>35</v>
      </c>
      <c r="O360" s="12">
        <f t="shared" si="10"/>
        <v>0.19855628178573631</v>
      </c>
      <c r="P360" s="6" t="str">
        <f t="shared" si="11"/>
        <v>good</v>
      </c>
    </row>
    <row r="361" spans="1:16" x14ac:dyDescent="0.3">
      <c r="A361" t="s">
        <v>799</v>
      </c>
      <c r="B361" s="6" t="s">
        <v>688</v>
      </c>
      <c r="C361" s="6" t="s">
        <v>285</v>
      </c>
      <c r="D361" s="6" t="s">
        <v>51</v>
      </c>
      <c r="E361" s="6" t="s">
        <v>81</v>
      </c>
      <c r="F361" s="6" t="s">
        <v>68</v>
      </c>
      <c r="G361" s="6">
        <v>1</v>
      </c>
      <c r="H361" s="6">
        <v>18.739999999999998</v>
      </c>
      <c r="I361" s="6">
        <v>18.739999999999998</v>
      </c>
      <c r="J361" s="6">
        <v>0.5</v>
      </c>
      <c r="K361" s="6">
        <v>2.74</v>
      </c>
      <c r="L361" s="6" t="s">
        <v>48</v>
      </c>
      <c r="M361" s="6" t="s">
        <v>34</v>
      </c>
      <c r="N361" s="6" t="s">
        <v>76</v>
      </c>
      <c r="O361" s="12">
        <f t="shared" si="10"/>
        <v>0.14621131270010676</v>
      </c>
      <c r="P361" s="6" t="str">
        <f t="shared" si="11"/>
        <v>good</v>
      </c>
    </row>
    <row r="362" spans="1:16" x14ac:dyDescent="0.3">
      <c r="A362" t="s">
        <v>800</v>
      </c>
      <c r="B362" s="6" t="s">
        <v>156</v>
      </c>
      <c r="C362" s="6" t="s">
        <v>272</v>
      </c>
      <c r="D362" s="6" t="s">
        <v>116</v>
      </c>
      <c r="E362" s="6" t="s">
        <v>67</v>
      </c>
      <c r="F362" s="6" t="s">
        <v>68</v>
      </c>
      <c r="G362" s="6">
        <v>27</v>
      </c>
      <c r="H362" s="6">
        <v>36.270000000000003</v>
      </c>
      <c r="I362" s="6">
        <v>979.29</v>
      </c>
      <c r="J362" s="6">
        <v>54.58</v>
      </c>
      <c r="K362" s="6">
        <v>317.20999999999998</v>
      </c>
      <c r="L362" s="6" t="s">
        <v>33</v>
      </c>
      <c r="M362" s="6" t="s">
        <v>34</v>
      </c>
      <c r="N362" s="6" t="s">
        <v>76</v>
      </c>
      <c r="O362" s="12">
        <f t="shared" si="10"/>
        <v>0.32391834900795474</v>
      </c>
      <c r="P362" s="6" t="str">
        <f t="shared" si="11"/>
        <v>need improvement</v>
      </c>
    </row>
    <row r="363" spans="1:16" x14ac:dyDescent="0.3">
      <c r="A363" t="s">
        <v>801</v>
      </c>
      <c r="B363" s="6" t="s">
        <v>261</v>
      </c>
      <c r="C363" s="6" t="s">
        <v>151</v>
      </c>
      <c r="D363" s="6" t="s">
        <v>241</v>
      </c>
      <c r="E363" s="6" t="s">
        <v>86</v>
      </c>
      <c r="F363" s="6" t="s">
        <v>47</v>
      </c>
      <c r="G363" s="6">
        <v>13</v>
      </c>
      <c r="H363" s="6">
        <v>18.82</v>
      </c>
      <c r="I363" s="6">
        <v>244.66</v>
      </c>
      <c r="J363" s="6">
        <v>6.49</v>
      </c>
      <c r="K363" s="6">
        <v>72.42</v>
      </c>
      <c r="L363" s="6" t="s">
        <v>48</v>
      </c>
      <c r="M363" s="6" t="s">
        <v>34</v>
      </c>
      <c r="N363" s="6" t="s">
        <v>35</v>
      </c>
      <c r="O363" s="12">
        <f t="shared" si="10"/>
        <v>0.29600261587509197</v>
      </c>
      <c r="P363" s="6" t="str">
        <f t="shared" si="11"/>
        <v>need improvement</v>
      </c>
    </row>
    <row r="364" spans="1:16" x14ac:dyDescent="0.3">
      <c r="A364" t="s">
        <v>802</v>
      </c>
      <c r="B364" s="6" t="s">
        <v>139</v>
      </c>
      <c r="C364" s="6" t="s">
        <v>539</v>
      </c>
      <c r="D364" s="6" t="s">
        <v>206</v>
      </c>
      <c r="E364" s="6" t="s">
        <v>137</v>
      </c>
      <c r="F364" s="6" t="s">
        <v>68</v>
      </c>
      <c r="G364" s="6">
        <v>41</v>
      </c>
      <c r="H364" s="6">
        <v>43.19</v>
      </c>
      <c r="I364" s="6">
        <v>1770.79</v>
      </c>
      <c r="J364" s="6">
        <v>83.28</v>
      </c>
      <c r="K364" s="6">
        <v>539.51</v>
      </c>
      <c r="L364" s="6" t="s">
        <v>33</v>
      </c>
      <c r="M364" s="6" t="s">
        <v>25</v>
      </c>
      <c r="N364" s="6" t="s">
        <v>207</v>
      </c>
      <c r="O364" s="12">
        <f t="shared" si="10"/>
        <v>0.30467192608948551</v>
      </c>
      <c r="P364" s="6" t="str">
        <f t="shared" si="11"/>
        <v>need improvement</v>
      </c>
    </row>
    <row r="365" spans="1:16" x14ac:dyDescent="0.3">
      <c r="A365" t="s">
        <v>803</v>
      </c>
      <c r="B365" s="6" t="s">
        <v>804</v>
      </c>
      <c r="C365" s="6" t="s">
        <v>110</v>
      </c>
      <c r="D365" s="6" t="s">
        <v>51</v>
      </c>
      <c r="E365" s="6" t="s">
        <v>137</v>
      </c>
      <c r="F365" s="6" t="s">
        <v>68</v>
      </c>
      <c r="G365" s="6">
        <v>40</v>
      </c>
      <c r="H365" s="6">
        <v>42.31</v>
      </c>
      <c r="I365" s="6">
        <v>1692.4</v>
      </c>
      <c r="J365" s="6">
        <v>118.59</v>
      </c>
      <c r="K365" s="6">
        <v>453.81</v>
      </c>
      <c r="L365" s="6" t="s">
        <v>33</v>
      </c>
      <c r="M365" s="6" t="s">
        <v>41</v>
      </c>
      <c r="N365" s="6" t="s">
        <v>76</v>
      </c>
      <c r="O365" s="12">
        <f t="shared" si="10"/>
        <v>0.26814582840935947</v>
      </c>
      <c r="P365" s="6" t="str">
        <f t="shared" si="11"/>
        <v>need improvement</v>
      </c>
    </row>
    <row r="366" spans="1:16" x14ac:dyDescent="0.3">
      <c r="A366" t="s">
        <v>805</v>
      </c>
      <c r="B366" s="6" t="s">
        <v>536</v>
      </c>
      <c r="C366" s="6" t="s">
        <v>440</v>
      </c>
      <c r="D366" s="6" t="s">
        <v>70</v>
      </c>
      <c r="E366" s="6" t="s">
        <v>46</v>
      </c>
      <c r="F366" s="6" t="s">
        <v>47</v>
      </c>
      <c r="G366" s="6">
        <v>1</v>
      </c>
      <c r="H366" s="6">
        <v>57.15</v>
      </c>
      <c r="I366" s="6">
        <v>57.15</v>
      </c>
      <c r="J366" s="6">
        <v>4.1100000000000003</v>
      </c>
      <c r="K366" s="6">
        <v>21.04</v>
      </c>
      <c r="L366" s="6" t="s">
        <v>33</v>
      </c>
      <c r="M366" s="6" t="s">
        <v>25</v>
      </c>
      <c r="N366" s="6" t="s">
        <v>76</v>
      </c>
      <c r="O366" s="12">
        <f t="shared" si="10"/>
        <v>0.36815398075240596</v>
      </c>
      <c r="P366" s="6" t="str">
        <f t="shared" si="11"/>
        <v>need improvement</v>
      </c>
    </row>
    <row r="367" spans="1:16" x14ac:dyDescent="0.3">
      <c r="A367" t="s">
        <v>806</v>
      </c>
      <c r="B367" s="6" t="s">
        <v>196</v>
      </c>
      <c r="C367" s="6" t="s">
        <v>269</v>
      </c>
      <c r="D367" s="6" t="s">
        <v>55</v>
      </c>
      <c r="E367" s="6" t="s">
        <v>63</v>
      </c>
      <c r="F367" s="6" t="s">
        <v>47</v>
      </c>
      <c r="G367" s="6">
        <v>15</v>
      </c>
      <c r="H367" s="6">
        <v>30.03</v>
      </c>
      <c r="I367" s="6">
        <v>450.45</v>
      </c>
      <c r="J367" s="6">
        <v>29.99</v>
      </c>
      <c r="K367" s="6">
        <v>120.46</v>
      </c>
      <c r="L367" s="6" t="s">
        <v>48</v>
      </c>
      <c r="M367" s="6" t="s">
        <v>34</v>
      </c>
      <c r="N367" s="6" t="s">
        <v>98</v>
      </c>
      <c r="O367" s="12">
        <f t="shared" si="10"/>
        <v>0.26742146742146744</v>
      </c>
      <c r="P367" s="6" t="str">
        <f t="shared" si="11"/>
        <v>need improvement</v>
      </c>
    </row>
    <row r="368" spans="1:16" x14ac:dyDescent="0.3">
      <c r="A368" t="s">
        <v>807</v>
      </c>
      <c r="B368" s="6" t="s">
        <v>808</v>
      </c>
      <c r="C368" s="6" t="s">
        <v>257</v>
      </c>
      <c r="D368" s="6" t="s">
        <v>45</v>
      </c>
      <c r="E368" s="6" t="s">
        <v>63</v>
      </c>
      <c r="F368" s="6" t="s">
        <v>47</v>
      </c>
      <c r="G368" s="6">
        <v>48</v>
      </c>
      <c r="H368" s="6">
        <v>30.91</v>
      </c>
      <c r="I368" s="6">
        <v>1483.68</v>
      </c>
      <c r="J368" s="6">
        <v>85.5</v>
      </c>
      <c r="K368" s="6">
        <v>438.18</v>
      </c>
      <c r="L368" s="6" t="s">
        <v>24</v>
      </c>
      <c r="M368" s="6" t="s">
        <v>34</v>
      </c>
      <c r="N368" s="6" t="s">
        <v>49</v>
      </c>
      <c r="O368" s="12">
        <f t="shared" si="10"/>
        <v>0.29533322549336782</v>
      </c>
      <c r="P368" s="6" t="str">
        <f t="shared" si="11"/>
        <v>need improvement</v>
      </c>
    </row>
    <row r="369" spans="1:16" x14ac:dyDescent="0.3">
      <c r="A369" t="s">
        <v>809</v>
      </c>
      <c r="B369" s="6" t="s">
        <v>810</v>
      </c>
      <c r="C369" s="6" t="s">
        <v>511</v>
      </c>
      <c r="D369" s="6" t="s">
        <v>62</v>
      </c>
      <c r="E369" s="6" t="s">
        <v>67</v>
      </c>
      <c r="F369" s="6" t="s">
        <v>68</v>
      </c>
      <c r="G369" s="6">
        <v>8</v>
      </c>
      <c r="H369" s="6">
        <v>32.19</v>
      </c>
      <c r="I369" s="6">
        <v>257.52</v>
      </c>
      <c r="J369" s="6">
        <v>11.85</v>
      </c>
      <c r="K369" s="6">
        <v>65.67</v>
      </c>
      <c r="L369" s="6" t="s">
        <v>24</v>
      </c>
      <c r="M369" s="6" t="s">
        <v>25</v>
      </c>
      <c r="N369" s="6" t="s">
        <v>98</v>
      </c>
      <c r="O369" s="12">
        <f t="shared" si="10"/>
        <v>0.25500931966449208</v>
      </c>
      <c r="P369" s="6" t="str">
        <f t="shared" si="11"/>
        <v>need improvement</v>
      </c>
    </row>
    <row r="370" spans="1:16" x14ac:dyDescent="0.3">
      <c r="A370" t="s">
        <v>811</v>
      </c>
      <c r="B370" s="6" t="s">
        <v>812</v>
      </c>
      <c r="C370" s="6" t="s">
        <v>235</v>
      </c>
      <c r="D370" s="6" t="s">
        <v>123</v>
      </c>
      <c r="E370" s="6" t="s">
        <v>56</v>
      </c>
      <c r="F370" s="6" t="s">
        <v>57</v>
      </c>
      <c r="G370" s="6">
        <v>22</v>
      </c>
      <c r="H370" s="6">
        <v>60.75</v>
      </c>
      <c r="I370" s="6">
        <v>1336.5</v>
      </c>
      <c r="J370" s="6">
        <v>38.340000000000003</v>
      </c>
      <c r="K370" s="6">
        <v>418.16</v>
      </c>
      <c r="L370" s="6" t="s">
        <v>24</v>
      </c>
      <c r="M370" s="6" t="s">
        <v>34</v>
      </c>
      <c r="N370" s="6" t="s">
        <v>76</v>
      </c>
      <c r="O370" s="12">
        <f t="shared" si="10"/>
        <v>0.3128769173213618</v>
      </c>
      <c r="P370" s="6" t="str">
        <f t="shared" si="11"/>
        <v>need improvement</v>
      </c>
    </row>
    <row r="371" spans="1:16" x14ac:dyDescent="0.3">
      <c r="A371" t="s">
        <v>813</v>
      </c>
      <c r="B371" s="6" t="s">
        <v>319</v>
      </c>
      <c r="C371" s="6" t="s">
        <v>191</v>
      </c>
      <c r="D371" s="6" t="s">
        <v>37</v>
      </c>
      <c r="E371" s="6" t="s">
        <v>56</v>
      </c>
      <c r="F371" s="6" t="s">
        <v>57</v>
      </c>
      <c r="G371" s="6">
        <v>38</v>
      </c>
      <c r="H371" s="6">
        <v>66.06</v>
      </c>
      <c r="I371" s="6">
        <v>2510.2800000000002</v>
      </c>
      <c r="J371" s="6">
        <v>50.37</v>
      </c>
      <c r="K371" s="6">
        <v>939.91</v>
      </c>
      <c r="L371" s="6" t="s">
        <v>24</v>
      </c>
      <c r="M371" s="6" t="s">
        <v>25</v>
      </c>
      <c r="N371" s="6" t="s">
        <v>35</v>
      </c>
      <c r="O371" s="12">
        <f t="shared" si="10"/>
        <v>0.37442436700288412</v>
      </c>
      <c r="P371" s="6" t="str">
        <f t="shared" si="11"/>
        <v>excellent</v>
      </c>
    </row>
    <row r="372" spans="1:16" x14ac:dyDescent="0.3">
      <c r="A372" t="s">
        <v>814</v>
      </c>
      <c r="B372" s="6" t="s">
        <v>502</v>
      </c>
      <c r="C372" s="6" t="s">
        <v>157</v>
      </c>
      <c r="D372" s="6" t="s">
        <v>21</v>
      </c>
      <c r="E372" s="6" t="s">
        <v>22</v>
      </c>
      <c r="F372" s="6" t="s">
        <v>23</v>
      </c>
      <c r="G372" s="6">
        <v>33</v>
      </c>
      <c r="H372" s="6">
        <v>50.88</v>
      </c>
      <c r="I372" s="6">
        <v>1679.04</v>
      </c>
      <c r="J372" s="6">
        <v>61.48</v>
      </c>
      <c r="K372" s="6">
        <v>462.56</v>
      </c>
      <c r="L372" s="6" t="s">
        <v>24</v>
      </c>
      <c r="M372" s="6" t="s">
        <v>34</v>
      </c>
      <c r="N372" s="6" t="s">
        <v>98</v>
      </c>
      <c r="O372" s="12">
        <f t="shared" si="10"/>
        <v>0.27549075662283212</v>
      </c>
      <c r="P372" s="6" t="str">
        <f t="shared" si="11"/>
        <v>need improvement</v>
      </c>
    </row>
    <row r="373" spans="1:16" x14ac:dyDescent="0.3">
      <c r="A373" t="s">
        <v>815</v>
      </c>
      <c r="B373" s="6" t="s">
        <v>816</v>
      </c>
      <c r="C373" s="6" t="s">
        <v>417</v>
      </c>
      <c r="D373" s="6" t="s">
        <v>51</v>
      </c>
      <c r="E373" s="6" t="s">
        <v>137</v>
      </c>
      <c r="F373" s="6" t="s">
        <v>68</v>
      </c>
      <c r="G373" s="6">
        <v>49</v>
      </c>
      <c r="H373" s="6">
        <v>34.479999999999997</v>
      </c>
      <c r="I373" s="6">
        <v>1689.52</v>
      </c>
      <c r="J373" s="6">
        <v>53.06</v>
      </c>
      <c r="K373" s="6">
        <v>264.45999999999998</v>
      </c>
      <c r="L373" s="6" t="s">
        <v>48</v>
      </c>
      <c r="M373" s="6" t="s">
        <v>41</v>
      </c>
      <c r="N373" s="6" t="s">
        <v>76</v>
      </c>
      <c r="O373" s="12">
        <f t="shared" si="10"/>
        <v>0.15652966523036127</v>
      </c>
      <c r="P373" s="6" t="str">
        <f t="shared" si="11"/>
        <v>good</v>
      </c>
    </row>
    <row r="374" spans="1:16" x14ac:dyDescent="0.3">
      <c r="A374" t="s">
        <v>817</v>
      </c>
      <c r="B374" s="6" t="s">
        <v>736</v>
      </c>
      <c r="C374" s="6" t="s">
        <v>269</v>
      </c>
      <c r="D374" s="6" t="s">
        <v>127</v>
      </c>
      <c r="E374" s="6" t="s">
        <v>63</v>
      </c>
      <c r="F374" s="6" t="s">
        <v>47</v>
      </c>
      <c r="G374" s="6">
        <v>31</v>
      </c>
      <c r="H374" s="6">
        <v>25.43</v>
      </c>
      <c r="I374" s="6">
        <v>788.33</v>
      </c>
      <c r="J374" s="6">
        <v>57.81</v>
      </c>
      <c r="K374" s="6">
        <v>110.52</v>
      </c>
      <c r="L374" s="6" t="s">
        <v>24</v>
      </c>
      <c r="M374" s="6" t="s">
        <v>34</v>
      </c>
      <c r="N374" s="6" t="s">
        <v>76</v>
      </c>
      <c r="O374" s="12">
        <f t="shared" si="10"/>
        <v>0.14019509596235077</v>
      </c>
      <c r="P374" s="6" t="str">
        <f t="shared" si="11"/>
        <v>good</v>
      </c>
    </row>
    <row r="375" spans="1:16" x14ac:dyDescent="0.3">
      <c r="A375" t="s">
        <v>818</v>
      </c>
      <c r="B375" s="6" t="s">
        <v>467</v>
      </c>
      <c r="C375" s="6" t="s">
        <v>360</v>
      </c>
      <c r="D375" s="6" t="s">
        <v>241</v>
      </c>
      <c r="E375" s="6" t="s">
        <v>63</v>
      </c>
      <c r="F375" s="6" t="s">
        <v>47</v>
      </c>
      <c r="G375" s="6">
        <v>29</v>
      </c>
      <c r="H375" s="6">
        <v>31.68</v>
      </c>
      <c r="I375" s="6">
        <v>918.72</v>
      </c>
      <c r="J375" s="6">
        <v>22.22</v>
      </c>
      <c r="K375" s="6">
        <v>316.5</v>
      </c>
      <c r="L375" s="6" t="s">
        <v>48</v>
      </c>
      <c r="M375" s="6" t="s">
        <v>25</v>
      </c>
      <c r="N375" s="6" t="s">
        <v>35</v>
      </c>
      <c r="O375" s="12">
        <f t="shared" si="10"/>
        <v>0.34450104493207939</v>
      </c>
      <c r="P375" s="6" t="str">
        <f t="shared" si="11"/>
        <v>need improvement</v>
      </c>
    </row>
    <row r="376" spans="1:16" x14ac:dyDescent="0.3">
      <c r="A376" t="s">
        <v>819</v>
      </c>
      <c r="B376" s="6" t="s">
        <v>590</v>
      </c>
      <c r="C376" s="6" t="s">
        <v>559</v>
      </c>
      <c r="D376" s="6" t="s">
        <v>116</v>
      </c>
      <c r="E376" s="6" t="s">
        <v>137</v>
      </c>
      <c r="F376" s="6" t="s">
        <v>68</v>
      </c>
      <c r="G376" s="6">
        <v>42</v>
      </c>
      <c r="H376" s="6">
        <v>33.89</v>
      </c>
      <c r="I376" s="6">
        <v>1423.38</v>
      </c>
      <c r="J376" s="6">
        <v>85.4</v>
      </c>
      <c r="K376" s="6">
        <v>161.97999999999999</v>
      </c>
      <c r="L376" s="6" t="s">
        <v>48</v>
      </c>
      <c r="M376" s="6" t="s">
        <v>25</v>
      </c>
      <c r="N376" s="6" t="s">
        <v>76</v>
      </c>
      <c r="O376" s="12">
        <f t="shared" si="10"/>
        <v>0.11379954755581782</v>
      </c>
      <c r="P376" s="6" t="str">
        <f t="shared" si="11"/>
        <v>good</v>
      </c>
    </row>
    <row r="377" spans="1:16" x14ac:dyDescent="0.3">
      <c r="A377" t="s">
        <v>820</v>
      </c>
      <c r="B377" s="6" t="s">
        <v>821</v>
      </c>
      <c r="C377" s="6" t="s">
        <v>66</v>
      </c>
      <c r="D377" s="6" t="s">
        <v>116</v>
      </c>
      <c r="E377" s="6" t="s">
        <v>32</v>
      </c>
      <c r="F377" s="6" t="s">
        <v>23</v>
      </c>
      <c r="G377" s="6">
        <v>13</v>
      </c>
      <c r="H377" s="6">
        <v>21.75</v>
      </c>
      <c r="I377" s="6">
        <v>282.75</v>
      </c>
      <c r="J377" s="6">
        <v>12.5</v>
      </c>
      <c r="K377" s="6">
        <v>36.25</v>
      </c>
      <c r="L377" s="6" t="s">
        <v>48</v>
      </c>
      <c r="M377" s="6" t="s">
        <v>34</v>
      </c>
      <c r="N377" s="6" t="s">
        <v>76</v>
      </c>
      <c r="O377" s="12">
        <f t="shared" si="10"/>
        <v>0.12820512820512819</v>
      </c>
      <c r="P377" s="6" t="str">
        <f t="shared" si="11"/>
        <v>good</v>
      </c>
    </row>
    <row r="378" spans="1:16" x14ac:dyDescent="0.3">
      <c r="A378" t="s">
        <v>822</v>
      </c>
      <c r="B378" s="6" t="s">
        <v>823</v>
      </c>
      <c r="C378" s="6" t="s">
        <v>162</v>
      </c>
      <c r="D378" s="6" t="s">
        <v>127</v>
      </c>
      <c r="E378" s="6" t="s">
        <v>67</v>
      </c>
      <c r="F378" s="6" t="s">
        <v>68</v>
      </c>
      <c r="G378" s="6">
        <v>25</v>
      </c>
      <c r="H378" s="6">
        <v>37.58</v>
      </c>
      <c r="I378" s="6">
        <v>939.5</v>
      </c>
      <c r="J378" s="6">
        <v>48.44</v>
      </c>
      <c r="K378" s="6">
        <v>328.56</v>
      </c>
      <c r="L378" s="6" t="s">
        <v>48</v>
      </c>
      <c r="M378" s="6" t="s">
        <v>41</v>
      </c>
      <c r="N378" s="6" t="s">
        <v>76</v>
      </c>
      <c r="O378" s="12">
        <f t="shared" si="10"/>
        <v>0.34971793507184673</v>
      </c>
      <c r="P378" s="6" t="str">
        <f t="shared" si="11"/>
        <v>need improvement</v>
      </c>
    </row>
    <row r="379" spans="1:16" x14ac:dyDescent="0.3">
      <c r="A379" t="s">
        <v>824</v>
      </c>
      <c r="B379" s="6" t="s">
        <v>825</v>
      </c>
      <c r="C379" s="6" t="s">
        <v>480</v>
      </c>
      <c r="D379" s="6" t="s">
        <v>241</v>
      </c>
      <c r="E379" s="6" t="s">
        <v>63</v>
      </c>
      <c r="F379" s="6" t="s">
        <v>47</v>
      </c>
      <c r="G379" s="6">
        <v>16</v>
      </c>
      <c r="H379" s="6">
        <v>25.25</v>
      </c>
      <c r="I379" s="6">
        <v>404</v>
      </c>
      <c r="J379" s="6">
        <v>18.75</v>
      </c>
      <c r="K379" s="6">
        <v>65.25</v>
      </c>
      <c r="L379" s="6" t="s">
        <v>33</v>
      </c>
      <c r="M379" s="6" t="s">
        <v>41</v>
      </c>
      <c r="N379" s="6" t="s">
        <v>35</v>
      </c>
      <c r="O379" s="12">
        <f t="shared" si="10"/>
        <v>0.16150990099009901</v>
      </c>
      <c r="P379" s="6" t="str">
        <f t="shared" si="11"/>
        <v>good</v>
      </c>
    </row>
    <row r="380" spans="1:16" x14ac:dyDescent="0.3">
      <c r="A380" t="s">
        <v>826</v>
      </c>
      <c r="B380" s="6" t="s">
        <v>131</v>
      </c>
      <c r="C380" s="6" t="s">
        <v>381</v>
      </c>
      <c r="D380" s="6" t="s">
        <v>127</v>
      </c>
      <c r="E380" s="6" t="s">
        <v>81</v>
      </c>
      <c r="F380" s="6" t="s">
        <v>68</v>
      </c>
      <c r="G380" s="6">
        <v>37</v>
      </c>
      <c r="H380" s="6">
        <v>25.85</v>
      </c>
      <c r="I380" s="6">
        <v>956.45</v>
      </c>
      <c r="J380" s="6">
        <v>31.7</v>
      </c>
      <c r="K380" s="6">
        <v>351.25</v>
      </c>
      <c r="L380" s="6" t="s">
        <v>48</v>
      </c>
      <c r="M380" s="6" t="s">
        <v>41</v>
      </c>
      <c r="N380" s="6" t="s">
        <v>76</v>
      </c>
      <c r="O380" s="12">
        <f t="shared" si="10"/>
        <v>0.3672434523498353</v>
      </c>
      <c r="P380" s="6" t="str">
        <f t="shared" si="11"/>
        <v>need improvement</v>
      </c>
    </row>
    <row r="381" spans="1:16" x14ac:dyDescent="0.3">
      <c r="A381" t="s">
        <v>827</v>
      </c>
      <c r="B381" s="6" t="s">
        <v>421</v>
      </c>
      <c r="C381" s="6" t="s">
        <v>73</v>
      </c>
      <c r="D381" s="6" t="s">
        <v>116</v>
      </c>
      <c r="E381" s="6" t="s">
        <v>63</v>
      </c>
      <c r="F381" s="6" t="s">
        <v>47</v>
      </c>
      <c r="G381" s="6">
        <v>1</v>
      </c>
      <c r="H381" s="6">
        <v>25.72</v>
      </c>
      <c r="I381" s="6">
        <v>25.72</v>
      </c>
      <c r="J381" s="6">
        <v>2.04</v>
      </c>
      <c r="K381" s="6">
        <v>3.68</v>
      </c>
      <c r="L381" s="6" t="s">
        <v>48</v>
      </c>
      <c r="M381" s="6" t="s">
        <v>41</v>
      </c>
      <c r="N381" s="6" t="s">
        <v>76</v>
      </c>
      <c r="O381" s="12">
        <f t="shared" si="10"/>
        <v>0.14307931570762053</v>
      </c>
      <c r="P381" s="6" t="str">
        <f t="shared" si="11"/>
        <v>good</v>
      </c>
    </row>
    <row r="382" spans="1:16" x14ac:dyDescent="0.3">
      <c r="A382" t="s">
        <v>828</v>
      </c>
      <c r="B382" s="6" t="s">
        <v>229</v>
      </c>
      <c r="C382" s="6" t="s">
        <v>539</v>
      </c>
      <c r="D382" s="6" t="s">
        <v>116</v>
      </c>
      <c r="E382" s="6" t="s">
        <v>137</v>
      </c>
      <c r="F382" s="6" t="s">
        <v>68</v>
      </c>
      <c r="G382" s="6">
        <v>48</v>
      </c>
      <c r="H382" s="6">
        <v>47.05</v>
      </c>
      <c r="I382" s="6">
        <v>2258.4</v>
      </c>
      <c r="J382" s="6">
        <v>179.44</v>
      </c>
      <c r="K382" s="6">
        <v>734.96</v>
      </c>
      <c r="L382" s="6" t="s">
        <v>33</v>
      </c>
      <c r="M382" s="6" t="s">
        <v>34</v>
      </c>
      <c r="N382" s="6" t="s">
        <v>76</v>
      </c>
      <c r="O382" s="12">
        <f t="shared" si="10"/>
        <v>0.32543393552957844</v>
      </c>
      <c r="P382" s="6" t="str">
        <f t="shared" si="11"/>
        <v>excellent</v>
      </c>
    </row>
    <row r="383" spans="1:16" x14ac:dyDescent="0.3">
      <c r="A383" t="s">
        <v>829</v>
      </c>
      <c r="B383" s="6" t="s">
        <v>830</v>
      </c>
      <c r="C383" s="6" t="s">
        <v>197</v>
      </c>
      <c r="D383" s="6" t="s">
        <v>45</v>
      </c>
      <c r="E383" s="6" t="s">
        <v>63</v>
      </c>
      <c r="F383" s="6" t="s">
        <v>47</v>
      </c>
      <c r="G383" s="6">
        <v>48</v>
      </c>
      <c r="H383" s="6">
        <v>29.94</v>
      </c>
      <c r="I383" s="6">
        <v>1437.12</v>
      </c>
      <c r="J383" s="6">
        <v>30.14</v>
      </c>
      <c r="K383" s="6">
        <v>446.98</v>
      </c>
      <c r="L383" s="6" t="s">
        <v>33</v>
      </c>
      <c r="M383" s="6" t="s">
        <v>34</v>
      </c>
      <c r="N383" s="6" t="s">
        <v>49</v>
      </c>
      <c r="O383" s="12">
        <f t="shared" si="10"/>
        <v>0.31102482743264309</v>
      </c>
      <c r="P383" s="6" t="str">
        <f t="shared" si="11"/>
        <v>need improvement</v>
      </c>
    </row>
    <row r="384" spans="1:16" x14ac:dyDescent="0.3">
      <c r="A384" t="s">
        <v>831</v>
      </c>
      <c r="B384" s="6" t="s">
        <v>832</v>
      </c>
      <c r="C384" s="6" t="s">
        <v>586</v>
      </c>
      <c r="D384" s="6" t="s">
        <v>37</v>
      </c>
      <c r="E384" s="6" t="s">
        <v>67</v>
      </c>
      <c r="F384" s="6" t="s">
        <v>68</v>
      </c>
      <c r="G384" s="6">
        <v>12</v>
      </c>
      <c r="H384" s="6">
        <v>35.68</v>
      </c>
      <c r="I384" s="6">
        <v>428.16</v>
      </c>
      <c r="J384" s="6">
        <v>13.07</v>
      </c>
      <c r="K384" s="6">
        <v>145.09</v>
      </c>
      <c r="L384" s="6" t="s">
        <v>33</v>
      </c>
      <c r="M384" s="6" t="s">
        <v>41</v>
      </c>
      <c r="N384" s="6" t="s">
        <v>35</v>
      </c>
      <c r="O384" s="12">
        <f t="shared" si="10"/>
        <v>0.33886864723467863</v>
      </c>
      <c r="P384" s="6" t="str">
        <f t="shared" si="11"/>
        <v>need improvement</v>
      </c>
    </row>
    <row r="385" spans="1:16" x14ac:dyDescent="0.3">
      <c r="A385" t="s">
        <v>833</v>
      </c>
      <c r="B385" s="6" t="s">
        <v>706</v>
      </c>
      <c r="C385" s="6" t="s">
        <v>455</v>
      </c>
      <c r="D385" s="6" t="s">
        <v>21</v>
      </c>
      <c r="E385" s="6" t="s">
        <v>46</v>
      </c>
      <c r="F385" s="6" t="s">
        <v>47</v>
      </c>
      <c r="G385" s="6">
        <v>30</v>
      </c>
      <c r="H385" s="6">
        <v>49.32</v>
      </c>
      <c r="I385" s="6">
        <v>1479.6</v>
      </c>
      <c r="J385" s="6">
        <v>105.97</v>
      </c>
      <c r="K385" s="6">
        <v>413.63</v>
      </c>
      <c r="L385" s="6" t="s">
        <v>33</v>
      </c>
      <c r="M385" s="6" t="s">
        <v>34</v>
      </c>
      <c r="N385" s="6" t="s">
        <v>98</v>
      </c>
      <c r="O385" s="12">
        <f t="shared" si="10"/>
        <v>0.27955528521221951</v>
      </c>
      <c r="P385" s="6" t="str">
        <f t="shared" si="11"/>
        <v>need improvement</v>
      </c>
    </row>
    <row r="386" spans="1:16" x14ac:dyDescent="0.3">
      <c r="A386" t="s">
        <v>834</v>
      </c>
      <c r="B386" s="6" t="s">
        <v>623</v>
      </c>
      <c r="C386" s="6" t="s">
        <v>475</v>
      </c>
      <c r="D386" s="6" t="s">
        <v>171</v>
      </c>
      <c r="E386" s="6" t="s">
        <v>137</v>
      </c>
      <c r="F386" s="6" t="s">
        <v>68</v>
      </c>
      <c r="G386" s="6">
        <v>27</v>
      </c>
      <c r="H386" s="6">
        <v>37.68</v>
      </c>
      <c r="I386" s="6">
        <v>1017.36</v>
      </c>
      <c r="J386" s="6">
        <v>80.739999999999995</v>
      </c>
      <c r="K386" s="6">
        <v>180.62</v>
      </c>
      <c r="L386" s="6" t="s">
        <v>48</v>
      </c>
      <c r="M386" s="6" t="s">
        <v>25</v>
      </c>
      <c r="N386" s="6" t="s">
        <v>35</v>
      </c>
      <c r="O386" s="12">
        <f t="shared" si="10"/>
        <v>0.17753794133836598</v>
      </c>
      <c r="P386" s="6" t="str">
        <f t="shared" si="11"/>
        <v>good</v>
      </c>
    </row>
    <row r="387" spans="1:16" x14ac:dyDescent="0.3">
      <c r="A387" t="s">
        <v>835</v>
      </c>
      <c r="B387" s="6" t="s">
        <v>836</v>
      </c>
      <c r="C387" s="6" t="s">
        <v>277</v>
      </c>
      <c r="D387" s="6" t="s">
        <v>37</v>
      </c>
      <c r="E387" s="6" t="s">
        <v>74</v>
      </c>
      <c r="F387" s="6" t="s">
        <v>75</v>
      </c>
      <c r="G387" s="6">
        <v>39</v>
      </c>
      <c r="H387" s="6">
        <v>36.340000000000003</v>
      </c>
      <c r="I387" s="6">
        <v>1417.26</v>
      </c>
      <c r="J387" s="6">
        <v>67</v>
      </c>
      <c r="K387" s="6">
        <v>375.26</v>
      </c>
      <c r="L387" s="6" t="s">
        <v>48</v>
      </c>
      <c r="M387" s="6" t="s">
        <v>34</v>
      </c>
      <c r="N387" s="6" t="s">
        <v>35</v>
      </c>
      <c r="O387" s="12">
        <f t="shared" si="10"/>
        <v>0.26477851629200005</v>
      </c>
      <c r="P387" s="6" t="str">
        <f t="shared" si="11"/>
        <v>need improvement</v>
      </c>
    </row>
    <row r="388" spans="1:16" x14ac:dyDescent="0.3">
      <c r="A388" t="s">
        <v>837</v>
      </c>
      <c r="B388" s="6" t="s">
        <v>838</v>
      </c>
      <c r="C388" s="6" t="s">
        <v>73</v>
      </c>
      <c r="D388" s="6" t="s">
        <v>51</v>
      </c>
      <c r="E388" s="6" t="s">
        <v>81</v>
      </c>
      <c r="F388" s="6" t="s">
        <v>68</v>
      </c>
      <c r="G388" s="6">
        <v>16</v>
      </c>
      <c r="H388" s="6">
        <v>24.33</v>
      </c>
      <c r="I388" s="6">
        <v>389.28</v>
      </c>
      <c r="J388" s="6">
        <v>22.33</v>
      </c>
      <c r="K388" s="6">
        <v>118.95</v>
      </c>
      <c r="L388" s="6" t="s">
        <v>24</v>
      </c>
      <c r="M388" s="6" t="s">
        <v>41</v>
      </c>
      <c r="N388" s="6" t="s">
        <v>76</v>
      </c>
      <c r="O388" s="12">
        <f t="shared" si="10"/>
        <v>0.30556411837237979</v>
      </c>
      <c r="P388" s="6" t="str">
        <f t="shared" si="11"/>
        <v>need improvement</v>
      </c>
    </row>
    <row r="389" spans="1:16" x14ac:dyDescent="0.3">
      <c r="A389" t="s">
        <v>839</v>
      </c>
      <c r="B389" s="6" t="s">
        <v>547</v>
      </c>
      <c r="C389" s="6" t="s">
        <v>475</v>
      </c>
      <c r="D389" s="6" t="s">
        <v>123</v>
      </c>
      <c r="E389" s="6" t="s">
        <v>81</v>
      </c>
      <c r="F389" s="6" t="s">
        <v>68</v>
      </c>
      <c r="G389" s="6">
        <v>40</v>
      </c>
      <c r="H389" s="6">
        <v>22.28</v>
      </c>
      <c r="I389" s="6">
        <v>891.2</v>
      </c>
      <c r="J389" s="6">
        <v>32.729999999999997</v>
      </c>
      <c r="K389" s="6">
        <v>238.47</v>
      </c>
      <c r="L389" s="6" t="s">
        <v>24</v>
      </c>
      <c r="M389" s="6" t="s">
        <v>34</v>
      </c>
      <c r="N389" s="6" t="s">
        <v>76</v>
      </c>
      <c r="O389" s="12">
        <f t="shared" si="10"/>
        <v>0.26758303411131057</v>
      </c>
      <c r="P389" s="6" t="str">
        <f t="shared" si="11"/>
        <v>need improvement</v>
      </c>
    </row>
    <row r="390" spans="1:16" x14ac:dyDescent="0.3">
      <c r="A390" t="s">
        <v>840</v>
      </c>
      <c r="B390" s="6" t="s">
        <v>129</v>
      </c>
      <c r="C390" s="6" t="s">
        <v>170</v>
      </c>
      <c r="D390" s="6" t="s">
        <v>127</v>
      </c>
      <c r="E390" s="6" t="s">
        <v>86</v>
      </c>
      <c r="F390" s="6" t="s">
        <v>47</v>
      </c>
      <c r="G390" s="6">
        <v>45</v>
      </c>
      <c r="H390" s="6">
        <v>21.71</v>
      </c>
      <c r="I390" s="6">
        <v>976.95</v>
      </c>
      <c r="J390" s="6">
        <v>51.6</v>
      </c>
      <c r="K390" s="6">
        <v>351.6</v>
      </c>
      <c r="L390" s="6" t="s">
        <v>24</v>
      </c>
      <c r="M390" s="6" t="s">
        <v>25</v>
      </c>
      <c r="N390" s="6" t="s">
        <v>76</v>
      </c>
      <c r="O390" s="12">
        <f t="shared" ref="O390:O453" si="12">K390/I390</f>
        <v>0.35989559342852756</v>
      </c>
      <c r="P390" s="6" t="str">
        <f t="shared" ref="P390:P453" si="13">IF(AND(O390&gt;20%,I390&gt;2000),"excellent",IF(AND(O390&gt;=10%,O390&lt;=20%),"good","need improvement"))</f>
        <v>need improvement</v>
      </c>
    </row>
    <row r="391" spans="1:16" x14ac:dyDescent="0.3">
      <c r="A391" t="s">
        <v>841</v>
      </c>
      <c r="B391" s="6" t="s">
        <v>477</v>
      </c>
      <c r="C391" s="6" t="s">
        <v>288</v>
      </c>
      <c r="D391" s="6" t="s">
        <v>241</v>
      </c>
      <c r="E391" s="6" t="s">
        <v>74</v>
      </c>
      <c r="F391" s="6" t="s">
        <v>75</v>
      </c>
      <c r="G391" s="6">
        <v>8</v>
      </c>
      <c r="H391" s="6">
        <v>31.07</v>
      </c>
      <c r="I391" s="6">
        <v>248.56</v>
      </c>
      <c r="J391" s="6">
        <v>10.97</v>
      </c>
      <c r="K391" s="6">
        <v>37.590000000000003</v>
      </c>
      <c r="L391" s="6" t="s">
        <v>24</v>
      </c>
      <c r="M391" s="6" t="s">
        <v>34</v>
      </c>
      <c r="N391" s="6" t="s">
        <v>35</v>
      </c>
      <c r="O391" s="12">
        <f t="shared" si="12"/>
        <v>0.15123109108464758</v>
      </c>
      <c r="P391" s="6" t="str">
        <f t="shared" si="13"/>
        <v>good</v>
      </c>
    </row>
    <row r="392" spans="1:16" x14ac:dyDescent="0.3">
      <c r="A392" t="s">
        <v>842</v>
      </c>
      <c r="B392" s="6" t="s">
        <v>843</v>
      </c>
      <c r="C392" s="6" t="s">
        <v>369</v>
      </c>
      <c r="D392" s="6" t="s">
        <v>171</v>
      </c>
      <c r="E392" s="6" t="s">
        <v>86</v>
      </c>
      <c r="F392" s="6" t="s">
        <v>47</v>
      </c>
      <c r="G392" s="6">
        <v>47</v>
      </c>
      <c r="H392" s="6">
        <v>21.93</v>
      </c>
      <c r="I392" s="6">
        <v>1030.71</v>
      </c>
      <c r="J392" s="6">
        <v>70.989999999999995</v>
      </c>
      <c r="K392" s="6">
        <v>360.47</v>
      </c>
      <c r="L392" s="6" t="s">
        <v>48</v>
      </c>
      <c r="M392" s="6" t="s">
        <v>25</v>
      </c>
      <c r="N392" s="6" t="s">
        <v>35</v>
      </c>
      <c r="O392" s="12">
        <f t="shared" si="12"/>
        <v>0.3497297979062976</v>
      </c>
      <c r="P392" s="6" t="str">
        <f t="shared" si="13"/>
        <v>need improvement</v>
      </c>
    </row>
    <row r="393" spans="1:16" x14ac:dyDescent="0.3">
      <c r="A393" t="s">
        <v>844</v>
      </c>
      <c r="B393" s="6" t="s">
        <v>845</v>
      </c>
      <c r="C393" s="6" t="s">
        <v>165</v>
      </c>
      <c r="D393" s="6" t="s">
        <v>171</v>
      </c>
      <c r="E393" s="6" t="s">
        <v>86</v>
      </c>
      <c r="F393" s="6" t="s">
        <v>47</v>
      </c>
      <c r="G393" s="6">
        <v>46</v>
      </c>
      <c r="H393" s="6">
        <v>21.46</v>
      </c>
      <c r="I393" s="6">
        <v>987.16</v>
      </c>
      <c r="J393" s="6">
        <v>21.64</v>
      </c>
      <c r="K393" s="6">
        <v>379.02</v>
      </c>
      <c r="L393" s="6" t="s">
        <v>33</v>
      </c>
      <c r="M393" s="6" t="s">
        <v>25</v>
      </c>
      <c r="N393" s="6" t="s">
        <v>35</v>
      </c>
      <c r="O393" s="12">
        <f t="shared" si="12"/>
        <v>0.38394991693342517</v>
      </c>
      <c r="P393" s="6" t="str">
        <f t="shared" si="13"/>
        <v>need improvement</v>
      </c>
    </row>
    <row r="394" spans="1:16" x14ac:dyDescent="0.3">
      <c r="A394" t="s">
        <v>846</v>
      </c>
      <c r="B394" s="6" t="s">
        <v>847</v>
      </c>
      <c r="C394" s="6" t="s">
        <v>126</v>
      </c>
      <c r="D394" s="6" t="s">
        <v>21</v>
      </c>
      <c r="E394" s="6" t="s">
        <v>137</v>
      </c>
      <c r="F394" s="6" t="s">
        <v>68</v>
      </c>
      <c r="G394" s="6">
        <v>45</v>
      </c>
      <c r="H394" s="6">
        <v>47.1</v>
      </c>
      <c r="I394" s="6">
        <v>2119.5</v>
      </c>
      <c r="J394" s="6">
        <v>120.16</v>
      </c>
      <c r="K394" s="6">
        <v>739.34</v>
      </c>
      <c r="L394" s="6" t="s">
        <v>33</v>
      </c>
      <c r="M394" s="6" t="s">
        <v>34</v>
      </c>
      <c r="N394" s="6" t="s">
        <v>98</v>
      </c>
      <c r="O394" s="12">
        <f t="shared" si="12"/>
        <v>0.34882755366831802</v>
      </c>
      <c r="P394" s="6" t="str">
        <f t="shared" si="13"/>
        <v>excellent</v>
      </c>
    </row>
    <row r="395" spans="1:16" x14ac:dyDescent="0.3">
      <c r="A395" t="s">
        <v>848</v>
      </c>
      <c r="B395" s="6" t="s">
        <v>319</v>
      </c>
      <c r="C395" s="6" t="s">
        <v>20</v>
      </c>
      <c r="D395" s="6" t="s">
        <v>70</v>
      </c>
      <c r="E395" s="6" t="s">
        <v>22</v>
      </c>
      <c r="F395" s="6" t="s">
        <v>23</v>
      </c>
      <c r="G395" s="6">
        <v>2</v>
      </c>
      <c r="H395" s="6">
        <v>58.32</v>
      </c>
      <c r="I395" s="6">
        <v>116.64</v>
      </c>
      <c r="J395" s="6">
        <v>8.99</v>
      </c>
      <c r="K395" s="6">
        <v>37.65</v>
      </c>
      <c r="L395" s="6" t="s">
        <v>24</v>
      </c>
      <c r="M395" s="6" t="s">
        <v>34</v>
      </c>
      <c r="N395" s="6" t="s">
        <v>76</v>
      </c>
      <c r="O395" s="12">
        <f t="shared" si="12"/>
        <v>0.32278806584362141</v>
      </c>
      <c r="P395" s="6" t="str">
        <f t="shared" si="13"/>
        <v>need improvement</v>
      </c>
    </row>
    <row r="396" spans="1:16" x14ac:dyDescent="0.3">
      <c r="A396" t="s">
        <v>849</v>
      </c>
      <c r="B396" s="6" t="s">
        <v>850</v>
      </c>
      <c r="C396" s="6" t="s">
        <v>475</v>
      </c>
      <c r="D396" s="6" t="s">
        <v>171</v>
      </c>
      <c r="E396" s="6" t="s">
        <v>22</v>
      </c>
      <c r="F396" s="6" t="s">
        <v>23</v>
      </c>
      <c r="G396" s="6">
        <v>31</v>
      </c>
      <c r="H396" s="6">
        <v>61.34</v>
      </c>
      <c r="I396" s="6">
        <v>1901.54</v>
      </c>
      <c r="J396" s="6">
        <v>147.43</v>
      </c>
      <c r="K396" s="6">
        <v>669.11</v>
      </c>
      <c r="L396" s="6" t="s">
        <v>33</v>
      </c>
      <c r="M396" s="6" t="s">
        <v>25</v>
      </c>
      <c r="N396" s="6" t="s">
        <v>35</v>
      </c>
      <c r="O396" s="12">
        <f t="shared" si="12"/>
        <v>0.35187795155505541</v>
      </c>
      <c r="P396" s="6" t="str">
        <f t="shared" si="13"/>
        <v>need improvement</v>
      </c>
    </row>
    <row r="397" spans="1:16" x14ac:dyDescent="0.3">
      <c r="A397" t="s">
        <v>851</v>
      </c>
      <c r="B397" s="6" t="s">
        <v>852</v>
      </c>
      <c r="C397" s="6" t="s">
        <v>266</v>
      </c>
      <c r="D397" s="6" t="s">
        <v>55</v>
      </c>
      <c r="E397" s="6" t="s">
        <v>74</v>
      </c>
      <c r="F397" s="6" t="s">
        <v>75</v>
      </c>
      <c r="G397" s="6">
        <v>15</v>
      </c>
      <c r="H397" s="6">
        <v>43.9</v>
      </c>
      <c r="I397" s="6">
        <v>658.5</v>
      </c>
      <c r="J397" s="6">
        <v>36.479999999999997</v>
      </c>
      <c r="K397" s="6">
        <v>247.02</v>
      </c>
      <c r="L397" s="6" t="s">
        <v>48</v>
      </c>
      <c r="M397" s="6" t="s">
        <v>34</v>
      </c>
      <c r="N397" s="6" t="s">
        <v>98</v>
      </c>
      <c r="O397" s="12">
        <f t="shared" si="12"/>
        <v>0.37512528473804102</v>
      </c>
      <c r="P397" s="6" t="str">
        <f t="shared" si="13"/>
        <v>need improvement</v>
      </c>
    </row>
    <row r="398" spans="1:16" x14ac:dyDescent="0.3">
      <c r="A398" t="s">
        <v>853</v>
      </c>
      <c r="B398" s="6" t="s">
        <v>854</v>
      </c>
      <c r="C398" s="6" t="s">
        <v>266</v>
      </c>
      <c r="D398" s="6" t="s">
        <v>37</v>
      </c>
      <c r="E398" s="6" t="s">
        <v>86</v>
      </c>
      <c r="F398" s="6" t="s">
        <v>47</v>
      </c>
      <c r="G398" s="6">
        <v>4</v>
      </c>
      <c r="H398" s="6">
        <v>20.53</v>
      </c>
      <c r="I398" s="6">
        <v>82.12</v>
      </c>
      <c r="J398" s="6">
        <v>4.05</v>
      </c>
      <c r="K398" s="6">
        <v>27.07</v>
      </c>
      <c r="L398" s="6" t="s">
        <v>24</v>
      </c>
      <c r="M398" s="6" t="s">
        <v>41</v>
      </c>
      <c r="N398" s="6" t="s">
        <v>35</v>
      </c>
      <c r="O398" s="12">
        <f t="shared" si="12"/>
        <v>0.32963955187530442</v>
      </c>
      <c r="P398" s="6" t="str">
        <f t="shared" si="13"/>
        <v>need improvement</v>
      </c>
    </row>
    <row r="399" spans="1:16" x14ac:dyDescent="0.3">
      <c r="A399" t="s">
        <v>855</v>
      </c>
      <c r="B399" s="6" t="s">
        <v>433</v>
      </c>
      <c r="C399" s="6" t="s">
        <v>238</v>
      </c>
      <c r="D399" s="6" t="s">
        <v>206</v>
      </c>
      <c r="E399" s="6" t="s">
        <v>63</v>
      </c>
      <c r="F399" s="6" t="s">
        <v>47</v>
      </c>
      <c r="G399" s="6">
        <v>6</v>
      </c>
      <c r="H399" s="6">
        <v>24.7</v>
      </c>
      <c r="I399" s="6">
        <v>148.19999999999999</v>
      </c>
      <c r="J399" s="6">
        <v>3.76</v>
      </c>
      <c r="K399" s="6">
        <v>24.44</v>
      </c>
      <c r="L399" s="6" t="s">
        <v>48</v>
      </c>
      <c r="M399" s="6" t="s">
        <v>25</v>
      </c>
      <c r="N399" s="6" t="s">
        <v>207</v>
      </c>
      <c r="O399" s="12">
        <f t="shared" si="12"/>
        <v>0.1649122807017544</v>
      </c>
      <c r="P399" s="6" t="str">
        <f t="shared" si="13"/>
        <v>good</v>
      </c>
    </row>
    <row r="400" spans="1:16" x14ac:dyDescent="0.3">
      <c r="A400" t="s">
        <v>856</v>
      </c>
      <c r="B400" s="6" t="s">
        <v>857</v>
      </c>
      <c r="C400" s="6" t="s">
        <v>521</v>
      </c>
      <c r="D400" s="6" t="s">
        <v>45</v>
      </c>
      <c r="E400" s="6" t="s">
        <v>86</v>
      </c>
      <c r="F400" s="6" t="s">
        <v>47</v>
      </c>
      <c r="G400" s="6">
        <v>19</v>
      </c>
      <c r="H400" s="6">
        <v>19.170000000000002</v>
      </c>
      <c r="I400" s="6">
        <v>364.23</v>
      </c>
      <c r="J400" s="6">
        <v>15.16</v>
      </c>
      <c r="K400" s="6">
        <v>106.82</v>
      </c>
      <c r="L400" s="6" t="s">
        <v>33</v>
      </c>
      <c r="M400" s="6" t="s">
        <v>34</v>
      </c>
      <c r="N400" s="6" t="s">
        <v>49</v>
      </c>
      <c r="O400" s="12">
        <f t="shared" si="12"/>
        <v>0.29327622656014052</v>
      </c>
      <c r="P400" s="6" t="str">
        <f t="shared" si="13"/>
        <v>need improvement</v>
      </c>
    </row>
    <row r="401" spans="1:16" x14ac:dyDescent="0.3">
      <c r="A401" t="s">
        <v>858</v>
      </c>
      <c r="B401" s="6" t="s">
        <v>243</v>
      </c>
      <c r="C401" s="6" t="s">
        <v>630</v>
      </c>
      <c r="D401" s="6" t="s">
        <v>51</v>
      </c>
      <c r="E401" s="6" t="s">
        <v>56</v>
      </c>
      <c r="F401" s="6" t="s">
        <v>57</v>
      </c>
      <c r="G401" s="6">
        <v>2</v>
      </c>
      <c r="H401" s="6">
        <v>55.28</v>
      </c>
      <c r="I401" s="6">
        <v>110.56</v>
      </c>
      <c r="J401" s="6">
        <v>5.37</v>
      </c>
      <c r="K401" s="6">
        <v>25.19</v>
      </c>
      <c r="L401" s="6" t="s">
        <v>48</v>
      </c>
      <c r="M401" s="6" t="s">
        <v>34</v>
      </c>
      <c r="N401" s="6" t="s">
        <v>76</v>
      </c>
      <c r="O401" s="12">
        <f t="shared" si="12"/>
        <v>0.22784008683068019</v>
      </c>
      <c r="P401" s="6" t="str">
        <f t="shared" si="13"/>
        <v>need improvement</v>
      </c>
    </row>
    <row r="402" spans="1:16" x14ac:dyDescent="0.3">
      <c r="A402" t="s">
        <v>859</v>
      </c>
      <c r="B402" s="6" t="s">
        <v>860</v>
      </c>
      <c r="C402" s="6" t="s">
        <v>334</v>
      </c>
      <c r="D402" s="6" t="s">
        <v>45</v>
      </c>
      <c r="E402" s="6" t="s">
        <v>74</v>
      </c>
      <c r="F402" s="6" t="s">
        <v>75</v>
      </c>
      <c r="G402" s="6">
        <v>49</v>
      </c>
      <c r="H402" s="6">
        <v>43.91</v>
      </c>
      <c r="I402" s="6">
        <v>2151.59</v>
      </c>
      <c r="J402" s="6">
        <v>63.55</v>
      </c>
      <c r="K402" s="6">
        <v>863.04</v>
      </c>
      <c r="L402" s="6" t="s">
        <v>24</v>
      </c>
      <c r="M402" s="6" t="s">
        <v>34</v>
      </c>
      <c r="N402" s="6" t="s">
        <v>49</v>
      </c>
      <c r="O402" s="12">
        <f t="shared" si="12"/>
        <v>0.40111731324276462</v>
      </c>
      <c r="P402" s="6" t="str">
        <f t="shared" si="13"/>
        <v>excellent</v>
      </c>
    </row>
    <row r="403" spans="1:16" x14ac:dyDescent="0.3">
      <c r="A403" t="s">
        <v>861</v>
      </c>
      <c r="B403" s="6" t="s">
        <v>862</v>
      </c>
      <c r="C403" s="6" t="s">
        <v>307</v>
      </c>
      <c r="D403" s="6" t="s">
        <v>45</v>
      </c>
      <c r="E403" s="6" t="s">
        <v>74</v>
      </c>
      <c r="F403" s="6" t="s">
        <v>75</v>
      </c>
      <c r="G403" s="6">
        <v>29</v>
      </c>
      <c r="H403" s="6">
        <v>41.84</v>
      </c>
      <c r="I403" s="6">
        <v>1213.3599999999999</v>
      </c>
      <c r="J403" s="6">
        <v>56.83</v>
      </c>
      <c r="K403" s="6">
        <v>431.53</v>
      </c>
      <c r="L403" s="6" t="s">
        <v>48</v>
      </c>
      <c r="M403" s="6" t="s">
        <v>41</v>
      </c>
      <c r="N403" s="6" t="s">
        <v>49</v>
      </c>
      <c r="O403" s="12">
        <f t="shared" si="12"/>
        <v>0.35564877694995717</v>
      </c>
      <c r="P403" s="6" t="str">
        <f t="shared" si="13"/>
        <v>need improvement</v>
      </c>
    </row>
    <row r="404" spans="1:16" x14ac:dyDescent="0.3">
      <c r="A404" t="s">
        <v>863</v>
      </c>
      <c r="B404" s="6" t="s">
        <v>798</v>
      </c>
      <c r="C404" s="6" t="s">
        <v>282</v>
      </c>
      <c r="D404" s="6" t="s">
        <v>141</v>
      </c>
      <c r="E404" s="6" t="s">
        <v>81</v>
      </c>
      <c r="F404" s="6" t="s">
        <v>68</v>
      </c>
      <c r="G404" s="6">
        <v>43</v>
      </c>
      <c r="H404" s="6">
        <v>27.41</v>
      </c>
      <c r="I404" s="6">
        <v>1178.6300000000001</v>
      </c>
      <c r="J404" s="6">
        <v>55.82</v>
      </c>
      <c r="K404" s="6">
        <v>456.31</v>
      </c>
      <c r="L404" s="6" t="s">
        <v>48</v>
      </c>
      <c r="M404" s="6" t="s">
        <v>34</v>
      </c>
      <c r="N404" s="6" t="s">
        <v>142</v>
      </c>
      <c r="O404" s="12">
        <f t="shared" si="12"/>
        <v>0.38715288088713162</v>
      </c>
      <c r="P404" s="6" t="str">
        <f t="shared" si="13"/>
        <v>need improvement</v>
      </c>
    </row>
    <row r="405" spans="1:16" x14ac:dyDescent="0.3">
      <c r="A405" t="s">
        <v>864</v>
      </c>
      <c r="B405" s="6" t="s">
        <v>271</v>
      </c>
      <c r="C405" s="6" t="s">
        <v>743</v>
      </c>
      <c r="D405" s="6" t="s">
        <v>62</v>
      </c>
      <c r="E405" s="6" t="s">
        <v>63</v>
      </c>
      <c r="F405" s="6" t="s">
        <v>47</v>
      </c>
      <c r="G405" s="6">
        <v>28</v>
      </c>
      <c r="H405" s="6">
        <v>31.84</v>
      </c>
      <c r="I405" s="6">
        <v>891.52</v>
      </c>
      <c r="J405" s="6">
        <v>54.24</v>
      </c>
      <c r="K405" s="6">
        <v>277.27999999999997</v>
      </c>
      <c r="L405" s="6" t="s">
        <v>24</v>
      </c>
      <c r="M405" s="6" t="s">
        <v>34</v>
      </c>
      <c r="N405" s="6" t="s">
        <v>98</v>
      </c>
      <c r="O405" s="12">
        <f t="shared" si="12"/>
        <v>0.31101938262742279</v>
      </c>
      <c r="P405" s="6" t="str">
        <f t="shared" si="13"/>
        <v>need improvement</v>
      </c>
    </row>
    <row r="406" spans="1:16" x14ac:dyDescent="0.3">
      <c r="A406" t="s">
        <v>865</v>
      </c>
      <c r="B406" s="6" t="s">
        <v>419</v>
      </c>
      <c r="C406" s="6" t="s">
        <v>462</v>
      </c>
      <c r="D406" s="6" t="s">
        <v>51</v>
      </c>
      <c r="E406" s="6" t="s">
        <v>74</v>
      </c>
      <c r="F406" s="6" t="s">
        <v>75</v>
      </c>
      <c r="G406" s="6">
        <v>42</v>
      </c>
      <c r="H406" s="6">
        <v>35.840000000000003</v>
      </c>
      <c r="I406" s="6">
        <v>1505.28</v>
      </c>
      <c r="J406" s="6">
        <v>60.65</v>
      </c>
      <c r="K406" s="6">
        <v>394.63</v>
      </c>
      <c r="L406" s="6" t="s">
        <v>48</v>
      </c>
      <c r="M406" s="6" t="s">
        <v>34</v>
      </c>
      <c r="N406" s="6" t="s">
        <v>76</v>
      </c>
      <c r="O406" s="12">
        <f t="shared" si="12"/>
        <v>0.262163849914966</v>
      </c>
      <c r="P406" s="6" t="str">
        <f t="shared" si="13"/>
        <v>need improvement</v>
      </c>
    </row>
    <row r="407" spans="1:16" x14ac:dyDescent="0.3">
      <c r="A407" t="s">
        <v>866</v>
      </c>
      <c r="B407" s="6" t="s">
        <v>581</v>
      </c>
      <c r="C407" s="6" t="s">
        <v>85</v>
      </c>
      <c r="D407" s="6" t="s">
        <v>116</v>
      </c>
      <c r="E407" s="6" t="s">
        <v>67</v>
      </c>
      <c r="F407" s="6" t="s">
        <v>68</v>
      </c>
      <c r="G407" s="6">
        <v>22</v>
      </c>
      <c r="H407" s="6">
        <v>30.55</v>
      </c>
      <c r="I407" s="6">
        <v>672.1</v>
      </c>
      <c r="J407" s="6">
        <v>46.8</v>
      </c>
      <c r="K407" s="6">
        <v>130.30000000000001</v>
      </c>
      <c r="L407" s="6" t="s">
        <v>33</v>
      </c>
      <c r="M407" s="6" t="s">
        <v>41</v>
      </c>
      <c r="N407" s="6" t="s">
        <v>76</v>
      </c>
      <c r="O407" s="12">
        <f t="shared" si="12"/>
        <v>0.19386995982740665</v>
      </c>
      <c r="P407" s="6" t="str">
        <f t="shared" si="13"/>
        <v>good</v>
      </c>
    </row>
    <row r="408" spans="1:16" x14ac:dyDescent="0.3">
      <c r="A408" t="s">
        <v>867</v>
      </c>
      <c r="B408" s="6" t="s">
        <v>248</v>
      </c>
      <c r="C408" s="6" t="s">
        <v>352</v>
      </c>
      <c r="D408" s="6" t="s">
        <v>127</v>
      </c>
      <c r="E408" s="6" t="s">
        <v>137</v>
      </c>
      <c r="F408" s="6" t="s">
        <v>68</v>
      </c>
      <c r="G408" s="6">
        <v>13</v>
      </c>
      <c r="H408" s="6">
        <v>45.16</v>
      </c>
      <c r="I408" s="6">
        <v>587.08000000000004</v>
      </c>
      <c r="J408" s="6">
        <v>29.68</v>
      </c>
      <c r="K408" s="6">
        <v>193.4</v>
      </c>
      <c r="L408" s="6" t="s">
        <v>33</v>
      </c>
      <c r="M408" s="6" t="s">
        <v>34</v>
      </c>
      <c r="N408" s="6" t="s">
        <v>76</v>
      </c>
      <c r="O408" s="12">
        <f t="shared" si="12"/>
        <v>0.32942699461742864</v>
      </c>
      <c r="P408" s="6" t="str">
        <f t="shared" si="13"/>
        <v>need improvement</v>
      </c>
    </row>
    <row r="409" spans="1:16" x14ac:dyDescent="0.3">
      <c r="A409" t="s">
        <v>868</v>
      </c>
      <c r="B409" s="6" t="s">
        <v>617</v>
      </c>
      <c r="C409" s="6" t="s">
        <v>227</v>
      </c>
      <c r="D409" s="6" t="s">
        <v>206</v>
      </c>
      <c r="E409" s="6" t="s">
        <v>22</v>
      </c>
      <c r="F409" s="6" t="s">
        <v>23</v>
      </c>
      <c r="G409" s="6">
        <v>40</v>
      </c>
      <c r="H409" s="6">
        <v>45.23</v>
      </c>
      <c r="I409" s="6">
        <v>1809.2</v>
      </c>
      <c r="J409" s="6">
        <v>136.25</v>
      </c>
      <c r="K409" s="6">
        <v>272.95</v>
      </c>
      <c r="L409" s="6" t="s">
        <v>48</v>
      </c>
      <c r="M409" s="6" t="s">
        <v>41</v>
      </c>
      <c r="N409" s="6" t="s">
        <v>207</v>
      </c>
      <c r="O409" s="12">
        <f t="shared" si="12"/>
        <v>0.15086778686712357</v>
      </c>
      <c r="P409" s="6" t="str">
        <f t="shared" si="13"/>
        <v>good</v>
      </c>
    </row>
    <row r="410" spans="1:16" x14ac:dyDescent="0.3">
      <c r="A410" t="s">
        <v>869</v>
      </c>
      <c r="B410" s="6" t="s">
        <v>629</v>
      </c>
      <c r="C410" s="6" t="s">
        <v>410</v>
      </c>
      <c r="D410" s="6" t="s">
        <v>127</v>
      </c>
      <c r="E410" s="6" t="s">
        <v>32</v>
      </c>
      <c r="F410" s="6" t="s">
        <v>23</v>
      </c>
      <c r="G410" s="6">
        <v>41</v>
      </c>
      <c r="H410" s="6">
        <v>22.78</v>
      </c>
      <c r="I410" s="6">
        <v>933.98</v>
      </c>
      <c r="J410" s="6">
        <v>38.369999999999997</v>
      </c>
      <c r="K410" s="6">
        <v>157.61000000000001</v>
      </c>
      <c r="L410" s="6" t="s">
        <v>33</v>
      </c>
      <c r="M410" s="6" t="s">
        <v>25</v>
      </c>
      <c r="N410" s="6" t="s">
        <v>76</v>
      </c>
      <c r="O410" s="12">
        <f t="shared" si="12"/>
        <v>0.16875093685089618</v>
      </c>
      <c r="P410" s="6" t="str">
        <f t="shared" si="13"/>
        <v>good</v>
      </c>
    </row>
    <row r="411" spans="1:16" x14ac:dyDescent="0.3">
      <c r="A411" t="s">
        <v>870</v>
      </c>
      <c r="B411" s="6" t="s">
        <v>871</v>
      </c>
      <c r="C411" s="6" t="s">
        <v>165</v>
      </c>
      <c r="D411" s="6" t="s">
        <v>171</v>
      </c>
      <c r="E411" s="6" t="s">
        <v>81</v>
      </c>
      <c r="F411" s="6" t="s">
        <v>68</v>
      </c>
      <c r="G411" s="6">
        <v>34</v>
      </c>
      <c r="H411" s="6">
        <v>24.21</v>
      </c>
      <c r="I411" s="6">
        <v>823.14</v>
      </c>
      <c r="J411" s="6">
        <v>58.25</v>
      </c>
      <c r="K411" s="6">
        <v>237.89</v>
      </c>
      <c r="L411" s="6" t="s">
        <v>24</v>
      </c>
      <c r="M411" s="6" t="s">
        <v>25</v>
      </c>
      <c r="N411" s="6" t="s">
        <v>35</v>
      </c>
      <c r="O411" s="12">
        <f t="shared" si="12"/>
        <v>0.28900308574483075</v>
      </c>
      <c r="P411" s="6" t="str">
        <f t="shared" si="13"/>
        <v>need improvement</v>
      </c>
    </row>
    <row r="412" spans="1:16" x14ac:dyDescent="0.3">
      <c r="A412" t="s">
        <v>872</v>
      </c>
      <c r="B412" s="6" t="s">
        <v>199</v>
      </c>
      <c r="C412" s="6" t="s">
        <v>185</v>
      </c>
      <c r="D412" s="6" t="s">
        <v>31</v>
      </c>
      <c r="E412" s="6" t="s">
        <v>63</v>
      </c>
      <c r="F412" s="6" t="s">
        <v>47</v>
      </c>
      <c r="G412" s="6">
        <v>46</v>
      </c>
      <c r="H412" s="6">
        <v>34.64</v>
      </c>
      <c r="I412" s="6">
        <v>1593.44</v>
      </c>
      <c r="J412" s="6">
        <v>45.93</v>
      </c>
      <c r="K412" s="6">
        <v>627.51</v>
      </c>
      <c r="L412" s="6" t="s">
        <v>48</v>
      </c>
      <c r="M412" s="6" t="s">
        <v>25</v>
      </c>
      <c r="N412" s="6" t="s">
        <v>35</v>
      </c>
      <c r="O412" s="12">
        <f t="shared" si="12"/>
        <v>0.39380836429360377</v>
      </c>
      <c r="P412" s="6" t="str">
        <f t="shared" si="13"/>
        <v>need improvement</v>
      </c>
    </row>
    <row r="413" spans="1:16" x14ac:dyDescent="0.3">
      <c r="A413" t="s">
        <v>873</v>
      </c>
      <c r="B413" s="6" t="s">
        <v>874</v>
      </c>
      <c r="C413" s="6" t="s">
        <v>227</v>
      </c>
      <c r="D413" s="6" t="s">
        <v>55</v>
      </c>
      <c r="E413" s="6" t="s">
        <v>63</v>
      </c>
      <c r="F413" s="6" t="s">
        <v>47</v>
      </c>
      <c r="G413" s="6">
        <v>10</v>
      </c>
      <c r="H413" s="6">
        <v>27.06</v>
      </c>
      <c r="I413" s="6">
        <v>270.60000000000002</v>
      </c>
      <c r="J413" s="6">
        <v>15.35</v>
      </c>
      <c r="K413" s="6">
        <v>55.25</v>
      </c>
      <c r="L413" s="6" t="s">
        <v>24</v>
      </c>
      <c r="M413" s="6" t="s">
        <v>41</v>
      </c>
      <c r="N413" s="6" t="s">
        <v>98</v>
      </c>
      <c r="O413" s="12">
        <f t="shared" si="12"/>
        <v>0.20417590539541758</v>
      </c>
      <c r="P413" s="6" t="str">
        <f t="shared" si="13"/>
        <v>need improvement</v>
      </c>
    </row>
    <row r="414" spans="1:16" x14ac:dyDescent="0.3">
      <c r="A414" t="s">
        <v>875</v>
      </c>
      <c r="B414" s="6" t="s">
        <v>642</v>
      </c>
      <c r="C414" s="6" t="s">
        <v>222</v>
      </c>
      <c r="D414" s="6" t="s">
        <v>31</v>
      </c>
      <c r="E414" s="6" t="s">
        <v>32</v>
      </c>
      <c r="F414" s="6" t="s">
        <v>23</v>
      </c>
      <c r="G414" s="6">
        <v>11</v>
      </c>
      <c r="H414" s="6">
        <v>27.74</v>
      </c>
      <c r="I414" s="6">
        <v>305.14</v>
      </c>
      <c r="J414" s="6">
        <v>10.81</v>
      </c>
      <c r="K414" s="6">
        <v>96.33</v>
      </c>
      <c r="L414" s="6" t="s">
        <v>33</v>
      </c>
      <c r="M414" s="6" t="s">
        <v>41</v>
      </c>
      <c r="N414" s="6" t="s">
        <v>35</v>
      </c>
      <c r="O414" s="12">
        <f t="shared" si="12"/>
        <v>0.31569115815691157</v>
      </c>
      <c r="P414" s="6" t="str">
        <f t="shared" si="13"/>
        <v>need improvement</v>
      </c>
    </row>
    <row r="415" spans="1:16" x14ac:dyDescent="0.3">
      <c r="A415" t="s">
        <v>876</v>
      </c>
      <c r="B415" s="6" t="s">
        <v>877</v>
      </c>
      <c r="C415" s="6" t="s">
        <v>157</v>
      </c>
      <c r="D415" s="6" t="s">
        <v>55</v>
      </c>
      <c r="E415" s="6" t="s">
        <v>137</v>
      </c>
      <c r="F415" s="6" t="s">
        <v>68</v>
      </c>
      <c r="G415" s="6">
        <v>29</v>
      </c>
      <c r="H415" s="6">
        <v>38.08</v>
      </c>
      <c r="I415" s="6">
        <v>1104.32</v>
      </c>
      <c r="J415" s="6">
        <v>25.63</v>
      </c>
      <c r="K415" s="6">
        <v>266.69</v>
      </c>
      <c r="L415" s="6" t="s">
        <v>33</v>
      </c>
      <c r="M415" s="6" t="s">
        <v>41</v>
      </c>
      <c r="N415" s="6" t="s">
        <v>98</v>
      </c>
      <c r="O415" s="12">
        <f t="shared" si="12"/>
        <v>0.24149702984642135</v>
      </c>
      <c r="P415" s="6" t="str">
        <f t="shared" si="13"/>
        <v>need improvement</v>
      </c>
    </row>
    <row r="416" spans="1:16" x14ac:dyDescent="0.3">
      <c r="A416" t="s">
        <v>878</v>
      </c>
      <c r="B416" s="6" t="s">
        <v>340</v>
      </c>
      <c r="C416" s="6" t="s">
        <v>191</v>
      </c>
      <c r="D416" s="6" t="s">
        <v>55</v>
      </c>
      <c r="E416" s="6" t="s">
        <v>137</v>
      </c>
      <c r="F416" s="6" t="s">
        <v>68</v>
      </c>
      <c r="G416" s="6">
        <v>18</v>
      </c>
      <c r="H416" s="6">
        <v>43.65</v>
      </c>
      <c r="I416" s="6">
        <v>785.7</v>
      </c>
      <c r="J416" s="6">
        <v>54.52</v>
      </c>
      <c r="K416" s="6">
        <v>227.18</v>
      </c>
      <c r="L416" s="6" t="s">
        <v>33</v>
      </c>
      <c r="M416" s="6" t="s">
        <v>25</v>
      </c>
      <c r="N416" s="6" t="s">
        <v>98</v>
      </c>
      <c r="O416" s="12">
        <f t="shared" si="12"/>
        <v>0.28914343897161765</v>
      </c>
      <c r="P416" s="6" t="str">
        <f t="shared" si="13"/>
        <v>need improvement</v>
      </c>
    </row>
    <row r="417" spans="1:16" x14ac:dyDescent="0.3">
      <c r="A417" t="s">
        <v>879</v>
      </c>
      <c r="B417" s="6" t="s">
        <v>488</v>
      </c>
      <c r="C417" s="6" t="s">
        <v>559</v>
      </c>
      <c r="D417" s="6" t="s">
        <v>171</v>
      </c>
      <c r="E417" s="6" t="s">
        <v>22</v>
      </c>
      <c r="F417" s="6" t="s">
        <v>23</v>
      </c>
      <c r="G417" s="6">
        <v>49</v>
      </c>
      <c r="H417" s="6">
        <v>51.97</v>
      </c>
      <c r="I417" s="6">
        <v>2546.5300000000002</v>
      </c>
      <c r="J417" s="6">
        <v>112.26</v>
      </c>
      <c r="K417" s="6">
        <v>719.27</v>
      </c>
      <c r="L417" s="6" t="s">
        <v>33</v>
      </c>
      <c r="M417" s="6" t="s">
        <v>34</v>
      </c>
      <c r="N417" s="6" t="s">
        <v>35</v>
      </c>
      <c r="O417" s="12">
        <f t="shared" si="12"/>
        <v>0.28245102158623692</v>
      </c>
      <c r="P417" s="6" t="str">
        <f t="shared" si="13"/>
        <v>excellent</v>
      </c>
    </row>
    <row r="418" spans="1:16" x14ac:dyDescent="0.3">
      <c r="A418" t="s">
        <v>880</v>
      </c>
      <c r="B418" s="6" t="s">
        <v>754</v>
      </c>
      <c r="C418" s="6" t="s">
        <v>197</v>
      </c>
      <c r="D418" s="6" t="s">
        <v>116</v>
      </c>
      <c r="E418" s="6" t="s">
        <v>74</v>
      </c>
      <c r="F418" s="6" t="s">
        <v>75</v>
      </c>
      <c r="G418" s="6">
        <v>13</v>
      </c>
      <c r="H418" s="6">
        <v>36.85</v>
      </c>
      <c r="I418" s="6">
        <v>479.05</v>
      </c>
      <c r="J418" s="6">
        <v>10.15</v>
      </c>
      <c r="K418" s="6">
        <v>143.9</v>
      </c>
      <c r="L418" s="6" t="s">
        <v>24</v>
      </c>
      <c r="M418" s="6" t="s">
        <v>41</v>
      </c>
      <c r="N418" s="6" t="s">
        <v>76</v>
      </c>
      <c r="O418" s="12">
        <f t="shared" si="12"/>
        <v>0.30038618098319592</v>
      </c>
      <c r="P418" s="6" t="str">
        <f t="shared" si="13"/>
        <v>need improvement</v>
      </c>
    </row>
    <row r="419" spans="1:16" x14ac:dyDescent="0.3">
      <c r="A419" t="s">
        <v>881</v>
      </c>
      <c r="B419" s="6" t="s">
        <v>882</v>
      </c>
      <c r="C419" s="6" t="s">
        <v>122</v>
      </c>
      <c r="D419" s="6" t="s">
        <v>55</v>
      </c>
      <c r="E419" s="6" t="s">
        <v>46</v>
      </c>
      <c r="F419" s="6" t="s">
        <v>47</v>
      </c>
      <c r="G419" s="6">
        <v>33</v>
      </c>
      <c r="H419" s="6">
        <v>38.520000000000003</v>
      </c>
      <c r="I419" s="6">
        <v>1271.1600000000001</v>
      </c>
      <c r="J419" s="6">
        <v>81.459999999999994</v>
      </c>
      <c r="K419" s="6">
        <v>133.69999999999999</v>
      </c>
      <c r="L419" s="6" t="s">
        <v>24</v>
      </c>
      <c r="M419" s="6" t="s">
        <v>25</v>
      </c>
      <c r="N419" s="6" t="s">
        <v>98</v>
      </c>
      <c r="O419" s="12">
        <f t="shared" si="12"/>
        <v>0.10517952106737152</v>
      </c>
      <c r="P419" s="6" t="str">
        <f t="shared" si="13"/>
        <v>good</v>
      </c>
    </row>
    <row r="420" spans="1:16" x14ac:dyDescent="0.3">
      <c r="A420" t="s">
        <v>883</v>
      </c>
      <c r="B420" s="6" t="s">
        <v>169</v>
      </c>
      <c r="C420" s="6" t="s">
        <v>381</v>
      </c>
      <c r="D420" s="6" t="s">
        <v>51</v>
      </c>
      <c r="E420" s="6" t="s">
        <v>81</v>
      </c>
      <c r="F420" s="6" t="s">
        <v>68</v>
      </c>
      <c r="G420" s="6">
        <v>41</v>
      </c>
      <c r="H420" s="6">
        <v>26.98</v>
      </c>
      <c r="I420" s="6">
        <v>1106.18</v>
      </c>
      <c r="J420" s="6">
        <v>51.77</v>
      </c>
      <c r="K420" s="6">
        <v>418.91</v>
      </c>
      <c r="L420" s="6" t="s">
        <v>48</v>
      </c>
      <c r="M420" s="6" t="s">
        <v>34</v>
      </c>
      <c r="N420" s="6" t="s">
        <v>76</v>
      </c>
      <c r="O420" s="12">
        <f t="shared" si="12"/>
        <v>0.37869966913160608</v>
      </c>
      <c r="P420" s="6" t="str">
        <f t="shared" si="13"/>
        <v>need improvement</v>
      </c>
    </row>
    <row r="421" spans="1:16" x14ac:dyDescent="0.3">
      <c r="A421" t="s">
        <v>884</v>
      </c>
      <c r="B421" s="6" t="s">
        <v>633</v>
      </c>
      <c r="C421" s="6" t="s">
        <v>157</v>
      </c>
      <c r="D421" s="6" t="s">
        <v>171</v>
      </c>
      <c r="E421" s="6" t="s">
        <v>81</v>
      </c>
      <c r="F421" s="6" t="s">
        <v>68</v>
      </c>
      <c r="G421" s="6">
        <v>4</v>
      </c>
      <c r="H421" s="6">
        <v>23.56</v>
      </c>
      <c r="I421" s="6">
        <v>94.24</v>
      </c>
      <c r="J421" s="6">
        <v>7.03</v>
      </c>
      <c r="K421" s="6">
        <v>25.21</v>
      </c>
      <c r="L421" s="6" t="s">
        <v>48</v>
      </c>
      <c r="M421" s="6" t="s">
        <v>41</v>
      </c>
      <c r="N421" s="6" t="s">
        <v>35</v>
      </c>
      <c r="O421" s="12">
        <f t="shared" si="12"/>
        <v>0.26750848896434637</v>
      </c>
      <c r="P421" s="6" t="str">
        <f t="shared" si="13"/>
        <v>need improvement</v>
      </c>
    </row>
    <row r="422" spans="1:16" x14ac:dyDescent="0.3">
      <c r="A422" t="s">
        <v>885</v>
      </c>
      <c r="B422" s="6" t="s">
        <v>699</v>
      </c>
      <c r="C422" s="6" t="s">
        <v>471</v>
      </c>
      <c r="D422" s="6" t="s">
        <v>70</v>
      </c>
      <c r="E422" s="6" t="s">
        <v>46</v>
      </c>
      <c r="F422" s="6" t="s">
        <v>47</v>
      </c>
      <c r="G422" s="6">
        <v>17</v>
      </c>
      <c r="H422" s="6">
        <v>57.14</v>
      </c>
      <c r="I422" s="6">
        <v>971.38</v>
      </c>
      <c r="J422" s="6">
        <v>70.010000000000005</v>
      </c>
      <c r="K422" s="6">
        <v>357.37</v>
      </c>
      <c r="L422" s="6" t="s">
        <v>48</v>
      </c>
      <c r="M422" s="6" t="s">
        <v>34</v>
      </c>
      <c r="N422" s="6" t="s">
        <v>76</v>
      </c>
      <c r="O422" s="12">
        <f t="shared" si="12"/>
        <v>0.36789927731680705</v>
      </c>
      <c r="P422" s="6" t="str">
        <f t="shared" si="13"/>
        <v>need improvement</v>
      </c>
    </row>
    <row r="423" spans="1:16" x14ac:dyDescent="0.3">
      <c r="A423" t="s">
        <v>886</v>
      </c>
      <c r="B423" s="6" t="s">
        <v>887</v>
      </c>
      <c r="C423" s="6" t="s">
        <v>182</v>
      </c>
      <c r="D423" s="6" t="s">
        <v>206</v>
      </c>
      <c r="E423" s="6" t="s">
        <v>74</v>
      </c>
      <c r="F423" s="6" t="s">
        <v>75</v>
      </c>
      <c r="G423" s="6">
        <v>44</v>
      </c>
      <c r="H423" s="6">
        <v>38.14</v>
      </c>
      <c r="I423" s="6">
        <v>1678.16</v>
      </c>
      <c r="J423" s="6">
        <v>124.49</v>
      </c>
      <c r="K423" s="6">
        <v>453.67</v>
      </c>
      <c r="L423" s="6" t="s">
        <v>48</v>
      </c>
      <c r="M423" s="6" t="s">
        <v>25</v>
      </c>
      <c r="N423" s="6" t="s">
        <v>207</v>
      </c>
      <c r="O423" s="12">
        <f t="shared" si="12"/>
        <v>0.27033775087000045</v>
      </c>
      <c r="P423" s="6" t="str">
        <f t="shared" si="13"/>
        <v>need improvement</v>
      </c>
    </row>
    <row r="424" spans="1:16" x14ac:dyDescent="0.3">
      <c r="A424" t="s">
        <v>888</v>
      </c>
      <c r="B424" s="6" t="s">
        <v>726</v>
      </c>
      <c r="C424" s="6" t="s">
        <v>165</v>
      </c>
      <c r="D424" s="6" t="s">
        <v>141</v>
      </c>
      <c r="E424" s="6" t="s">
        <v>32</v>
      </c>
      <c r="F424" s="6" t="s">
        <v>23</v>
      </c>
      <c r="G424" s="6">
        <v>14</v>
      </c>
      <c r="H424" s="6">
        <v>24</v>
      </c>
      <c r="I424" s="6">
        <v>336</v>
      </c>
      <c r="J424" s="6">
        <v>22.88</v>
      </c>
      <c r="K424" s="6">
        <v>61.12</v>
      </c>
      <c r="L424" s="6" t="s">
        <v>33</v>
      </c>
      <c r="M424" s="6" t="s">
        <v>34</v>
      </c>
      <c r="N424" s="6" t="s">
        <v>142</v>
      </c>
      <c r="O424" s="12">
        <f t="shared" si="12"/>
        <v>0.1819047619047619</v>
      </c>
      <c r="P424" s="6" t="str">
        <f t="shared" si="13"/>
        <v>good</v>
      </c>
    </row>
    <row r="425" spans="1:16" x14ac:dyDescent="0.3">
      <c r="A425" t="s">
        <v>889</v>
      </c>
      <c r="B425" s="6" t="s">
        <v>890</v>
      </c>
      <c r="C425" s="6" t="s">
        <v>126</v>
      </c>
      <c r="D425" s="6" t="s">
        <v>51</v>
      </c>
      <c r="E425" s="6" t="s">
        <v>81</v>
      </c>
      <c r="F425" s="6" t="s">
        <v>68</v>
      </c>
      <c r="G425" s="6">
        <v>50</v>
      </c>
      <c r="H425" s="6">
        <v>26.91</v>
      </c>
      <c r="I425" s="6">
        <v>1345.5</v>
      </c>
      <c r="J425" s="6">
        <v>91.7</v>
      </c>
      <c r="K425" s="6">
        <v>478.8</v>
      </c>
      <c r="L425" s="6" t="s">
        <v>48</v>
      </c>
      <c r="M425" s="6" t="s">
        <v>25</v>
      </c>
      <c r="N425" s="6" t="s">
        <v>76</v>
      </c>
      <c r="O425" s="12">
        <f t="shared" si="12"/>
        <v>0.35585284280936458</v>
      </c>
      <c r="P425" s="6" t="str">
        <f t="shared" si="13"/>
        <v>need improvement</v>
      </c>
    </row>
    <row r="426" spans="1:16" x14ac:dyDescent="0.3">
      <c r="A426" t="s">
        <v>891</v>
      </c>
      <c r="B426" s="6" t="s">
        <v>892</v>
      </c>
      <c r="C426" s="6" t="s">
        <v>455</v>
      </c>
      <c r="D426" s="6" t="s">
        <v>37</v>
      </c>
      <c r="E426" s="6" t="s">
        <v>56</v>
      </c>
      <c r="F426" s="6" t="s">
        <v>57</v>
      </c>
      <c r="G426" s="6">
        <v>7</v>
      </c>
      <c r="H426" s="6">
        <v>59.41</v>
      </c>
      <c r="I426" s="6">
        <v>415.87</v>
      </c>
      <c r="J426" s="6">
        <v>25.51</v>
      </c>
      <c r="K426" s="6">
        <v>110.36</v>
      </c>
      <c r="L426" s="6" t="s">
        <v>24</v>
      </c>
      <c r="M426" s="6" t="s">
        <v>41</v>
      </c>
      <c r="N426" s="6" t="s">
        <v>35</v>
      </c>
      <c r="O426" s="12">
        <f t="shared" si="12"/>
        <v>0.26537139009786714</v>
      </c>
      <c r="P426" s="6" t="str">
        <f t="shared" si="13"/>
        <v>need improvement</v>
      </c>
    </row>
    <row r="427" spans="1:16" x14ac:dyDescent="0.3">
      <c r="A427" t="s">
        <v>893</v>
      </c>
      <c r="B427" s="6" t="s">
        <v>416</v>
      </c>
      <c r="C427" s="6" t="s">
        <v>396</v>
      </c>
      <c r="D427" s="6" t="s">
        <v>127</v>
      </c>
      <c r="E427" s="6" t="s">
        <v>74</v>
      </c>
      <c r="F427" s="6" t="s">
        <v>75</v>
      </c>
      <c r="G427" s="6">
        <v>48</v>
      </c>
      <c r="H427" s="6">
        <v>37.31</v>
      </c>
      <c r="I427" s="6">
        <v>1790.88</v>
      </c>
      <c r="J427" s="6">
        <v>67.45</v>
      </c>
      <c r="K427" s="6">
        <v>523.42999999999995</v>
      </c>
      <c r="L427" s="6" t="s">
        <v>24</v>
      </c>
      <c r="M427" s="6" t="s">
        <v>34</v>
      </c>
      <c r="N427" s="6" t="s">
        <v>76</v>
      </c>
      <c r="O427" s="12">
        <f t="shared" si="12"/>
        <v>0.29227530599481816</v>
      </c>
      <c r="P427" s="6" t="str">
        <f t="shared" si="13"/>
        <v>need improvement</v>
      </c>
    </row>
    <row r="428" spans="1:16" x14ac:dyDescent="0.3">
      <c r="A428" t="s">
        <v>894</v>
      </c>
      <c r="B428" s="6" t="s">
        <v>133</v>
      </c>
      <c r="C428" s="6" t="s">
        <v>285</v>
      </c>
      <c r="D428" s="6" t="s">
        <v>123</v>
      </c>
      <c r="E428" s="6" t="s">
        <v>56</v>
      </c>
      <c r="F428" s="6" t="s">
        <v>57</v>
      </c>
      <c r="G428" s="6">
        <v>38</v>
      </c>
      <c r="H428" s="6">
        <v>52.91</v>
      </c>
      <c r="I428" s="6">
        <v>2010.58</v>
      </c>
      <c r="J428" s="6">
        <v>94.22</v>
      </c>
      <c r="K428" s="6">
        <v>396.36</v>
      </c>
      <c r="L428" s="6" t="s">
        <v>24</v>
      </c>
      <c r="M428" s="6" t="s">
        <v>25</v>
      </c>
      <c r="N428" s="6" t="s">
        <v>76</v>
      </c>
      <c r="O428" s="12">
        <f t="shared" si="12"/>
        <v>0.19713714450556558</v>
      </c>
      <c r="P428" s="6" t="str">
        <f t="shared" si="13"/>
        <v>good</v>
      </c>
    </row>
    <row r="429" spans="1:16" x14ac:dyDescent="0.3">
      <c r="A429" t="s">
        <v>895</v>
      </c>
      <c r="B429" s="6" t="s">
        <v>896</v>
      </c>
      <c r="C429" s="6" t="s">
        <v>113</v>
      </c>
      <c r="D429" s="6" t="s">
        <v>31</v>
      </c>
      <c r="E429" s="6" t="s">
        <v>32</v>
      </c>
      <c r="F429" s="6" t="s">
        <v>23</v>
      </c>
      <c r="G429" s="6">
        <v>14</v>
      </c>
      <c r="H429" s="6">
        <v>27.09</v>
      </c>
      <c r="I429" s="6">
        <v>379.26</v>
      </c>
      <c r="J429" s="6">
        <v>14.42</v>
      </c>
      <c r="K429" s="6">
        <v>112.84</v>
      </c>
      <c r="L429" s="6" t="s">
        <v>48</v>
      </c>
      <c r="M429" s="6" t="s">
        <v>41</v>
      </c>
      <c r="N429" s="6" t="s">
        <v>35</v>
      </c>
      <c r="O429" s="12">
        <f t="shared" si="12"/>
        <v>0.29752676264304173</v>
      </c>
      <c r="P429" s="6" t="str">
        <f t="shared" si="13"/>
        <v>need improvement</v>
      </c>
    </row>
    <row r="430" spans="1:16" x14ac:dyDescent="0.3">
      <c r="A430" t="s">
        <v>897</v>
      </c>
      <c r="B430" s="6" t="s">
        <v>118</v>
      </c>
      <c r="C430" s="6" t="s">
        <v>182</v>
      </c>
      <c r="D430" s="6" t="s">
        <v>127</v>
      </c>
      <c r="E430" s="6" t="s">
        <v>67</v>
      </c>
      <c r="F430" s="6" t="s">
        <v>68</v>
      </c>
      <c r="G430" s="6">
        <v>41</v>
      </c>
      <c r="H430" s="6">
        <v>30.52</v>
      </c>
      <c r="I430" s="6">
        <v>1251.32</v>
      </c>
      <c r="J430" s="6">
        <v>56.88</v>
      </c>
      <c r="K430" s="6">
        <v>271.94</v>
      </c>
      <c r="L430" s="6" t="s">
        <v>24</v>
      </c>
      <c r="M430" s="6" t="s">
        <v>41</v>
      </c>
      <c r="N430" s="6" t="s">
        <v>76</v>
      </c>
      <c r="O430" s="12">
        <f t="shared" si="12"/>
        <v>0.21732250743215165</v>
      </c>
      <c r="P430" s="6" t="str">
        <f t="shared" si="13"/>
        <v>need improvement</v>
      </c>
    </row>
    <row r="431" spans="1:16" x14ac:dyDescent="0.3">
      <c r="A431" t="s">
        <v>898</v>
      </c>
      <c r="B431" s="6" t="s">
        <v>899</v>
      </c>
      <c r="C431" s="6" t="s">
        <v>369</v>
      </c>
      <c r="D431" s="6" t="s">
        <v>55</v>
      </c>
      <c r="E431" s="6" t="s">
        <v>137</v>
      </c>
      <c r="F431" s="6" t="s">
        <v>68</v>
      </c>
      <c r="G431" s="6">
        <v>23</v>
      </c>
      <c r="H431" s="6">
        <v>40.94</v>
      </c>
      <c r="I431" s="6">
        <v>941.62</v>
      </c>
      <c r="J431" s="6">
        <v>71.66</v>
      </c>
      <c r="K431" s="6">
        <v>225.96</v>
      </c>
      <c r="L431" s="6" t="s">
        <v>33</v>
      </c>
      <c r="M431" s="6" t="s">
        <v>41</v>
      </c>
      <c r="N431" s="6" t="s">
        <v>98</v>
      </c>
      <c r="O431" s="12">
        <f t="shared" si="12"/>
        <v>0.23996941441345768</v>
      </c>
      <c r="P431" s="6" t="str">
        <f t="shared" si="13"/>
        <v>need improvement</v>
      </c>
    </row>
    <row r="432" spans="1:16" x14ac:dyDescent="0.3">
      <c r="A432" t="s">
        <v>900</v>
      </c>
      <c r="B432" s="6" t="s">
        <v>612</v>
      </c>
      <c r="C432" s="6" t="s">
        <v>471</v>
      </c>
      <c r="D432" s="6" t="s">
        <v>241</v>
      </c>
      <c r="E432" s="6" t="s">
        <v>137</v>
      </c>
      <c r="F432" s="6" t="s">
        <v>68</v>
      </c>
      <c r="G432" s="6">
        <v>34</v>
      </c>
      <c r="H432" s="6">
        <v>41.77</v>
      </c>
      <c r="I432" s="6">
        <v>1420.18</v>
      </c>
      <c r="J432" s="6">
        <v>112.45</v>
      </c>
      <c r="K432" s="6">
        <v>355.73</v>
      </c>
      <c r="L432" s="6" t="s">
        <v>33</v>
      </c>
      <c r="M432" s="6" t="s">
        <v>41</v>
      </c>
      <c r="N432" s="6" t="s">
        <v>35</v>
      </c>
      <c r="O432" s="12">
        <f t="shared" si="12"/>
        <v>0.25048233322536578</v>
      </c>
      <c r="P432" s="6" t="str">
        <f t="shared" si="13"/>
        <v>need improvement</v>
      </c>
    </row>
    <row r="433" spans="1:16" x14ac:dyDescent="0.3">
      <c r="A433" t="s">
        <v>901</v>
      </c>
      <c r="B433" s="6" t="s">
        <v>902</v>
      </c>
      <c r="C433" s="6" t="s">
        <v>165</v>
      </c>
      <c r="D433" s="6" t="s">
        <v>70</v>
      </c>
      <c r="E433" s="6" t="s">
        <v>56</v>
      </c>
      <c r="F433" s="6" t="s">
        <v>57</v>
      </c>
      <c r="G433" s="6">
        <v>32</v>
      </c>
      <c r="H433" s="6">
        <v>69.98</v>
      </c>
      <c r="I433" s="6">
        <v>2239.36</v>
      </c>
      <c r="J433" s="6">
        <v>133.51</v>
      </c>
      <c r="K433" s="6">
        <v>825.85</v>
      </c>
      <c r="L433" s="6" t="s">
        <v>48</v>
      </c>
      <c r="M433" s="6" t="s">
        <v>25</v>
      </c>
      <c r="N433" s="6" t="s">
        <v>76</v>
      </c>
      <c r="O433" s="12">
        <f t="shared" si="12"/>
        <v>0.3687884038296656</v>
      </c>
      <c r="P433" s="6" t="str">
        <f t="shared" si="13"/>
        <v>excellent</v>
      </c>
    </row>
    <row r="434" spans="1:16" x14ac:dyDescent="0.3">
      <c r="A434" t="s">
        <v>903</v>
      </c>
      <c r="B434" s="6" t="s">
        <v>810</v>
      </c>
      <c r="C434" s="6" t="s">
        <v>266</v>
      </c>
      <c r="D434" s="6" t="s">
        <v>31</v>
      </c>
      <c r="E434" s="6" t="s">
        <v>22</v>
      </c>
      <c r="F434" s="6" t="s">
        <v>23</v>
      </c>
      <c r="G434" s="6">
        <v>25</v>
      </c>
      <c r="H434" s="6">
        <v>42.91</v>
      </c>
      <c r="I434" s="6">
        <v>1072.75</v>
      </c>
      <c r="J434" s="6">
        <v>80.02</v>
      </c>
      <c r="K434" s="6">
        <v>117.73</v>
      </c>
      <c r="L434" s="6" t="s">
        <v>33</v>
      </c>
      <c r="M434" s="6" t="s">
        <v>34</v>
      </c>
      <c r="N434" s="6" t="s">
        <v>35</v>
      </c>
      <c r="O434" s="12">
        <f t="shared" si="12"/>
        <v>0.10974597995805174</v>
      </c>
      <c r="P434" s="6" t="str">
        <f t="shared" si="13"/>
        <v>good</v>
      </c>
    </row>
    <row r="435" spans="1:16" x14ac:dyDescent="0.3">
      <c r="A435" t="s">
        <v>904</v>
      </c>
      <c r="B435" s="6" t="s">
        <v>527</v>
      </c>
      <c r="C435" s="6" t="s">
        <v>643</v>
      </c>
      <c r="D435" s="6" t="s">
        <v>55</v>
      </c>
      <c r="E435" s="6" t="s">
        <v>86</v>
      </c>
      <c r="F435" s="6" t="s">
        <v>47</v>
      </c>
      <c r="G435" s="6">
        <v>7</v>
      </c>
      <c r="H435" s="6">
        <v>22.6</v>
      </c>
      <c r="I435" s="6">
        <v>158.19999999999999</v>
      </c>
      <c r="J435" s="6">
        <v>7.04</v>
      </c>
      <c r="K435" s="6">
        <v>61.91</v>
      </c>
      <c r="L435" s="6" t="s">
        <v>48</v>
      </c>
      <c r="M435" s="6" t="s">
        <v>25</v>
      </c>
      <c r="N435" s="6" t="s">
        <v>98</v>
      </c>
      <c r="O435" s="12">
        <f t="shared" si="12"/>
        <v>0.39134007585335018</v>
      </c>
      <c r="P435" s="6" t="str">
        <f t="shared" si="13"/>
        <v>need improvement</v>
      </c>
    </row>
    <row r="436" spans="1:16" x14ac:dyDescent="0.3">
      <c r="A436" t="s">
        <v>905</v>
      </c>
      <c r="B436" s="6" t="s">
        <v>906</v>
      </c>
      <c r="C436" s="6" t="s">
        <v>145</v>
      </c>
      <c r="D436" s="6" t="s">
        <v>21</v>
      </c>
      <c r="E436" s="6" t="s">
        <v>86</v>
      </c>
      <c r="F436" s="6" t="s">
        <v>47</v>
      </c>
      <c r="G436" s="6">
        <v>48</v>
      </c>
      <c r="H436" s="6">
        <v>19.5</v>
      </c>
      <c r="I436" s="6">
        <v>936</v>
      </c>
      <c r="J436" s="6">
        <v>70.069999999999993</v>
      </c>
      <c r="K436" s="6">
        <v>253.93</v>
      </c>
      <c r="L436" s="6" t="s">
        <v>24</v>
      </c>
      <c r="M436" s="6" t="s">
        <v>34</v>
      </c>
      <c r="N436" s="6" t="s">
        <v>98</v>
      </c>
      <c r="O436" s="12">
        <f t="shared" si="12"/>
        <v>0.27129273504273504</v>
      </c>
      <c r="P436" s="6" t="str">
        <f t="shared" si="13"/>
        <v>need improvement</v>
      </c>
    </row>
    <row r="437" spans="1:16" x14ac:dyDescent="0.3">
      <c r="A437" t="s">
        <v>907</v>
      </c>
      <c r="B437" s="6" t="s">
        <v>351</v>
      </c>
      <c r="C437" s="6" t="s">
        <v>40</v>
      </c>
      <c r="D437" s="6" t="s">
        <v>206</v>
      </c>
      <c r="E437" s="6" t="s">
        <v>56</v>
      </c>
      <c r="F437" s="6" t="s">
        <v>57</v>
      </c>
      <c r="G437" s="6">
        <v>32</v>
      </c>
      <c r="H437" s="6">
        <v>49.97</v>
      </c>
      <c r="I437" s="6">
        <v>1599.04</v>
      </c>
      <c r="J437" s="6">
        <v>43.1</v>
      </c>
      <c r="K437" s="6">
        <v>275.94</v>
      </c>
      <c r="L437" s="6" t="s">
        <v>33</v>
      </c>
      <c r="M437" s="6" t="s">
        <v>41</v>
      </c>
      <c r="N437" s="6" t="s">
        <v>207</v>
      </c>
      <c r="O437" s="12">
        <f t="shared" si="12"/>
        <v>0.17256603962377426</v>
      </c>
      <c r="P437" s="6" t="str">
        <f t="shared" si="13"/>
        <v>good</v>
      </c>
    </row>
    <row r="438" spans="1:16" x14ac:dyDescent="0.3">
      <c r="A438" t="s">
        <v>908</v>
      </c>
      <c r="B438" s="6" t="s">
        <v>386</v>
      </c>
      <c r="C438" s="6" t="s">
        <v>20</v>
      </c>
      <c r="D438" s="6" t="s">
        <v>171</v>
      </c>
      <c r="E438" s="6" t="s">
        <v>81</v>
      </c>
      <c r="F438" s="6" t="s">
        <v>68</v>
      </c>
      <c r="G438" s="6">
        <v>41</v>
      </c>
      <c r="H438" s="6">
        <v>25.62</v>
      </c>
      <c r="I438" s="6">
        <v>1050.42</v>
      </c>
      <c r="J438" s="6">
        <v>79.2</v>
      </c>
      <c r="K438" s="6">
        <v>335.72</v>
      </c>
      <c r="L438" s="6" t="s">
        <v>24</v>
      </c>
      <c r="M438" s="6" t="s">
        <v>34</v>
      </c>
      <c r="N438" s="6" t="s">
        <v>35</v>
      </c>
      <c r="O438" s="12">
        <f t="shared" si="12"/>
        <v>0.31960549113687858</v>
      </c>
      <c r="P438" s="6" t="str">
        <f t="shared" si="13"/>
        <v>need improvement</v>
      </c>
    </row>
    <row r="439" spans="1:16" x14ac:dyDescent="0.3">
      <c r="A439" t="s">
        <v>909</v>
      </c>
      <c r="B439" s="6" t="s">
        <v>843</v>
      </c>
      <c r="C439" s="6" t="s">
        <v>465</v>
      </c>
      <c r="D439" s="6" t="s">
        <v>21</v>
      </c>
      <c r="E439" s="6" t="s">
        <v>86</v>
      </c>
      <c r="F439" s="6" t="s">
        <v>47</v>
      </c>
      <c r="G439" s="6">
        <v>46</v>
      </c>
      <c r="H439" s="6">
        <v>16.78</v>
      </c>
      <c r="I439" s="6">
        <v>771.88</v>
      </c>
      <c r="J439" s="6">
        <v>18.04</v>
      </c>
      <c r="K439" s="6">
        <v>167.34</v>
      </c>
      <c r="L439" s="6" t="s">
        <v>48</v>
      </c>
      <c r="M439" s="6" t="s">
        <v>41</v>
      </c>
      <c r="N439" s="6" t="s">
        <v>98</v>
      </c>
      <c r="O439" s="12">
        <f t="shared" si="12"/>
        <v>0.21679535679121106</v>
      </c>
      <c r="P439" s="6" t="str">
        <f t="shared" si="13"/>
        <v>need improvement</v>
      </c>
    </row>
    <row r="440" spans="1:16" x14ac:dyDescent="0.3">
      <c r="A440" t="s">
        <v>910</v>
      </c>
      <c r="B440" s="6" t="s">
        <v>911</v>
      </c>
      <c r="C440" s="6" t="s">
        <v>505</v>
      </c>
      <c r="D440" s="6" t="s">
        <v>37</v>
      </c>
      <c r="E440" s="6" t="s">
        <v>46</v>
      </c>
      <c r="F440" s="6" t="s">
        <v>47</v>
      </c>
      <c r="G440" s="6">
        <v>16</v>
      </c>
      <c r="H440" s="6">
        <v>42.18</v>
      </c>
      <c r="I440" s="6">
        <v>674.88</v>
      </c>
      <c r="J440" s="6">
        <v>19.100000000000001</v>
      </c>
      <c r="K440" s="6">
        <v>143.78</v>
      </c>
      <c r="L440" s="6" t="s">
        <v>24</v>
      </c>
      <c r="M440" s="6" t="s">
        <v>41</v>
      </c>
      <c r="N440" s="6" t="s">
        <v>35</v>
      </c>
      <c r="O440" s="12">
        <f t="shared" si="12"/>
        <v>0.21304528212422949</v>
      </c>
      <c r="P440" s="6" t="str">
        <f t="shared" si="13"/>
        <v>need improvement</v>
      </c>
    </row>
    <row r="441" spans="1:16" x14ac:dyDescent="0.3">
      <c r="A441" t="s">
        <v>912</v>
      </c>
      <c r="B441" s="6" t="s">
        <v>276</v>
      </c>
      <c r="C441" s="6" t="s">
        <v>113</v>
      </c>
      <c r="D441" s="6" t="s">
        <v>171</v>
      </c>
      <c r="E441" s="6" t="s">
        <v>74</v>
      </c>
      <c r="F441" s="6" t="s">
        <v>75</v>
      </c>
      <c r="G441" s="6">
        <v>12</v>
      </c>
      <c r="H441" s="6">
        <v>34.97</v>
      </c>
      <c r="I441" s="6">
        <v>419.64</v>
      </c>
      <c r="J441" s="6">
        <v>28.48</v>
      </c>
      <c r="K441" s="6">
        <v>91.16</v>
      </c>
      <c r="L441" s="6" t="s">
        <v>24</v>
      </c>
      <c r="M441" s="6" t="s">
        <v>25</v>
      </c>
      <c r="N441" s="6" t="s">
        <v>35</v>
      </c>
      <c r="O441" s="12">
        <f t="shared" si="12"/>
        <v>0.21723381946430273</v>
      </c>
      <c r="P441" s="6" t="str">
        <f t="shared" si="13"/>
        <v>need improvement</v>
      </c>
    </row>
    <row r="442" spans="1:16" x14ac:dyDescent="0.3">
      <c r="A442" t="s">
        <v>913</v>
      </c>
      <c r="B442" s="6" t="s">
        <v>218</v>
      </c>
      <c r="C442" s="6" t="s">
        <v>219</v>
      </c>
      <c r="D442" s="6" t="s">
        <v>45</v>
      </c>
      <c r="E442" s="6" t="s">
        <v>63</v>
      </c>
      <c r="F442" s="6" t="s">
        <v>47</v>
      </c>
      <c r="G442" s="6">
        <v>31</v>
      </c>
      <c r="H442" s="6">
        <v>33.619999999999997</v>
      </c>
      <c r="I442" s="6">
        <v>1042.22</v>
      </c>
      <c r="J442" s="6">
        <v>26.33</v>
      </c>
      <c r="K442" s="6">
        <v>395.89</v>
      </c>
      <c r="L442" s="6" t="s">
        <v>48</v>
      </c>
      <c r="M442" s="6" t="s">
        <v>41</v>
      </c>
      <c r="N442" s="6" t="s">
        <v>49</v>
      </c>
      <c r="O442" s="12">
        <f t="shared" si="12"/>
        <v>0.37985262228704109</v>
      </c>
      <c r="P442" s="6" t="str">
        <f t="shared" si="13"/>
        <v>need improvement</v>
      </c>
    </row>
    <row r="443" spans="1:16" x14ac:dyDescent="0.3">
      <c r="A443" t="s">
        <v>914</v>
      </c>
      <c r="B443" s="6" t="s">
        <v>306</v>
      </c>
      <c r="C443" s="6" t="s">
        <v>666</v>
      </c>
      <c r="D443" s="6" t="s">
        <v>123</v>
      </c>
      <c r="E443" s="6" t="s">
        <v>67</v>
      </c>
      <c r="F443" s="6" t="s">
        <v>68</v>
      </c>
      <c r="G443" s="6">
        <v>40</v>
      </c>
      <c r="H443" s="6">
        <v>30.56</v>
      </c>
      <c r="I443" s="6">
        <v>1222.4000000000001</v>
      </c>
      <c r="J443" s="6">
        <v>26.42</v>
      </c>
      <c r="K443" s="6">
        <v>295.98</v>
      </c>
      <c r="L443" s="6" t="s">
        <v>24</v>
      </c>
      <c r="M443" s="6" t="s">
        <v>25</v>
      </c>
      <c r="N443" s="6" t="s">
        <v>76</v>
      </c>
      <c r="O443" s="12">
        <f t="shared" si="12"/>
        <v>0.24213023560209423</v>
      </c>
      <c r="P443" s="6" t="str">
        <f t="shared" si="13"/>
        <v>need improvement</v>
      </c>
    </row>
    <row r="444" spans="1:16" x14ac:dyDescent="0.3">
      <c r="A444" t="s">
        <v>915</v>
      </c>
      <c r="B444" s="6" t="s">
        <v>916</v>
      </c>
      <c r="C444" s="6" t="s">
        <v>227</v>
      </c>
      <c r="D444" s="6" t="s">
        <v>241</v>
      </c>
      <c r="E444" s="6" t="s">
        <v>22</v>
      </c>
      <c r="F444" s="6" t="s">
        <v>23</v>
      </c>
      <c r="G444" s="6">
        <v>15</v>
      </c>
      <c r="H444" s="6">
        <v>61.93</v>
      </c>
      <c r="I444" s="6">
        <v>928.95</v>
      </c>
      <c r="J444" s="6">
        <v>25.68</v>
      </c>
      <c r="K444" s="6">
        <v>378.27</v>
      </c>
      <c r="L444" s="6" t="s">
        <v>33</v>
      </c>
      <c r="M444" s="6" t="s">
        <v>41</v>
      </c>
      <c r="N444" s="6" t="s">
        <v>35</v>
      </c>
      <c r="O444" s="12">
        <f t="shared" si="12"/>
        <v>0.407201679315356</v>
      </c>
      <c r="P444" s="6" t="str">
        <f t="shared" si="13"/>
        <v>need improvement</v>
      </c>
    </row>
    <row r="445" spans="1:16" x14ac:dyDescent="0.3">
      <c r="A445" t="s">
        <v>917</v>
      </c>
      <c r="B445" s="6" t="s">
        <v>918</v>
      </c>
      <c r="C445" s="6" t="s">
        <v>194</v>
      </c>
      <c r="D445" s="6" t="s">
        <v>51</v>
      </c>
      <c r="E445" s="6" t="s">
        <v>63</v>
      </c>
      <c r="F445" s="6" t="s">
        <v>47</v>
      </c>
      <c r="G445" s="6">
        <v>20</v>
      </c>
      <c r="H445" s="6">
        <v>35.770000000000003</v>
      </c>
      <c r="I445" s="6">
        <v>715.4</v>
      </c>
      <c r="J445" s="6">
        <v>39.229999999999997</v>
      </c>
      <c r="K445" s="6">
        <v>276.17</v>
      </c>
      <c r="L445" s="6" t="s">
        <v>24</v>
      </c>
      <c r="M445" s="6" t="s">
        <v>25</v>
      </c>
      <c r="N445" s="6" t="s">
        <v>76</v>
      </c>
      <c r="O445" s="12">
        <f t="shared" si="12"/>
        <v>0.38603578417668438</v>
      </c>
      <c r="P445" s="6" t="str">
        <f t="shared" si="13"/>
        <v>need improvement</v>
      </c>
    </row>
    <row r="446" spans="1:16" x14ac:dyDescent="0.3">
      <c r="A446" t="s">
        <v>919</v>
      </c>
      <c r="B446" s="6" t="s">
        <v>860</v>
      </c>
      <c r="C446" s="6" t="s">
        <v>391</v>
      </c>
      <c r="D446" s="6" t="s">
        <v>31</v>
      </c>
      <c r="E446" s="6" t="s">
        <v>86</v>
      </c>
      <c r="F446" s="6" t="s">
        <v>47</v>
      </c>
      <c r="G446" s="6">
        <v>21</v>
      </c>
      <c r="H446" s="6">
        <v>22.48</v>
      </c>
      <c r="I446" s="6">
        <v>472.08</v>
      </c>
      <c r="J446" s="6">
        <v>12.96</v>
      </c>
      <c r="K446" s="6">
        <v>191.37</v>
      </c>
      <c r="L446" s="6" t="s">
        <v>33</v>
      </c>
      <c r="M446" s="6" t="s">
        <v>25</v>
      </c>
      <c r="N446" s="6" t="s">
        <v>35</v>
      </c>
      <c r="O446" s="12">
        <f t="shared" si="12"/>
        <v>0.40537620742247077</v>
      </c>
      <c r="P446" s="6" t="str">
        <f t="shared" si="13"/>
        <v>need improvement</v>
      </c>
    </row>
    <row r="447" spans="1:16" x14ac:dyDescent="0.3">
      <c r="A447" t="s">
        <v>920</v>
      </c>
      <c r="B447" s="6" t="s">
        <v>921</v>
      </c>
      <c r="C447" s="6" t="s">
        <v>437</v>
      </c>
      <c r="D447" s="6" t="s">
        <v>51</v>
      </c>
      <c r="E447" s="6" t="s">
        <v>32</v>
      </c>
      <c r="F447" s="6" t="s">
        <v>23</v>
      </c>
      <c r="G447" s="6">
        <v>8</v>
      </c>
      <c r="H447" s="6">
        <v>27.53</v>
      </c>
      <c r="I447" s="6">
        <v>220.24</v>
      </c>
      <c r="J447" s="6">
        <v>12.66</v>
      </c>
      <c r="K447" s="6">
        <v>63.58</v>
      </c>
      <c r="L447" s="6" t="s">
        <v>33</v>
      </c>
      <c r="M447" s="6" t="s">
        <v>34</v>
      </c>
      <c r="N447" s="6" t="s">
        <v>76</v>
      </c>
      <c r="O447" s="12">
        <f t="shared" si="12"/>
        <v>0.28868507083181982</v>
      </c>
      <c r="P447" s="6" t="str">
        <f t="shared" si="13"/>
        <v>need improvement</v>
      </c>
    </row>
    <row r="448" spans="1:16" x14ac:dyDescent="0.3">
      <c r="A448" t="s">
        <v>922</v>
      </c>
      <c r="B448" s="6" t="s">
        <v>300</v>
      </c>
      <c r="C448" s="6" t="s">
        <v>360</v>
      </c>
      <c r="D448" s="6" t="s">
        <v>70</v>
      </c>
      <c r="E448" s="6" t="s">
        <v>67</v>
      </c>
      <c r="F448" s="6" t="s">
        <v>68</v>
      </c>
      <c r="G448" s="6">
        <v>35</v>
      </c>
      <c r="H448" s="6">
        <v>39.65</v>
      </c>
      <c r="I448" s="6">
        <v>1387.75</v>
      </c>
      <c r="J448" s="6">
        <v>60.95</v>
      </c>
      <c r="K448" s="6">
        <v>539.29999999999995</v>
      </c>
      <c r="L448" s="6" t="s">
        <v>48</v>
      </c>
      <c r="M448" s="6" t="s">
        <v>34</v>
      </c>
      <c r="N448" s="6" t="s">
        <v>76</v>
      </c>
      <c r="O448" s="12">
        <f t="shared" si="12"/>
        <v>0.38861466402450007</v>
      </c>
      <c r="P448" s="6" t="str">
        <f t="shared" si="13"/>
        <v>need improvement</v>
      </c>
    </row>
    <row r="449" spans="1:16" x14ac:dyDescent="0.3">
      <c r="A449" t="s">
        <v>923</v>
      </c>
      <c r="B449" s="6" t="s">
        <v>924</v>
      </c>
      <c r="C449" s="6" t="s">
        <v>288</v>
      </c>
      <c r="D449" s="6" t="s">
        <v>141</v>
      </c>
      <c r="E449" s="6" t="s">
        <v>81</v>
      </c>
      <c r="F449" s="6" t="s">
        <v>68</v>
      </c>
      <c r="G449" s="6">
        <v>50</v>
      </c>
      <c r="H449" s="6">
        <v>23.68</v>
      </c>
      <c r="I449" s="6">
        <v>1184</v>
      </c>
      <c r="J449" s="6">
        <v>46.62</v>
      </c>
      <c r="K449" s="6">
        <v>362.38</v>
      </c>
      <c r="L449" s="6" t="s">
        <v>33</v>
      </c>
      <c r="M449" s="6" t="s">
        <v>34</v>
      </c>
      <c r="N449" s="6" t="s">
        <v>142</v>
      </c>
      <c r="O449" s="12">
        <f t="shared" si="12"/>
        <v>0.30606418918918921</v>
      </c>
      <c r="P449" s="6" t="str">
        <f t="shared" si="13"/>
        <v>need improvement</v>
      </c>
    </row>
    <row r="450" spans="1:16" x14ac:dyDescent="0.3">
      <c r="A450" t="s">
        <v>925</v>
      </c>
      <c r="B450" s="6" t="s">
        <v>703</v>
      </c>
      <c r="C450" s="6" t="s">
        <v>290</v>
      </c>
      <c r="D450" s="6" t="s">
        <v>123</v>
      </c>
      <c r="E450" s="6" t="s">
        <v>86</v>
      </c>
      <c r="F450" s="6" t="s">
        <v>47</v>
      </c>
      <c r="G450" s="6">
        <v>5</v>
      </c>
      <c r="H450" s="6">
        <v>19.809999999999999</v>
      </c>
      <c r="I450" s="6">
        <v>99.05</v>
      </c>
      <c r="J450" s="6">
        <v>5.91</v>
      </c>
      <c r="K450" s="6">
        <v>29.39</v>
      </c>
      <c r="L450" s="6" t="s">
        <v>33</v>
      </c>
      <c r="M450" s="6" t="s">
        <v>41</v>
      </c>
      <c r="N450" s="6" t="s">
        <v>76</v>
      </c>
      <c r="O450" s="12">
        <f t="shared" si="12"/>
        <v>0.2967188288743059</v>
      </c>
      <c r="P450" s="6" t="str">
        <f t="shared" si="13"/>
        <v>need improvement</v>
      </c>
    </row>
    <row r="451" spans="1:16" x14ac:dyDescent="0.3">
      <c r="A451" t="s">
        <v>926</v>
      </c>
      <c r="B451" s="6" t="s">
        <v>243</v>
      </c>
      <c r="C451" s="6" t="s">
        <v>126</v>
      </c>
      <c r="D451" s="6" t="s">
        <v>45</v>
      </c>
      <c r="E451" s="6" t="s">
        <v>86</v>
      </c>
      <c r="F451" s="6" t="s">
        <v>47</v>
      </c>
      <c r="G451" s="6">
        <v>27</v>
      </c>
      <c r="H451" s="6">
        <v>18.03</v>
      </c>
      <c r="I451" s="6">
        <v>486.81</v>
      </c>
      <c r="J451" s="6">
        <v>36.630000000000003</v>
      </c>
      <c r="K451" s="6">
        <v>105.93</v>
      </c>
      <c r="L451" s="6" t="s">
        <v>24</v>
      </c>
      <c r="M451" s="6" t="s">
        <v>41</v>
      </c>
      <c r="N451" s="6" t="s">
        <v>49</v>
      </c>
      <c r="O451" s="12">
        <f t="shared" si="12"/>
        <v>0.21760029580329082</v>
      </c>
      <c r="P451" s="6" t="str">
        <f t="shared" si="13"/>
        <v>need improvement</v>
      </c>
    </row>
    <row r="452" spans="1:16" x14ac:dyDescent="0.3">
      <c r="A452" t="s">
        <v>927</v>
      </c>
      <c r="B452" s="6" t="s">
        <v>928</v>
      </c>
      <c r="C452" s="6" t="s">
        <v>417</v>
      </c>
      <c r="D452" s="6" t="s">
        <v>141</v>
      </c>
      <c r="E452" s="6" t="s">
        <v>32</v>
      </c>
      <c r="F452" s="6" t="s">
        <v>23</v>
      </c>
      <c r="G452" s="6">
        <v>45</v>
      </c>
      <c r="H452" s="6">
        <v>26.93</v>
      </c>
      <c r="I452" s="6">
        <v>1211.8499999999999</v>
      </c>
      <c r="J452" s="6">
        <v>62.85</v>
      </c>
      <c r="K452" s="6">
        <v>339</v>
      </c>
      <c r="L452" s="6" t="s">
        <v>33</v>
      </c>
      <c r="M452" s="6" t="s">
        <v>34</v>
      </c>
      <c r="N452" s="6" t="s">
        <v>142</v>
      </c>
      <c r="O452" s="12">
        <f t="shared" si="12"/>
        <v>0.2797375912860503</v>
      </c>
      <c r="P452" s="6" t="str">
        <f t="shared" si="13"/>
        <v>need improvement</v>
      </c>
    </row>
    <row r="453" spans="1:16" x14ac:dyDescent="0.3">
      <c r="A453" t="s">
        <v>929</v>
      </c>
      <c r="B453" s="6" t="s">
        <v>930</v>
      </c>
      <c r="C453" s="6" t="s">
        <v>505</v>
      </c>
      <c r="D453" s="6" t="s">
        <v>37</v>
      </c>
      <c r="E453" s="6" t="s">
        <v>63</v>
      </c>
      <c r="F453" s="6" t="s">
        <v>47</v>
      </c>
      <c r="G453" s="6">
        <v>40</v>
      </c>
      <c r="H453" s="6">
        <v>32.54</v>
      </c>
      <c r="I453" s="6">
        <v>1301.5999999999999</v>
      </c>
      <c r="J453" s="6">
        <v>47.06</v>
      </c>
      <c r="K453" s="6">
        <v>454.54</v>
      </c>
      <c r="L453" s="6" t="s">
        <v>24</v>
      </c>
      <c r="M453" s="6" t="s">
        <v>34</v>
      </c>
      <c r="N453" s="6" t="s">
        <v>35</v>
      </c>
      <c r="O453" s="12">
        <f t="shared" si="12"/>
        <v>0.34921634910878924</v>
      </c>
      <c r="P453" s="6" t="str">
        <f t="shared" si="13"/>
        <v>need improvement</v>
      </c>
    </row>
    <row r="454" spans="1:16" x14ac:dyDescent="0.3">
      <c r="A454" t="s">
        <v>931</v>
      </c>
      <c r="B454" s="6" t="s">
        <v>892</v>
      </c>
      <c r="C454" s="6" t="s">
        <v>140</v>
      </c>
      <c r="D454" s="6" t="s">
        <v>70</v>
      </c>
      <c r="E454" s="6" t="s">
        <v>67</v>
      </c>
      <c r="F454" s="6" t="s">
        <v>68</v>
      </c>
      <c r="G454" s="6">
        <v>26</v>
      </c>
      <c r="H454" s="6">
        <v>35.32</v>
      </c>
      <c r="I454" s="6">
        <v>918.32</v>
      </c>
      <c r="J454" s="6">
        <v>60.02</v>
      </c>
      <c r="K454" s="6">
        <v>273.3</v>
      </c>
      <c r="L454" s="6" t="s">
        <v>48</v>
      </c>
      <c r="M454" s="6" t="s">
        <v>25</v>
      </c>
      <c r="N454" s="6" t="s">
        <v>76</v>
      </c>
      <c r="O454" s="12">
        <f t="shared" ref="O454:O504" si="14">K454/I454</f>
        <v>0.29760867671399949</v>
      </c>
      <c r="P454" s="6" t="str">
        <f t="shared" ref="P454:P504" si="15">IF(AND(O454&gt;20%,I454&gt;2000),"excellent",IF(AND(O454&gt;=10%,O454&lt;=20%),"good","need improvement"))</f>
        <v>need improvement</v>
      </c>
    </row>
    <row r="455" spans="1:16" x14ac:dyDescent="0.3">
      <c r="A455" t="s">
        <v>932</v>
      </c>
      <c r="B455" s="6" t="s">
        <v>921</v>
      </c>
      <c r="C455" s="6" t="s">
        <v>151</v>
      </c>
      <c r="D455" s="6" t="s">
        <v>45</v>
      </c>
      <c r="E455" s="6" t="s">
        <v>86</v>
      </c>
      <c r="F455" s="6" t="s">
        <v>47</v>
      </c>
      <c r="G455" s="6">
        <v>16</v>
      </c>
      <c r="H455" s="6">
        <v>16.440000000000001</v>
      </c>
      <c r="I455" s="6">
        <v>263.04000000000002</v>
      </c>
      <c r="J455" s="6">
        <v>17.64</v>
      </c>
      <c r="K455" s="6">
        <v>41.4</v>
      </c>
      <c r="L455" s="6" t="s">
        <v>24</v>
      </c>
      <c r="M455" s="6" t="s">
        <v>25</v>
      </c>
      <c r="N455" s="6" t="s">
        <v>49</v>
      </c>
      <c r="O455" s="12">
        <f t="shared" si="14"/>
        <v>0.1573905109489051</v>
      </c>
      <c r="P455" s="6" t="str">
        <f t="shared" si="15"/>
        <v>good</v>
      </c>
    </row>
    <row r="456" spans="1:16" x14ac:dyDescent="0.3">
      <c r="A456" t="s">
        <v>933</v>
      </c>
      <c r="B456" s="6" t="s">
        <v>319</v>
      </c>
      <c r="C456" s="6" t="s">
        <v>360</v>
      </c>
      <c r="D456" s="6" t="s">
        <v>171</v>
      </c>
      <c r="E456" s="6" t="s">
        <v>137</v>
      </c>
      <c r="F456" s="6" t="s">
        <v>68</v>
      </c>
      <c r="G456" s="6">
        <v>39</v>
      </c>
      <c r="H456" s="6">
        <v>46.27</v>
      </c>
      <c r="I456" s="6">
        <v>1804.53</v>
      </c>
      <c r="J456" s="6">
        <v>38.57</v>
      </c>
      <c r="K456" s="6">
        <v>673.96</v>
      </c>
      <c r="L456" s="6" t="s">
        <v>48</v>
      </c>
      <c r="M456" s="6" t="s">
        <v>41</v>
      </c>
      <c r="N456" s="6" t="s">
        <v>35</v>
      </c>
      <c r="O456" s="12">
        <f t="shared" si="14"/>
        <v>0.37348229178788939</v>
      </c>
      <c r="P456" s="6" t="str">
        <f t="shared" si="15"/>
        <v>need improvement</v>
      </c>
    </row>
    <row r="457" spans="1:16" x14ac:dyDescent="0.3">
      <c r="A457" t="s">
        <v>934</v>
      </c>
      <c r="B457" s="6" t="s">
        <v>745</v>
      </c>
      <c r="C457" s="6" t="s">
        <v>246</v>
      </c>
      <c r="D457" s="6" t="s">
        <v>31</v>
      </c>
      <c r="E457" s="6" t="s">
        <v>74</v>
      </c>
      <c r="F457" s="6" t="s">
        <v>75</v>
      </c>
      <c r="G457" s="6">
        <v>15</v>
      </c>
      <c r="H457" s="6">
        <v>33.22</v>
      </c>
      <c r="I457" s="6">
        <v>498.3</v>
      </c>
      <c r="J457" s="6">
        <v>36.85</v>
      </c>
      <c r="K457" s="6">
        <v>86.45</v>
      </c>
      <c r="L457" s="6" t="s">
        <v>48</v>
      </c>
      <c r="M457" s="6" t="s">
        <v>41</v>
      </c>
      <c r="N457" s="6" t="s">
        <v>35</v>
      </c>
      <c r="O457" s="12">
        <f t="shared" si="14"/>
        <v>0.17348986554284568</v>
      </c>
      <c r="P457" s="6" t="str">
        <f t="shared" si="15"/>
        <v>good</v>
      </c>
    </row>
    <row r="458" spans="1:16" x14ac:dyDescent="0.3">
      <c r="A458" t="s">
        <v>935</v>
      </c>
      <c r="B458" s="6" t="s">
        <v>696</v>
      </c>
      <c r="C458" s="6" t="s">
        <v>328</v>
      </c>
      <c r="D458" s="6" t="s">
        <v>141</v>
      </c>
      <c r="E458" s="6" t="s">
        <v>56</v>
      </c>
      <c r="F458" s="6" t="s">
        <v>57</v>
      </c>
      <c r="G458" s="6">
        <v>35</v>
      </c>
      <c r="H458" s="6">
        <v>71.02</v>
      </c>
      <c r="I458" s="6">
        <v>2485.6999999999998</v>
      </c>
      <c r="J458" s="6">
        <v>137.22</v>
      </c>
      <c r="K458" s="6">
        <v>948.48</v>
      </c>
      <c r="L458" s="6" t="s">
        <v>33</v>
      </c>
      <c r="M458" s="6" t="s">
        <v>34</v>
      </c>
      <c r="N458" s="6" t="s">
        <v>142</v>
      </c>
      <c r="O458" s="12">
        <f t="shared" si="14"/>
        <v>0.38157460675061355</v>
      </c>
      <c r="P458" s="6" t="str">
        <f t="shared" si="15"/>
        <v>excellent</v>
      </c>
    </row>
    <row r="459" spans="1:16" x14ac:dyDescent="0.3">
      <c r="A459" t="s">
        <v>936</v>
      </c>
      <c r="B459" s="6" t="s">
        <v>561</v>
      </c>
      <c r="C459" s="6" t="s">
        <v>165</v>
      </c>
      <c r="D459" s="6" t="s">
        <v>123</v>
      </c>
      <c r="E459" s="6" t="s">
        <v>137</v>
      </c>
      <c r="F459" s="6" t="s">
        <v>68</v>
      </c>
      <c r="G459" s="6">
        <v>2</v>
      </c>
      <c r="H459" s="6">
        <v>42.31</v>
      </c>
      <c r="I459" s="6">
        <v>84.62</v>
      </c>
      <c r="J459" s="6">
        <v>4.28</v>
      </c>
      <c r="K459" s="6">
        <v>24.34</v>
      </c>
      <c r="L459" s="6" t="s">
        <v>33</v>
      </c>
      <c r="M459" s="6" t="s">
        <v>34</v>
      </c>
      <c r="N459" s="6" t="s">
        <v>76</v>
      </c>
      <c r="O459" s="12">
        <f t="shared" si="14"/>
        <v>0.28763885606239659</v>
      </c>
      <c r="P459" s="6" t="str">
        <f t="shared" si="15"/>
        <v>need improvement</v>
      </c>
    </row>
    <row r="460" spans="1:16" x14ac:dyDescent="0.3">
      <c r="A460" t="s">
        <v>937</v>
      </c>
      <c r="B460" s="6" t="s">
        <v>153</v>
      </c>
      <c r="C460" s="6" t="s">
        <v>148</v>
      </c>
      <c r="D460" s="6" t="s">
        <v>116</v>
      </c>
      <c r="E460" s="6" t="s">
        <v>74</v>
      </c>
      <c r="F460" s="6" t="s">
        <v>75</v>
      </c>
      <c r="G460" s="6">
        <v>8</v>
      </c>
      <c r="H460" s="6">
        <v>41.36</v>
      </c>
      <c r="I460" s="6">
        <v>330.88</v>
      </c>
      <c r="J460" s="6">
        <v>11.78</v>
      </c>
      <c r="K460" s="6">
        <v>119.1</v>
      </c>
      <c r="L460" s="6" t="s">
        <v>24</v>
      </c>
      <c r="M460" s="6" t="s">
        <v>25</v>
      </c>
      <c r="N460" s="6" t="s">
        <v>76</v>
      </c>
      <c r="O460" s="12">
        <f t="shared" si="14"/>
        <v>0.35994922630560927</v>
      </c>
      <c r="P460" s="6" t="str">
        <f t="shared" si="15"/>
        <v>need improvement</v>
      </c>
    </row>
    <row r="461" spans="1:16" x14ac:dyDescent="0.3">
      <c r="A461" t="s">
        <v>938</v>
      </c>
      <c r="B461" s="6" t="s">
        <v>939</v>
      </c>
      <c r="C461" s="6" t="s">
        <v>194</v>
      </c>
      <c r="D461" s="6" t="s">
        <v>55</v>
      </c>
      <c r="E461" s="6" t="s">
        <v>32</v>
      </c>
      <c r="F461" s="6" t="s">
        <v>23</v>
      </c>
      <c r="G461" s="6">
        <v>3</v>
      </c>
      <c r="H461" s="6">
        <v>31.39</v>
      </c>
      <c r="I461" s="6">
        <v>94.17</v>
      </c>
      <c r="J461" s="6">
        <v>2.52</v>
      </c>
      <c r="K461" s="6">
        <v>37.65</v>
      </c>
      <c r="L461" s="6" t="s">
        <v>48</v>
      </c>
      <c r="M461" s="6" t="s">
        <v>41</v>
      </c>
      <c r="N461" s="6" t="s">
        <v>98</v>
      </c>
      <c r="O461" s="12">
        <f t="shared" si="14"/>
        <v>0.39980885632366991</v>
      </c>
      <c r="P461" s="6" t="str">
        <f t="shared" si="15"/>
        <v>need improvement</v>
      </c>
    </row>
    <row r="462" spans="1:16" x14ac:dyDescent="0.3">
      <c r="A462" t="s">
        <v>940</v>
      </c>
      <c r="B462" s="6" t="s">
        <v>941</v>
      </c>
      <c r="C462" s="6" t="s">
        <v>232</v>
      </c>
      <c r="D462" s="6" t="s">
        <v>171</v>
      </c>
      <c r="E462" s="6" t="s">
        <v>67</v>
      </c>
      <c r="F462" s="6" t="s">
        <v>68</v>
      </c>
      <c r="G462" s="6">
        <v>48</v>
      </c>
      <c r="H462" s="6">
        <v>33.61</v>
      </c>
      <c r="I462" s="6">
        <v>1613.28</v>
      </c>
      <c r="J462" s="6">
        <v>109.92</v>
      </c>
      <c r="K462" s="6">
        <v>423.36</v>
      </c>
      <c r="L462" s="6" t="s">
        <v>24</v>
      </c>
      <c r="M462" s="6" t="s">
        <v>41</v>
      </c>
      <c r="N462" s="6" t="s">
        <v>35</v>
      </c>
      <c r="O462" s="12">
        <f t="shared" si="14"/>
        <v>0.26242189824457007</v>
      </c>
      <c r="P462" s="6" t="str">
        <f t="shared" si="15"/>
        <v>need improvement</v>
      </c>
    </row>
    <row r="463" spans="1:16" x14ac:dyDescent="0.3">
      <c r="A463" t="s">
        <v>942</v>
      </c>
      <c r="B463" s="6" t="s">
        <v>943</v>
      </c>
      <c r="C463" s="6" t="s">
        <v>277</v>
      </c>
      <c r="D463" s="6" t="s">
        <v>241</v>
      </c>
      <c r="E463" s="6" t="s">
        <v>46</v>
      </c>
      <c r="F463" s="6" t="s">
        <v>47</v>
      </c>
      <c r="G463" s="6">
        <v>9</v>
      </c>
      <c r="H463" s="6">
        <v>50.29</v>
      </c>
      <c r="I463" s="6">
        <v>452.61</v>
      </c>
      <c r="J463" s="6">
        <v>32.93</v>
      </c>
      <c r="K463" s="6">
        <v>131.68</v>
      </c>
      <c r="L463" s="6" t="s">
        <v>33</v>
      </c>
      <c r="M463" s="6" t="s">
        <v>41</v>
      </c>
      <c r="N463" s="6" t="s">
        <v>35</v>
      </c>
      <c r="O463" s="12">
        <f t="shared" si="14"/>
        <v>0.29093480038001812</v>
      </c>
      <c r="P463" s="6" t="str">
        <f t="shared" si="15"/>
        <v>need improvement</v>
      </c>
    </row>
    <row r="464" spans="1:16" x14ac:dyDescent="0.3">
      <c r="A464" t="s">
        <v>944</v>
      </c>
      <c r="B464" s="6" t="s">
        <v>945</v>
      </c>
      <c r="C464" s="6" t="s">
        <v>232</v>
      </c>
      <c r="D464" s="6" t="s">
        <v>21</v>
      </c>
      <c r="E464" s="6" t="s">
        <v>67</v>
      </c>
      <c r="F464" s="6" t="s">
        <v>68</v>
      </c>
      <c r="G464" s="6">
        <v>12</v>
      </c>
      <c r="H464" s="6">
        <v>34.96</v>
      </c>
      <c r="I464" s="6">
        <v>419.52</v>
      </c>
      <c r="J464" s="6">
        <v>15.43</v>
      </c>
      <c r="K464" s="6">
        <v>134.09</v>
      </c>
      <c r="L464" s="6" t="s">
        <v>33</v>
      </c>
      <c r="M464" s="6" t="s">
        <v>41</v>
      </c>
      <c r="N464" s="6" t="s">
        <v>98</v>
      </c>
      <c r="O464" s="12">
        <f t="shared" si="14"/>
        <v>0.31962719298245618</v>
      </c>
      <c r="P464" s="6" t="str">
        <f t="shared" si="15"/>
        <v>need improvement</v>
      </c>
    </row>
    <row r="465" spans="1:16" x14ac:dyDescent="0.3">
      <c r="A465" t="s">
        <v>946</v>
      </c>
      <c r="B465" s="6" t="s">
        <v>947</v>
      </c>
      <c r="C465" s="6" t="s">
        <v>586</v>
      </c>
      <c r="D465" s="6" t="s">
        <v>206</v>
      </c>
      <c r="E465" s="6" t="s">
        <v>22</v>
      </c>
      <c r="F465" s="6" t="s">
        <v>23</v>
      </c>
      <c r="G465" s="6">
        <v>29</v>
      </c>
      <c r="H465" s="6">
        <v>52.72</v>
      </c>
      <c r="I465" s="6">
        <v>1528.88</v>
      </c>
      <c r="J465" s="6">
        <v>96.91</v>
      </c>
      <c r="K465" s="6">
        <v>416.97</v>
      </c>
      <c r="L465" s="6" t="s">
        <v>33</v>
      </c>
      <c r="M465" s="6" t="s">
        <v>41</v>
      </c>
      <c r="N465" s="6" t="s">
        <v>207</v>
      </c>
      <c r="O465" s="12">
        <f t="shared" si="14"/>
        <v>0.27272905656428237</v>
      </c>
      <c r="P465" s="6" t="str">
        <f t="shared" si="15"/>
        <v>need improvement</v>
      </c>
    </row>
    <row r="466" spans="1:16" x14ac:dyDescent="0.3">
      <c r="A466" t="s">
        <v>948</v>
      </c>
      <c r="B466" s="6" t="s">
        <v>354</v>
      </c>
      <c r="C466" s="6" t="s">
        <v>521</v>
      </c>
      <c r="D466" s="6" t="s">
        <v>55</v>
      </c>
      <c r="E466" s="6" t="s">
        <v>81</v>
      </c>
      <c r="F466" s="6" t="s">
        <v>68</v>
      </c>
      <c r="G466" s="6">
        <v>39</v>
      </c>
      <c r="H466" s="6">
        <v>22.18</v>
      </c>
      <c r="I466" s="6">
        <v>865.02</v>
      </c>
      <c r="J466" s="6">
        <v>26.23</v>
      </c>
      <c r="K466" s="6">
        <v>234.29</v>
      </c>
      <c r="L466" s="6" t="s">
        <v>24</v>
      </c>
      <c r="M466" s="6" t="s">
        <v>41</v>
      </c>
      <c r="N466" s="6" t="s">
        <v>98</v>
      </c>
      <c r="O466" s="12">
        <f t="shared" si="14"/>
        <v>0.27084922891956253</v>
      </c>
      <c r="P466" s="6" t="str">
        <f t="shared" si="15"/>
        <v>need improvement</v>
      </c>
    </row>
    <row r="467" spans="1:16" x14ac:dyDescent="0.3">
      <c r="A467" t="s">
        <v>949</v>
      </c>
      <c r="B467" s="6" t="s">
        <v>303</v>
      </c>
      <c r="C467" s="6" t="s">
        <v>511</v>
      </c>
      <c r="D467" s="6" t="s">
        <v>116</v>
      </c>
      <c r="E467" s="6" t="s">
        <v>81</v>
      </c>
      <c r="F467" s="6" t="s">
        <v>68</v>
      </c>
      <c r="G467" s="6">
        <v>11</v>
      </c>
      <c r="H467" s="6">
        <v>21.4</v>
      </c>
      <c r="I467" s="6">
        <v>235.4</v>
      </c>
      <c r="J467" s="6">
        <v>11.64</v>
      </c>
      <c r="K467" s="6">
        <v>53.26</v>
      </c>
      <c r="L467" s="6" t="s">
        <v>24</v>
      </c>
      <c r="M467" s="6" t="s">
        <v>41</v>
      </c>
      <c r="N467" s="6" t="s">
        <v>76</v>
      </c>
      <c r="O467" s="12">
        <f t="shared" si="14"/>
        <v>0.22625318606627015</v>
      </c>
      <c r="P467" s="6" t="str">
        <f t="shared" si="15"/>
        <v>need improvement</v>
      </c>
    </row>
    <row r="468" spans="1:16" x14ac:dyDescent="0.3">
      <c r="A468" t="s">
        <v>950</v>
      </c>
      <c r="B468" s="6" t="s">
        <v>951</v>
      </c>
      <c r="C468" s="6" t="s">
        <v>462</v>
      </c>
      <c r="D468" s="6" t="s">
        <v>116</v>
      </c>
      <c r="E468" s="6" t="s">
        <v>74</v>
      </c>
      <c r="F468" s="6" t="s">
        <v>75</v>
      </c>
      <c r="G468" s="6">
        <v>21</v>
      </c>
      <c r="H468" s="6">
        <v>36.26</v>
      </c>
      <c r="I468" s="6">
        <v>761.46</v>
      </c>
      <c r="J468" s="6">
        <v>56.99</v>
      </c>
      <c r="K468" s="6">
        <v>179.47</v>
      </c>
      <c r="L468" s="6" t="s">
        <v>33</v>
      </c>
      <c r="M468" s="6" t="s">
        <v>25</v>
      </c>
      <c r="N468" s="6" t="s">
        <v>76</v>
      </c>
      <c r="O468" s="12">
        <f t="shared" si="14"/>
        <v>0.23569196018175609</v>
      </c>
      <c r="P468" s="6" t="str">
        <f t="shared" si="15"/>
        <v>need improvement</v>
      </c>
    </row>
    <row r="469" spans="1:16" x14ac:dyDescent="0.3">
      <c r="A469" t="s">
        <v>952</v>
      </c>
      <c r="B469" s="6" t="s">
        <v>457</v>
      </c>
      <c r="C469" s="6" t="s">
        <v>328</v>
      </c>
      <c r="D469" s="6" t="s">
        <v>51</v>
      </c>
      <c r="E469" s="6" t="s">
        <v>67</v>
      </c>
      <c r="F469" s="6" t="s">
        <v>68</v>
      </c>
      <c r="G469" s="6">
        <v>39</v>
      </c>
      <c r="H469" s="6">
        <v>35.409999999999997</v>
      </c>
      <c r="I469" s="6">
        <v>1380.99</v>
      </c>
      <c r="J469" s="6">
        <v>84.56</v>
      </c>
      <c r="K469" s="6">
        <v>418.93</v>
      </c>
      <c r="L469" s="6" t="s">
        <v>33</v>
      </c>
      <c r="M469" s="6" t="s">
        <v>25</v>
      </c>
      <c r="N469" s="6" t="s">
        <v>76</v>
      </c>
      <c r="O469" s="12">
        <f t="shared" si="14"/>
        <v>0.30335483964402349</v>
      </c>
      <c r="P469" s="6" t="str">
        <f t="shared" si="15"/>
        <v>need improvement</v>
      </c>
    </row>
    <row r="470" spans="1:16" x14ac:dyDescent="0.3">
      <c r="A470" t="s">
        <v>953</v>
      </c>
      <c r="B470" s="6" t="s">
        <v>515</v>
      </c>
      <c r="C470" s="6" t="s">
        <v>177</v>
      </c>
      <c r="D470" s="6" t="s">
        <v>51</v>
      </c>
      <c r="E470" s="6" t="s">
        <v>32</v>
      </c>
      <c r="F470" s="6" t="s">
        <v>23</v>
      </c>
      <c r="G470" s="6">
        <v>13</v>
      </c>
      <c r="H470" s="6">
        <v>27.35</v>
      </c>
      <c r="I470" s="6">
        <v>355.55</v>
      </c>
      <c r="J470" s="6">
        <v>26.23</v>
      </c>
      <c r="K470" s="6">
        <v>95.32</v>
      </c>
      <c r="L470" s="6" t="s">
        <v>33</v>
      </c>
      <c r="M470" s="6" t="s">
        <v>41</v>
      </c>
      <c r="N470" s="6" t="s">
        <v>76</v>
      </c>
      <c r="O470" s="12">
        <f t="shared" si="14"/>
        <v>0.26809168893263957</v>
      </c>
      <c r="P470" s="6" t="str">
        <f t="shared" si="15"/>
        <v>need improvement</v>
      </c>
    </row>
    <row r="471" spans="1:16" x14ac:dyDescent="0.3">
      <c r="A471" t="s">
        <v>954</v>
      </c>
      <c r="B471" s="6" t="s">
        <v>686</v>
      </c>
      <c r="C471" s="6" t="s">
        <v>148</v>
      </c>
      <c r="D471" s="6" t="s">
        <v>45</v>
      </c>
      <c r="E471" s="6" t="s">
        <v>86</v>
      </c>
      <c r="F471" s="6" t="s">
        <v>47</v>
      </c>
      <c r="G471" s="6">
        <v>40</v>
      </c>
      <c r="H471" s="6">
        <v>21.08</v>
      </c>
      <c r="I471" s="6">
        <v>843.2</v>
      </c>
      <c r="J471" s="6">
        <v>66.81</v>
      </c>
      <c r="K471" s="6">
        <v>266.39</v>
      </c>
      <c r="L471" s="6" t="s">
        <v>48</v>
      </c>
      <c r="M471" s="6" t="s">
        <v>34</v>
      </c>
      <c r="N471" s="6" t="s">
        <v>49</v>
      </c>
      <c r="O471" s="12">
        <f t="shared" si="14"/>
        <v>0.3159274193548387</v>
      </c>
      <c r="P471" s="6" t="str">
        <f t="shared" si="15"/>
        <v>need improvement</v>
      </c>
    </row>
    <row r="472" spans="1:16" x14ac:dyDescent="0.3">
      <c r="A472" t="s">
        <v>955</v>
      </c>
      <c r="B472" s="6" t="s">
        <v>740</v>
      </c>
      <c r="C472" s="6" t="s">
        <v>586</v>
      </c>
      <c r="D472" s="6" t="s">
        <v>62</v>
      </c>
      <c r="E472" s="6" t="s">
        <v>81</v>
      </c>
      <c r="F472" s="6" t="s">
        <v>68</v>
      </c>
      <c r="G472" s="6">
        <v>47</v>
      </c>
      <c r="H472" s="6">
        <v>27.54</v>
      </c>
      <c r="I472" s="6">
        <v>1294.3800000000001</v>
      </c>
      <c r="J472" s="6">
        <v>62.78</v>
      </c>
      <c r="K472" s="6">
        <v>503.1</v>
      </c>
      <c r="L472" s="6" t="s">
        <v>24</v>
      </c>
      <c r="M472" s="6" t="s">
        <v>25</v>
      </c>
      <c r="N472" s="6" t="s">
        <v>98</v>
      </c>
      <c r="O472" s="12">
        <f t="shared" si="14"/>
        <v>0.38868029481296062</v>
      </c>
      <c r="P472" s="6" t="str">
        <f t="shared" si="15"/>
        <v>need improvement</v>
      </c>
    </row>
    <row r="473" spans="1:16" x14ac:dyDescent="0.3">
      <c r="A473" t="s">
        <v>956</v>
      </c>
      <c r="B473" s="6" t="s">
        <v>957</v>
      </c>
      <c r="C473" s="6" t="s">
        <v>44</v>
      </c>
      <c r="D473" s="6" t="s">
        <v>70</v>
      </c>
      <c r="E473" s="6" t="s">
        <v>46</v>
      </c>
      <c r="F473" s="6" t="s">
        <v>47</v>
      </c>
      <c r="G473" s="6">
        <v>16</v>
      </c>
      <c r="H473" s="6">
        <v>45.08</v>
      </c>
      <c r="I473" s="6">
        <v>721.28</v>
      </c>
      <c r="J473" s="6">
        <v>21.61</v>
      </c>
      <c r="K473" s="6">
        <v>187.67</v>
      </c>
      <c r="L473" s="6" t="s">
        <v>33</v>
      </c>
      <c r="M473" s="6" t="s">
        <v>41</v>
      </c>
      <c r="N473" s="6" t="s">
        <v>76</v>
      </c>
      <c r="O473" s="12">
        <f t="shared" si="14"/>
        <v>0.26019021739130432</v>
      </c>
      <c r="P473" s="6" t="str">
        <f t="shared" si="15"/>
        <v>need improvement</v>
      </c>
    </row>
    <row r="474" spans="1:16" x14ac:dyDescent="0.3">
      <c r="A474" t="s">
        <v>958</v>
      </c>
      <c r="B474" s="6" t="s">
        <v>723</v>
      </c>
      <c r="C474" s="6" t="s">
        <v>197</v>
      </c>
      <c r="D474" s="6" t="s">
        <v>123</v>
      </c>
      <c r="E474" s="6" t="s">
        <v>67</v>
      </c>
      <c r="F474" s="6" t="s">
        <v>68</v>
      </c>
      <c r="G474" s="6">
        <v>37</v>
      </c>
      <c r="H474" s="6">
        <v>33.200000000000003</v>
      </c>
      <c r="I474" s="6">
        <v>1228.4000000000001</v>
      </c>
      <c r="J474" s="6">
        <v>41.34</v>
      </c>
      <c r="K474" s="6">
        <v>354.56</v>
      </c>
      <c r="L474" s="6" t="s">
        <v>48</v>
      </c>
      <c r="M474" s="6" t="s">
        <v>34</v>
      </c>
      <c r="N474" s="6" t="s">
        <v>76</v>
      </c>
      <c r="O474" s="12">
        <f t="shared" si="14"/>
        <v>0.28863562357538258</v>
      </c>
      <c r="P474" s="6" t="str">
        <f t="shared" si="15"/>
        <v>need improvement</v>
      </c>
    </row>
    <row r="475" spans="1:16" x14ac:dyDescent="0.3">
      <c r="A475" t="s">
        <v>959</v>
      </c>
      <c r="B475" s="6" t="s">
        <v>187</v>
      </c>
      <c r="C475" s="6" t="s">
        <v>20</v>
      </c>
      <c r="D475" s="6" t="s">
        <v>123</v>
      </c>
      <c r="E475" s="6" t="s">
        <v>32</v>
      </c>
      <c r="F475" s="6" t="s">
        <v>23</v>
      </c>
      <c r="G475" s="6">
        <v>8</v>
      </c>
      <c r="H475" s="6">
        <v>27.31</v>
      </c>
      <c r="I475" s="6">
        <v>218.48</v>
      </c>
      <c r="J475" s="6">
        <v>9.51</v>
      </c>
      <c r="K475" s="6">
        <v>64.97</v>
      </c>
      <c r="L475" s="6" t="s">
        <v>48</v>
      </c>
      <c r="M475" s="6" t="s">
        <v>25</v>
      </c>
      <c r="N475" s="6" t="s">
        <v>76</v>
      </c>
      <c r="O475" s="12">
        <f t="shared" si="14"/>
        <v>0.29737275723178325</v>
      </c>
      <c r="P475" s="6" t="str">
        <f t="shared" si="15"/>
        <v>need improvement</v>
      </c>
    </row>
    <row r="476" spans="1:16" x14ac:dyDescent="0.3">
      <c r="A476" t="s">
        <v>960</v>
      </c>
      <c r="B476" s="6" t="s">
        <v>484</v>
      </c>
      <c r="C476" s="6" t="s">
        <v>157</v>
      </c>
      <c r="D476" s="6" t="s">
        <v>141</v>
      </c>
      <c r="E476" s="6" t="s">
        <v>32</v>
      </c>
      <c r="F476" s="6" t="s">
        <v>23</v>
      </c>
      <c r="G476" s="6">
        <v>19</v>
      </c>
      <c r="H476" s="6">
        <v>29.14</v>
      </c>
      <c r="I476" s="6">
        <v>553.66</v>
      </c>
      <c r="J476" s="6">
        <v>19.7</v>
      </c>
      <c r="K476" s="6">
        <v>191.96</v>
      </c>
      <c r="L476" s="6" t="s">
        <v>24</v>
      </c>
      <c r="M476" s="6" t="s">
        <v>34</v>
      </c>
      <c r="N476" s="6" t="s">
        <v>142</v>
      </c>
      <c r="O476" s="12">
        <f t="shared" si="14"/>
        <v>0.34671097785644622</v>
      </c>
      <c r="P476" s="6" t="str">
        <f t="shared" si="15"/>
        <v>need improvement</v>
      </c>
    </row>
    <row r="477" spans="1:16" x14ac:dyDescent="0.3">
      <c r="A477" t="s">
        <v>961</v>
      </c>
      <c r="B477" s="6" t="s">
        <v>300</v>
      </c>
      <c r="C477" s="6" t="s">
        <v>331</v>
      </c>
      <c r="D477" s="6" t="s">
        <v>116</v>
      </c>
      <c r="E477" s="6" t="s">
        <v>22</v>
      </c>
      <c r="F477" s="6" t="s">
        <v>23</v>
      </c>
      <c r="G477" s="6">
        <v>6</v>
      </c>
      <c r="H477" s="6">
        <v>55.41</v>
      </c>
      <c r="I477" s="6">
        <v>332.46</v>
      </c>
      <c r="J477" s="6">
        <v>15.57</v>
      </c>
      <c r="K477" s="6">
        <v>106.89</v>
      </c>
      <c r="L477" s="6" t="s">
        <v>24</v>
      </c>
      <c r="M477" s="6" t="s">
        <v>25</v>
      </c>
      <c r="N477" s="6" t="s">
        <v>76</v>
      </c>
      <c r="O477" s="12">
        <f t="shared" si="14"/>
        <v>0.3215123623894604</v>
      </c>
      <c r="P477" s="6" t="str">
        <f t="shared" si="15"/>
        <v>need improvement</v>
      </c>
    </row>
    <row r="478" spans="1:16" x14ac:dyDescent="0.3">
      <c r="A478" t="s">
        <v>962</v>
      </c>
      <c r="B478" s="6" t="s">
        <v>406</v>
      </c>
      <c r="C478" s="6" t="s">
        <v>307</v>
      </c>
      <c r="D478" s="6" t="s">
        <v>123</v>
      </c>
      <c r="E478" s="6" t="s">
        <v>32</v>
      </c>
      <c r="F478" s="6" t="s">
        <v>23</v>
      </c>
      <c r="G478" s="6">
        <v>48</v>
      </c>
      <c r="H478" s="6">
        <v>29.07</v>
      </c>
      <c r="I478" s="6">
        <v>1395.36</v>
      </c>
      <c r="J478" s="6">
        <v>70.38</v>
      </c>
      <c r="K478" s="6">
        <v>460.98</v>
      </c>
      <c r="L478" s="6" t="s">
        <v>33</v>
      </c>
      <c r="M478" s="6" t="s">
        <v>41</v>
      </c>
      <c r="N478" s="6" t="s">
        <v>76</v>
      </c>
      <c r="O478" s="12">
        <f t="shared" si="14"/>
        <v>0.33036635706914347</v>
      </c>
      <c r="P478" s="6" t="str">
        <f t="shared" si="15"/>
        <v>need improvement</v>
      </c>
    </row>
    <row r="479" spans="1:16" x14ac:dyDescent="0.3">
      <c r="A479" t="s">
        <v>963</v>
      </c>
      <c r="B479" s="6" t="s">
        <v>964</v>
      </c>
      <c r="C479" s="6" t="s">
        <v>455</v>
      </c>
      <c r="D479" s="6" t="s">
        <v>45</v>
      </c>
      <c r="E479" s="6" t="s">
        <v>67</v>
      </c>
      <c r="F479" s="6" t="s">
        <v>68</v>
      </c>
      <c r="G479" s="6">
        <v>26</v>
      </c>
      <c r="H479" s="6">
        <v>27.17</v>
      </c>
      <c r="I479" s="6">
        <v>706.42</v>
      </c>
      <c r="J479" s="6">
        <v>33.94</v>
      </c>
      <c r="K479" s="6">
        <v>87.48</v>
      </c>
      <c r="L479" s="6" t="s">
        <v>48</v>
      </c>
      <c r="M479" s="6" t="s">
        <v>34</v>
      </c>
      <c r="N479" s="6" t="s">
        <v>49</v>
      </c>
      <c r="O479" s="12">
        <f t="shared" si="14"/>
        <v>0.12383567849154895</v>
      </c>
      <c r="P479" s="6" t="str">
        <f t="shared" si="15"/>
        <v>good</v>
      </c>
    </row>
    <row r="480" spans="1:16" x14ac:dyDescent="0.3">
      <c r="A480" t="s">
        <v>965</v>
      </c>
      <c r="B480" s="6" t="s">
        <v>243</v>
      </c>
      <c r="C480" s="6" t="s">
        <v>170</v>
      </c>
      <c r="D480" s="6" t="s">
        <v>127</v>
      </c>
      <c r="E480" s="6" t="s">
        <v>22</v>
      </c>
      <c r="F480" s="6" t="s">
        <v>23</v>
      </c>
      <c r="G480" s="6">
        <v>9</v>
      </c>
      <c r="H480" s="6">
        <v>48.76</v>
      </c>
      <c r="I480" s="6">
        <v>438.84</v>
      </c>
      <c r="J480" s="6">
        <v>16.91</v>
      </c>
      <c r="K480" s="6">
        <v>106.93</v>
      </c>
      <c r="L480" s="6" t="s">
        <v>48</v>
      </c>
      <c r="M480" s="6" t="s">
        <v>25</v>
      </c>
      <c r="N480" s="6" t="s">
        <v>76</v>
      </c>
      <c r="O480" s="12">
        <f t="shared" si="14"/>
        <v>0.24366511712697114</v>
      </c>
      <c r="P480" s="6" t="str">
        <f t="shared" si="15"/>
        <v>need improvement</v>
      </c>
    </row>
    <row r="481" spans="1:16" x14ac:dyDescent="0.3">
      <c r="A481" t="s">
        <v>966</v>
      </c>
      <c r="B481" s="6" t="s">
        <v>686</v>
      </c>
      <c r="C481" s="6" t="s">
        <v>360</v>
      </c>
      <c r="D481" s="6" t="s">
        <v>31</v>
      </c>
      <c r="E481" s="6" t="s">
        <v>67</v>
      </c>
      <c r="F481" s="6" t="s">
        <v>68</v>
      </c>
      <c r="G481" s="6">
        <v>37</v>
      </c>
      <c r="H481" s="6">
        <v>33.21</v>
      </c>
      <c r="I481" s="6">
        <v>1228.77</v>
      </c>
      <c r="J481" s="6">
        <v>96.12</v>
      </c>
      <c r="K481" s="6">
        <v>300.14999999999998</v>
      </c>
      <c r="L481" s="6" t="s">
        <v>48</v>
      </c>
      <c r="M481" s="6" t="s">
        <v>34</v>
      </c>
      <c r="N481" s="6" t="s">
        <v>35</v>
      </c>
      <c r="O481" s="12">
        <f t="shared" si="14"/>
        <v>0.24426865890280522</v>
      </c>
      <c r="P481" s="6" t="str">
        <f t="shared" si="15"/>
        <v>need improvement</v>
      </c>
    </row>
    <row r="482" spans="1:16" x14ac:dyDescent="0.3">
      <c r="A482" t="s">
        <v>967</v>
      </c>
      <c r="B482" s="6" t="s">
        <v>672</v>
      </c>
      <c r="C482" s="6" t="s">
        <v>170</v>
      </c>
      <c r="D482" s="6" t="s">
        <v>45</v>
      </c>
      <c r="E482" s="6" t="s">
        <v>86</v>
      </c>
      <c r="F482" s="6" t="s">
        <v>47</v>
      </c>
      <c r="G482" s="6">
        <v>29</v>
      </c>
      <c r="H482" s="6">
        <v>16.54</v>
      </c>
      <c r="I482" s="6">
        <v>479.66</v>
      </c>
      <c r="J482" s="6">
        <v>30.23</v>
      </c>
      <c r="K482" s="6">
        <v>79.680000000000007</v>
      </c>
      <c r="L482" s="6" t="s">
        <v>33</v>
      </c>
      <c r="M482" s="6" t="s">
        <v>41</v>
      </c>
      <c r="N482" s="6" t="s">
        <v>49</v>
      </c>
      <c r="O482" s="12">
        <f t="shared" si="14"/>
        <v>0.16611766668056541</v>
      </c>
      <c r="P482" s="6" t="str">
        <f t="shared" si="15"/>
        <v>good</v>
      </c>
    </row>
    <row r="483" spans="1:16" x14ac:dyDescent="0.3">
      <c r="A483" t="s">
        <v>968</v>
      </c>
      <c r="B483" s="6" t="s">
        <v>224</v>
      </c>
      <c r="C483" s="6" t="s">
        <v>126</v>
      </c>
      <c r="D483" s="6" t="s">
        <v>206</v>
      </c>
      <c r="E483" s="6" t="s">
        <v>74</v>
      </c>
      <c r="F483" s="6" t="s">
        <v>75</v>
      </c>
      <c r="G483" s="6">
        <v>11</v>
      </c>
      <c r="H483" s="6">
        <v>44.56</v>
      </c>
      <c r="I483" s="6">
        <v>490.16</v>
      </c>
      <c r="J483" s="6">
        <v>23.97</v>
      </c>
      <c r="K483" s="6">
        <v>191.19</v>
      </c>
      <c r="L483" s="6" t="s">
        <v>33</v>
      </c>
      <c r="M483" s="6" t="s">
        <v>41</v>
      </c>
      <c r="N483" s="6" t="s">
        <v>207</v>
      </c>
      <c r="O483" s="12">
        <f t="shared" si="14"/>
        <v>0.39005630814427938</v>
      </c>
      <c r="P483" s="6" t="str">
        <f t="shared" si="15"/>
        <v>need improvement</v>
      </c>
    </row>
    <row r="484" spans="1:16" x14ac:dyDescent="0.3">
      <c r="A484" t="s">
        <v>969</v>
      </c>
      <c r="B484" s="6" t="s">
        <v>675</v>
      </c>
      <c r="C484" s="6" t="s">
        <v>66</v>
      </c>
      <c r="D484" s="6" t="s">
        <v>62</v>
      </c>
      <c r="E484" s="6" t="s">
        <v>46</v>
      </c>
      <c r="F484" s="6" t="s">
        <v>47</v>
      </c>
      <c r="G484" s="6">
        <v>50</v>
      </c>
      <c r="H484" s="6">
        <v>44.78</v>
      </c>
      <c r="I484" s="6">
        <v>2239</v>
      </c>
      <c r="J484" s="6">
        <v>169.97</v>
      </c>
      <c r="K484" s="6">
        <v>469.03</v>
      </c>
      <c r="L484" s="6" t="s">
        <v>24</v>
      </c>
      <c r="M484" s="6" t="s">
        <v>41</v>
      </c>
      <c r="N484" s="6" t="s">
        <v>98</v>
      </c>
      <c r="O484" s="12">
        <f t="shared" si="14"/>
        <v>0.20948191156766413</v>
      </c>
      <c r="P484" s="6" t="str">
        <f t="shared" si="15"/>
        <v>excellent</v>
      </c>
    </row>
    <row r="485" spans="1:16" x14ac:dyDescent="0.3">
      <c r="A485" t="s">
        <v>970</v>
      </c>
      <c r="B485" s="6" t="s">
        <v>971</v>
      </c>
      <c r="C485" s="6" t="s">
        <v>122</v>
      </c>
      <c r="D485" s="6" t="s">
        <v>21</v>
      </c>
      <c r="E485" s="6" t="s">
        <v>32</v>
      </c>
      <c r="F485" s="6" t="s">
        <v>23</v>
      </c>
      <c r="G485" s="6">
        <v>30</v>
      </c>
      <c r="H485" s="6">
        <v>22.51</v>
      </c>
      <c r="I485" s="6">
        <v>675.3</v>
      </c>
      <c r="J485" s="6">
        <v>26.26</v>
      </c>
      <c r="K485" s="6">
        <v>109.04</v>
      </c>
      <c r="L485" s="6" t="s">
        <v>24</v>
      </c>
      <c r="M485" s="6" t="s">
        <v>25</v>
      </c>
      <c r="N485" s="6" t="s">
        <v>98</v>
      </c>
      <c r="O485" s="12">
        <f t="shared" si="14"/>
        <v>0.16146897675107361</v>
      </c>
      <c r="P485" s="6" t="str">
        <f t="shared" si="15"/>
        <v>good</v>
      </c>
    </row>
    <row r="486" spans="1:16" x14ac:dyDescent="0.3">
      <c r="A486" t="s">
        <v>972</v>
      </c>
      <c r="B486" s="6" t="s">
        <v>973</v>
      </c>
      <c r="C486" s="6" t="s">
        <v>391</v>
      </c>
      <c r="D486" s="6" t="s">
        <v>206</v>
      </c>
      <c r="E486" s="6" t="s">
        <v>81</v>
      </c>
      <c r="F486" s="6" t="s">
        <v>68</v>
      </c>
      <c r="G486" s="6">
        <v>50</v>
      </c>
      <c r="H486" s="6">
        <v>27.18</v>
      </c>
      <c r="I486" s="6">
        <v>1359</v>
      </c>
      <c r="J486" s="6">
        <v>45.67</v>
      </c>
      <c r="K486" s="6">
        <v>538.33000000000004</v>
      </c>
      <c r="L486" s="6" t="s">
        <v>24</v>
      </c>
      <c r="M486" s="6" t="s">
        <v>41</v>
      </c>
      <c r="N486" s="6" t="s">
        <v>207</v>
      </c>
      <c r="O486" s="12">
        <f t="shared" si="14"/>
        <v>0.39612214863870499</v>
      </c>
      <c r="P486" s="6" t="str">
        <f t="shared" si="15"/>
        <v>need improvement</v>
      </c>
    </row>
    <row r="487" spans="1:16" x14ac:dyDescent="0.3">
      <c r="A487" t="s">
        <v>974</v>
      </c>
      <c r="B487" s="6" t="s">
        <v>706</v>
      </c>
      <c r="C487" s="6" t="s">
        <v>216</v>
      </c>
      <c r="D487" s="6" t="s">
        <v>37</v>
      </c>
      <c r="E487" s="6" t="s">
        <v>137</v>
      </c>
      <c r="F487" s="6" t="s">
        <v>68</v>
      </c>
      <c r="G487" s="6">
        <v>28</v>
      </c>
      <c r="H487" s="6">
        <v>37.51</v>
      </c>
      <c r="I487" s="6">
        <v>1050.28</v>
      </c>
      <c r="J487" s="6">
        <v>45.83</v>
      </c>
      <c r="K487" s="6">
        <v>220.45</v>
      </c>
      <c r="L487" s="6" t="s">
        <v>48</v>
      </c>
      <c r="M487" s="6" t="s">
        <v>34</v>
      </c>
      <c r="N487" s="6" t="s">
        <v>35</v>
      </c>
      <c r="O487" s="12">
        <f t="shared" si="14"/>
        <v>0.20989640857676048</v>
      </c>
      <c r="P487" s="6" t="str">
        <f t="shared" si="15"/>
        <v>need improvement</v>
      </c>
    </row>
    <row r="488" spans="1:16" x14ac:dyDescent="0.3">
      <c r="A488" t="s">
        <v>975</v>
      </c>
      <c r="B488" s="6" t="s">
        <v>268</v>
      </c>
      <c r="C488" s="6" t="s">
        <v>113</v>
      </c>
      <c r="D488" s="6" t="s">
        <v>206</v>
      </c>
      <c r="E488" s="6" t="s">
        <v>56</v>
      </c>
      <c r="F488" s="6" t="s">
        <v>57</v>
      </c>
      <c r="G488" s="6">
        <v>50</v>
      </c>
      <c r="H488" s="6">
        <v>53.71</v>
      </c>
      <c r="I488" s="6">
        <v>2685.5</v>
      </c>
      <c r="J488" s="6">
        <v>197.89</v>
      </c>
      <c r="K488" s="6">
        <v>487.61</v>
      </c>
      <c r="L488" s="6" t="s">
        <v>33</v>
      </c>
      <c r="M488" s="6" t="s">
        <v>41</v>
      </c>
      <c r="N488" s="6" t="s">
        <v>207</v>
      </c>
      <c r="O488" s="12">
        <f t="shared" si="14"/>
        <v>0.18157140197356172</v>
      </c>
      <c r="P488" s="6" t="str">
        <f t="shared" si="15"/>
        <v>good</v>
      </c>
    </row>
    <row r="489" spans="1:16" x14ac:dyDescent="0.3">
      <c r="A489" t="s">
        <v>976</v>
      </c>
      <c r="B489" s="6" t="s">
        <v>977</v>
      </c>
      <c r="C489" s="6" t="s">
        <v>630</v>
      </c>
      <c r="D489" s="6" t="s">
        <v>141</v>
      </c>
      <c r="E489" s="6" t="s">
        <v>81</v>
      </c>
      <c r="F489" s="6" t="s">
        <v>68</v>
      </c>
      <c r="G489" s="6">
        <v>24</v>
      </c>
      <c r="H489" s="6">
        <v>18.62</v>
      </c>
      <c r="I489" s="6">
        <v>446.88</v>
      </c>
      <c r="J489" s="6">
        <v>26.91</v>
      </c>
      <c r="K489" s="6">
        <v>47.97</v>
      </c>
      <c r="L489" s="6" t="s">
        <v>33</v>
      </c>
      <c r="M489" s="6" t="s">
        <v>34</v>
      </c>
      <c r="N489" s="6" t="s">
        <v>142</v>
      </c>
      <c r="O489" s="12">
        <f t="shared" si="14"/>
        <v>0.10734425349087003</v>
      </c>
      <c r="P489" s="6" t="str">
        <f t="shared" si="15"/>
        <v>good</v>
      </c>
    </row>
    <row r="490" spans="1:16" x14ac:dyDescent="0.3">
      <c r="A490" t="s">
        <v>978</v>
      </c>
      <c r="B490" s="6" t="s">
        <v>577</v>
      </c>
      <c r="C490" s="6" t="s">
        <v>290</v>
      </c>
      <c r="D490" s="6" t="s">
        <v>116</v>
      </c>
      <c r="E490" s="6" t="s">
        <v>56</v>
      </c>
      <c r="F490" s="6" t="s">
        <v>57</v>
      </c>
      <c r="G490" s="6">
        <v>10</v>
      </c>
      <c r="H490" s="6">
        <v>49.15</v>
      </c>
      <c r="I490" s="6">
        <v>491.5</v>
      </c>
      <c r="J490" s="6">
        <v>13.3</v>
      </c>
      <c r="K490" s="6">
        <v>78.2</v>
      </c>
      <c r="L490" s="6" t="s">
        <v>48</v>
      </c>
      <c r="M490" s="6" t="s">
        <v>41</v>
      </c>
      <c r="N490" s="6" t="s">
        <v>76</v>
      </c>
      <c r="O490" s="12">
        <f t="shared" si="14"/>
        <v>0.15910478128179045</v>
      </c>
      <c r="P490" s="6" t="str">
        <f t="shared" si="15"/>
        <v>good</v>
      </c>
    </row>
    <row r="491" spans="1:16" x14ac:dyDescent="0.3">
      <c r="A491" t="s">
        <v>979</v>
      </c>
      <c r="B491" s="6" t="s">
        <v>980</v>
      </c>
      <c r="C491" s="6" t="s">
        <v>328</v>
      </c>
      <c r="D491" s="6" t="s">
        <v>51</v>
      </c>
      <c r="E491" s="6" t="s">
        <v>56</v>
      </c>
      <c r="F491" s="6" t="s">
        <v>57</v>
      </c>
      <c r="G491" s="6">
        <v>42</v>
      </c>
      <c r="H491" s="6">
        <v>50.96</v>
      </c>
      <c r="I491" s="6">
        <v>2140.3200000000002</v>
      </c>
      <c r="J491" s="6">
        <v>127.85</v>
      </c>
      <c r="K491" s="6">
        <v>332.47</v>
      </c>
      <c r="L491" s="6" t="s">
        <v>24</v>
      </c>
      <c r="M491" s="6" t="s">
        <v>34</v>
      </c>
      <c r="N491" s="6" t="s">
        <v>76</v>
      </c>
      <c r="O491" s="12">
        <f t="shared" si="14"/>
        <v>0.15533658518352397</v>
      </c>
      <c r="P491" s="6" t="str">
        <f t="shared" si="15"/>
        <v>good</v>
      </c>
    </row>
    <row r="492" spans="1:16" x14ac:dyDescent="0.3">
      <c r="A492" t="s">
        <v>981</v>
      </c>
      <c r="B492" s="6" t="s">
        <v>982</v>
      </c>
      <c r="C492" s="6" t="s">
        <v>323</v>
      </c>
      <c r="D492" s="6" t="s">
        <v>51</v>
      </c>
      <c r="E492" s="6" t="s">
        <v>74</v>
      </c>
      <c r="F492" s="6" t="s">
        <v>75</v>
      </c>
      <c r="G492" s="6">
        <v>39</v>
      </c>
      <c r="H492" s="6">
        <v>37.46</v>
      </c>
      <c r="I492" s="6">
        <v>1460.94</v>
      </c>
      <c r="J492" s="6">
        <v>82.25</v>
      </c>
      <c r="K492" s="6">
        <v>403.69</v>
      </c>
      <c r="L492" s="6" t="s">
        <v>48</v>
      </c>
      <c r="M492" s="6" t="s">
        <v>25</v>
      </c>
      <c r="N492" s="6" t="s">
        <v>76</v>
      </c>
      <c r="O492" s="12">
        <f t="shared" si="14"/>
        <v>0.27632209399427765</v>
      </c>
      <c r="P492" s="6" t="str">
        <f t="shared" si="15"/>
        <v>need improvement</v>
      </c>
    </row>
    <row r="493" spans="1:16" x14ac:dyDescent="0.3">
      <c r="A493" t="s">
        <v>983</v>
      </c>
      <c r="B493" s="6" t="s">
        <v>984</v>
      </c>
      <c r="C493" s="6" t="s">
        <v>174</v>
      </c>
      <c r="D493" s="6" t="s">
        <v>171</v>
      </c>
      <c r="E493" s="6" t="s">
        <v>86</v>
      </c>
      <c r="F493" s="6" t="s">
        <v>47</v>
      </c>
      <c r="G493" s="6">
        <v>7</v>
      </c>
      <c r="H493" s="6">
        <v>20.2</v>
      </c>
      <c r="I493" s="6">
        <v>141.4</v>
      </c>
      <c r="J493" s="6">
        <v>4.3499999999999996</v>
      </c>
      <c r="K493" s="6">
        <v>47.8</v>
      </c>
      <c r="L493" s="6" t="s">
        <v>33</v>
      </c>
      <c r="M493" s="6" t="s">
        <v>41</v>
      </c>
      <c r="N493" s="6" t="s">
        <v>35</v>
      </c>
      <c r="O493" s="12">
        <f t="shared" si="14"/>
        <v>0.33804809052333801</v>
      </c>
      <c r="P493" s="6" t="str">
        <f t="shared" si="15"/>
        <v>need improvement</v>
      </c>
    </row>
    <row r="494" spans="1:16" x14ac:dyDescent="0.3">
      <c r="A494" t="s">
        <v>985</v>
      </c>
      <c r="B494" s="6" t="s">
        <v>986</v>
      </c>
      <c r="C494" s="6" t="s">
        <v>197</v>
      </c>
      <c r="D494" s="6" t="s">
        <v>55</v>
      </c>
      <c r="E494" s="6" t="s">
        <v>86</v>
      </c>
      <c r="F494" s="6" t="s">
        <v>47</v>
      </c>
      <c r="G494" s="6">
        <v>18</v>
      </c>
      <c r="H494" s="6">
        <v>18.63</v>
      </c>
      <c r="I494" s="6">
        <v>335.34</v>
      </c>
      <c r="J494" s="6">
        <v>26.18</v>
      </c>
      <c r="K494" s="6">
        <v>79.66</v>
      </c>
      <c r="L494" s="6" t="s">
        <v>33</v>
      </c>
      <c r="M494" s="6" t="s">
        <v>25</v>
      </c>
      <c r="N494" s="6" t="s">
        <v>98</v>
      </c>
      <c r="O494" s="12">
        <f t="shared" si="14"/>
        <v>0.23754994930518281</v>
      </c>
      <c r="P494" s="6" t="str">
        <f t="shared" si="15"/>
        <v>need improvement</v>
      </c>
    </row>
    <row r="495" spans="1:16" x14ac:dyDescent="0.3">
      <c r="A495" t="s">
        <v>987</v>
      </c>
      <c r="B495" s="6" t="s">
        <v>988</v>
      </c>
      <c r="C495" s="6" t="s">
        <v>462</v>
      </c>
      <c r="D495" s="6" t="s">
        <v>206</v>
      </c>
      <c r="E495" s="6" t="s">
        <v>67</v>
      </c>
      <c r="F495" s="6" t="s">
        <v>68</v>
      </c>
      <c r="G495" s="6">
        <v>12</v>
      </c>
      <c r="H495" s="6">
        <v>27.08</v>
      </c>
      <c r="I495" s="6">
        <v>324.95999999999998</v>
      </c>
      <c r="J495" s="6">
        <v>15.59</v>
      </c>
      <c r="K495" s="6">
        <v>39.369999999999997</v>
      </c>
      <c r="L495" s="6" t="s">
        <v>33</v>
      </c>
      <c r="M495" s="6" t="s">
        <v>41</v>
      </c>
      <c r="N495" s="6" t="s">
        <v>207</v>
      </c>
      <c r="O495" s="12">
        <f t="shared" si="14"/>
        <v>0.12115337272279665</v>
      </c>
      <c r="P495" s="6" t="str">
        <f t="shared" si="15"/>
        <v>good</v>
      </c>
    </row>
    <row r="496" spans="1:16" x14ac:dyDescent="0.3">
      <c r="A496" t="s">
        <v>989</v>
      </c>
      <c r="B496" s="6" t="s">
        <v>153</v>
      </c>
      <c r="C496" s="6" t="s">
        <v>499</v>
      </c>
      <c r="D496" s="6" t="s">
        <v>171</v>
      </c>
      <c r="E496" s="6" t="s">
        <v>74</v>
      </c>
      <c r="F496" s="6" t="s">
        <v>75</v>
      </c>
      <c r="G496" s="6">
        <v>50</v>
      </c>
      <c r="H496" s="6">
        <v>32.21</v>
      </c>
      <c r="I496" s="6">
        <v>1610.5</v>
      </c>
      <c r="J496" s="6">
        <v>32.68</v>
      </c>
      <c r="K496" s="6">
        <v>327.82</v>
      </c>
      <c r="L496" s="6" t="s">
        <v>33</v>
      </c>
      <c r="M496" s="6" t="s">
        <v>41</v>
      </c>
      <c r="N496" s="6" t="s">
        <v>35</v>
      </c>
      <c r="O496" s="12">
        <f t="shared" si="14"/>
        <v>0.20355169202111145</v>
      </c>
      <c r="P496" s="6" t="str">
        <f t="shared" si="15"/>
        <v>need improvement</v>
      </c>
    </row>
    <row r="497" spans="1:16" x14ac:dyDescent="0.3">
      <c r="A497" t="s">
        <v>990</v>
      </c>
      <c r="B497" s="6" t="s">
        <v>768</v>
      </c>
      <c r="C497" s="6" t="s">
        <v>646</v>
      </c>
      <c r="D497" s="6" t="s">
        <v>141</v>
      </c>
      <c r="E497" s="6" t="s">
        <v>86</v>
      </c>
      <c r="F497" s="6" t="s">
        <v>47</v>
      </c>
      <c r="G497" s="6">
        <v>49</v>
      </c>
      <c r="H497" s="6">
        <v>20.59</v>
      </c>
      <c r="I497" s="6">
        <v>1008.91</v>
      </c>
      <c r="J497" s="6">
        <v>78.03</v>
      </c>
      <c r="K497" s="6">
        <v>306.13</v>
      </c>
      <c r="L497" s="6" t="s">
        <v>33</v>
      </c>
      <c r="M497" s="6" t="s">
        <v>41</v>
      </c>
      <c r="N497" s="6" t="s">
        <v>142</v>
      </c>
      <c r="O497" s="12">
        <f t="shared" si="14"/>
        <v>0.30342647015095497</v>
      </c>
      <c r="P497" s="6" t="str">
        <f t="shared" si="15"/>
        <v>need improvement</v>
      </c>
    </row>
    <row r="498" spans="1:16" x14ac:dyDescent="0.3">
      <c r="A498" t="s">
        <v>991</v>
      </c>
      <c r="B498" s="6" t="s">
        <v>992</v>
      </c>
      <c r="C498" s="6" t="s">
        <v>140</v>
      </c>
      <c r="D498" s="6" t="s">
        <v>37</v>
      </c>
      <c r="E498" s="6" t="s">
        <v>63</v>
      </c>
      <c r="F498" s="6" t="s">
        <v>47</v>
      </c>
      <c r="G498" s="6">
        <v>22</v>
      </c>
      <c r="H498" s="6">
        <v>28.63</v>
      </c>
      <c r="I498" s="6">
        <v>629.86</v>
      </c>
      <c r="J498" s="6">
        <v>29.08</v>
      </c>
      <c r="K498" s="6">
        <v>160.78</v>
      </c>
      <c r="L498" s="6" t="s">
        <v>33</v>
      </c>
      <c r="M498" s="6" t="s">
        <v>34</v>
      </c>
      <c r="N498" s="6" t="s">
        <v>35</v>
      </c>
      <c r="O498" s="12">
        <f t="shared" si="14"/>
        <v>0.25526307433397899</v>
      </c>
      <c r="P498" s="6" t="str">
        <f t="shared" si="15"/>
        <v>need improvement</v>
      </c>
    </row>
    <row r="499" spans="1:16" x14ac:dyDescent="0.3">
      <c r="A499" t="s">
        <v>993</v>
      </c>
      <c r="B499" s="6" t="s">
        <v>994</v>
      </c>
      <c r="C499" s="6" t="s">
        <v>290</v>
      </c>
      <c r="D499" s="6" t="s">
        <v>51</v>
      </c>
      <c r="E499" s="6" t="s">
        <v>56</v>
      </c>
      <c r="F499" s="6" t="s">
        <v>57</v>
      </c>
      <c r="G499" s="6">
        <v>11</v>
      </c>
      <c r="H499" s="6">
        <v>56.12</v>
      </c>
      <c r="I499" s="6">
        <v>617.32000000000005</v>
      </c>
      <c r="J499" s="6">
        <v>38.26</v>
      </c>
      <c r="K499" s="6">
        <v>139.06</v>
      </c>
      <c r="L499" s="6" t="s">
        <v>33</v>
      </c>
      <c r="M499" s="6" t="s">
        <v>34</v>
      </c>
      <c r="N499" s="6" t="s">
        <v>76</v>
      </c>
      <c r="O499" s="12">
        <f t="shared" si="14"/>
        <v>0.22526404457979651</v>
      </c>
      <c r="P499" s="6" t="str">
        <f t="shared" si="15"/>
        <v>need improvement</v>
      </c>
    </row>
    <row r="500" spans="1:16" x14ac:dyDescent="0.3">
      <c r="A500" t="s">
        <v>995</v>
      </c>
      <c r="B500" s="6" t="s">
        <v>996</v>
      </c>
      <c r="C500" s="6" t="s">
        <v>54</v>
      </c>
      <c r="D500" s="6" t="s">
        <v>21</v>
      </c>
      <c r="E500" s="6" t="s">
        <v>74</v>
      </c>
      <c r="F500" s="6" t="s">
        <v>75</v>
      </c>
      <c r="G500" s="6">
        <v>2</v>
      </c>
      <c r="H500" s="6">
        <v>30.88</v>
      </c>
      <c r="I500" s="6">
        <v>61.76</v>
      </c>
      <c r="J500" s="6">
        <v>4.42</v>
      </c>
      <c r="K500" s="6">
        <v>7.34</v>
      </c>
      <c r="L500" s="6" t="s">
        <v>48</v>
      </c>
      <c r="M500" s="6" t="s">
        <v>34</v>
      </c>
      <c r="N500" s="6" t="s">
        <v>98</v>
      </c>
      <c r="O500" s="12">
        <f t="shared" si="14"/>
        <v>0.11884715025906736</v>
      </c>
      <c r="P500" s="6" t="str">
        <f t="shared" si="15"/>
        <v>good</v>
      </c>
    </row>
    <row r="501" spans="1:16" x14ac:dyDescent="0.3">
      <c r="A501" t="s">
        <v>997</v>
      </c>
      <c r="B501" s="6" t="s">
        <v>998</v>
      </c>
      <c r="C501" s="6" t="s">
        <v>471</v>
      </c>
      <c r="D501" s="6" t="s">
        <v>206</v>
      </c>
      <c r="E501" s="6" t="s">
        <v>56</v>
      </c>
      <c r="F501" s="6" t="s">
        <v>57</v>
      </c>
      <c r="G501" s="6">
        <v>34</v>
      </c>
      <c r="H501" s="6">
        <v>63.8</v>
      </c>
      <c r="I501" s="6">
        <v>2169.1999999999998</v>
      </c>
      <c r="J501" s="6">
        <v>69.650000000000006</v>
      </c>
      <c r="K501" s="6">
        <v>739.55</v>
      </c>
      <c r="L501" s="6" t="s">
        <v>33</v>
      </c>
      <c r="M501" s="6" t="s">
        <v>41</v>
      </c>
      <c r="N501" s="6" t="s">
        <v>207</v>
      </c>
      <c r="O501" s="12">
        <f t="shared" si="14"/>
        <v>0.34093214088143092</v>
      </c>
      <c r="P501" s="6" t="str">
        <f t="shared" si="15"/>
        <v>excellent</v>
      </c>
    </row>
    <row r="502" spans="1:16" x14ac:dyDescent="0.3">
      <c r="A502" t="s">
        <v>999</v>
      </c>
      <c r="B502" s="6" t="s">
        <v>412</v>
      </c>
      <c r="C502" s="6" t="s">
        <v>282</v>
      </c>
      <c r="D502" s="6" t="s">
        <v>62</v>
      </c>
      <c r="E502" s="6" t="s">
        <v>137</v>
      </c>
      <c r="F502" s="6" t="s">
        <v>68</v>
      </c>
      <c r="G502" s="6">
        <v>50</v>
      </c>
      <c r="H502" s="6">
        <v>44.61</v>
      </c>
      <c r="I502" s="6">
        <v>2230.5</v>
      </c>
      <c r="J502" s="6">
        <v>91.32</v>
      </c>
      <c r="K502" s="6">
        <v>739.18</v>
      </c>
      <c r="L502" s="6" t="s">
        <v>48</v>
      </c>
      <c r="M502" s="6" t="s">
        <v>25</v>
      </c>
      <c r="N502" s="6" t="s">
        <v>98</v>
      </c>
      <c r="O502" s="12">
        <f t="shared" si="14"/>
        <v>0.33139654785922434</v>
      </c>
      <c r="P502" s="6" t="str">
        <f t="shared" si="15"/>
        <v>excellent</v>
      </c>
    </row>
    <row r="503" spans="1:16" x14ac:dyDescent="0.3">
      <c r="A503" t="s">
        <v>1000</v>
      </c>
      <c r="B503" s="6" t="s">
        <v>1001</v>
      </c>
      <c r="C503" s="6" t="s">
        <v>119</v>
      </c>
      <c r="D503" s="6" t="s">
        <v>123</v>
      </c>
      <c r="E503" s="6" t="s">
        <v>86</v>
      </c>
      <c r="F503" s="6" t="s">
        <v>47</v>
      </c>
      <c r="G503" s="6">
        <v>14</v>
      </c>
      <c r="H503" s="6">
        <v>18.61</v>
      </c>
      <c r="I503" s="6">
        <v>260.54000000000002</v>
      </c>
      <c r="J503" s="6">
        <v>5.39</v>
      </c>
      <c r="K503" s="6">
        <v>76.650000000000006</v>
      </c>
      <c r="L503" s="6" t="s">
        <v>33</v>
      </c>
      <c r="M503" s="6" t="s">
        <v>41</v>
      </c>
      <c r="N503" s="6" t="s">
        <v>76</v>
      </c>
      <c r="O503" s="12">
        <f t="shared" si="14"/>
        <v>0.29419666845781839</v>
      </c>
      <c r="P503" s="6" t="str">
        <f t="shared" si="15"/>
        <v>need improvement</v>
      </c>
    </row>
    <row r="504" spans="1:16" x14ac:dyDescent="0.3">
      <c r="A504" t="s">
        <v>1002</v>
      </c>
      <c r="B504" s="6" t="s">
        <v>816</v>
      </c>
      <c r="C504" s="6" t="s">
        <v>455</v>
      </c>
      <c r="D504" s="6" t="s">
        <v>31</v>
      </c>
      <c r="E504" s="6" t="s">
        <v>81</v>
      </c>
      <c r="F504" s="6" t="s">
        <v>68</v>
      </c>
      <c r="G504" s="6">
        <v>7</v>
      </c>
      <c r="H504" s="6">
        <v>24.61</v>
      </c>
      <c r="I504" s="6">
        <v>172.27</v>
      </c>
      <c r="J504" s="6">
        <v>9.64</v>
      </c>
      <c r="K504" s="6">
        <v>54.13</v>
      </c>
      <c r="L504" s="6" t="s">
        <v>48</v>
      </c>
      <c r="M504" s="6" t="s">
        <v>41</v>
      </c>
      <c r="N504" s="6" t="s">
        <v>35</v>
      </c>
      <c r="O504" s="12">
        <f t="shared" si="14"/>
        <v>0.31421605619086318</v>
      </c>
      <c r="P504" s="6" t="str">
        <f t="shared" si="15"/>
        <v>need improvement</v>
      </c>
    </row>
  </sheetData>
  <mergeCells count="1">
    <mergeCell ref="A1:R3"/>
  </mergeCells>
  <pageMargins left="0.75" right="0.75" top="1" bottom="1" header="0.5" footer="0.5"/>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R23"/>
  <sheetViews>
    <sheetView zoomScale="72" workbookViewId="0">
      <selection activeCell="K7" sqref="K7"/>
    </sheetView>
  </sheetViews>
  <sheetFormatPr defaultRowHeight="14.4" x14ac:dyDescent="0.3"/>
  <cols>
    <col min="1" max="1" width="17.33203125" customWidth="1"/>
    <col min="2" max="2" width="17.6640625" customWidth="1"/>
    <col min="3" max="3" width="13.33203125" customWidth="1"/>
    <col min="4" max="4" width="14.33203125" customWidth="1"/>
    <col min="5" max="5" width="14.88671875" customWidth="1"/>
    <col min="7" max="7" width="16.44140625" customWidth="1"/>
    <col min="8" max="8" width="10.88671875" customWidth="1"/>
    <col min="9" max="9" width="15.33203125" customWidth="1"/>
    <col min="10" max="10" width="16" customWidth="1"/>
    <col min="11" max="11" width="12.77734375" customWidth="1"/>
    <col min="12" max="12" width="16.44140625" customWidth="1"/>
  </cols>
  <sheetData>
    <row r="1" spans="1:18" x14ac:dyDescent="0.3">
      <c r="A1" s="35" t="s">
        <v>92</v>
      </c>
      <c r="B1" s="38"/>
      <c r="C1" s="38"/>
      <c r="D1" s="38"/>
      <c r="E1" s="38"/>
      <c r="F1" s="38"/>
      <c r="G1" s="38"/>
      <c r="H1" s="38"/>
      <c r="I1" s="38"/>
      <c r="J1" s="38"/>
      <c r="K1" s="38"/>
      <c r="L1" s="38"/>
      <c r="M1" s="38"/>
      <c r="N1" s="38"/>
      <c r="O1" s="38"/>
      <c r="P1" s="38"/>
      <c r="Q1" s="38"/>
      <c r="R1" s="38"/>
    </row>
    <row r="2" spans="1:18" x14ac:dyDescent="0.3">
      <c r="A2" s="38"/>
      <c r="B2" s="38"/>
      <c r="C2" s="38"/>
      <c r="D2" s="38"/>
      <c r="E2" s="38"/>
      <c r="F2" s="38"/>
      <c r="G2" s="38"/>
      <c r="H2" s="38"/>
      <c r="I2" s="38"/>
      <c r="J2" s="38"/>
      <c r="K2" s="38"/>
      <c r="L2" s="38"/>
      <c r="M2" s="38"/>
      <c r="N2" s="38"/>
      <c r="O2" s="38"/>
      <c r="P2" s="38"/>
      <c r="Q2" s="38"/>
      <c r="R2" s="38"/>
    </row>
    <row r="3" spans="1:18" ht="124.5" customHeight="1" x14ac:dyDescent="0.3">
      <c r="A3" s="38"/>
      <c r="B3" s="38"/>
      <c r="C3" s="38"/>
      <c r="D3" s="38"/>
      <c r="E3" s="38"/>
      <c r="F3" s="38"/>
      <c r="G3" s="38"/>
      <c r="H3" s="38"/>
      <c r="I3" s="38"/>
      <c r="J3" s="38"/>
      <c r="K3" s="38"/>
      <c r="L3" s="38"/>
      <c r="M3" s="38"/>
      <c r="N3" s="38"/>
      <c r="O3" s="38"/>
      <c r="P3" s="38"/>
      <c r="Q3" s="38"/>
      <c r="R3" s="38"/>
    </row>
    <row r="4" spans="1:18" x14ac:dyDescent="0.3">
      <c r="A4" s="22" t="s">
        <v>5</v>
      </c>
      <c r="B4" s="23" t="s">
        <v>16</v>
      </c>
      <c r="C4" s="24" t="s">
        <v>1057</v>
      </c>
    </row>
    <row r="5" spans="1:18" x14ac:dyDescent="0.3">
      <c r="A5" s="20" t="s">
        <v>46</v>
      </c>
      <c r="B5" s="19" t="str">
        <f>IFERROR(INDEX([1]Products!$D:$D,MATCH(A5,[1]Products!$B:$B,0)),"NOT FOUND")</f>
        <v>AudioTech Ltd.</v>
      </c>
      <c r="C5" s="21" t="str">
        <f>IFERROR(INDEX([1]Products!$E:$E,MATCH(A5,[1]Products!$B:$B,0)),"NOT FOUND")</f>
        <v>China</v>
      </c>
      <c r="D5" s="18"/>
      <c r="E5" s="18"/>
      <c r="F5" s="18"/>
      <c r="I5" s="18"/>
      <c r="J5" s="18"/>
      <c r="K5" s="18"/>
      <c r="L5" s="18"/>
    </row>
    <row r="6" spans="1:18" x14ac:dyDescent="0.3">
      <c r="A6" s="20" t="s">
        <v>81</v>
      </c>
      <c r="B6" s="19" t="str">
        <f>IFERROR(INDEX([1]Products!$D:$D,MATCH(A6,[1]Products!$B:$B,0)),"NOT FOUND")</f>
        <v>Artisans Co.</v>
      </c>
      <c r="C6" s="21" t="str">
        <f>IFERROR(INDEX([1]Products!$E:$E,MATCH(A6,[1]Products!$B:$B,0)),"NOT FOUND")</f>
        <v>India</v>
      </c>
    </row>
    <row r="7" spans="1:18" x14ac:dyDescent="0.3">
      <c r="A7" s="20" t="s">
        <v>32</v>
      </c>
      <c r="B7" s="19" t="str">
        <f>IFERROR(INDEX([1]Products!$D:$D,MATCH(A7,[1]Products!$B:$B,0)),"NOT FOUND")</f>
        <v>CraftLine</v>
      </c>
      <c r="C7" s="21" t="str">
        <f>IFERROR(INDEX([1]Products!$E:$E,MATCH(A7,[1]Products!$B:$B,0)),"NOT FOUND")</f>
        <v>Italy</v>
      </c>
    </row>
    <row r="8" spans="1:18" x14ac:dyDescent="0.3">
      <c r="A8" s="20" t="s">
        <v>86</v>
      </c>
      <c r="B8" s="19" t="str">
        <f>IFERROR(INDEX([1]Products!$D:$D,MATCH(A8,[1]Products!$B:$B,0)),"NOT FOUND")</f>
        <v>BrightHome</v>
      </c>
      <c r="C8" s="21" t="str">
        <f>IFERROR(INDEX([1]Products!$E:$E,MATCH(A8,[1]Products!$B:$B,0)),"NOT FOUND")</f>
        <v>Vietnam</v>
      </c>
    </row>
    <row r="9" spans="1:18" x14ac:dyDescent="0.3">
      <c r="A9" s="20" t="s">
        <v>74</v>
      </c>
      <c r="B9" s="19" t="str">
        <f>IFERROR(INDEX([1]Products!$D:$D,MATCH(A9,[1]Products!$B:$B,0)),"NOT FOUND")</f>
        <v>SoftWeave</v>
      </c>
      <c r="C9" s="21" t="str">
        <f>IFERROR(INDEX([1]Products!$E:$E,MATCH(A9,[1]Products!$B:$B,0)),"NOT FOUND")</f>
        <v>Turkey</v>
      </c>
    </row>
    <row r="10" spans="1:18" x14ac:dyDescent="0.3">
      <c r="A10" s="20" t="s">
        <v>63</v>
      </c>
      <c r="B10" s="19" t="str">
        <f>IFERROR(INDEX([1]Products!$D:$D,MATCH(A10,[1]Products!$B:$B,0)),"NOT FOUND")</f>
        <v>ClickTech</v>
      </c>
      <c r="C10" s="21" t="str">
        <f>IFERROR(INDEX([1]Products!$E:$E,MATCH(A10,[1]Products!$B:$B,0)),"NOT FOUND")</f>
        <v>China</v>
      </c>
    </row>
    <row r="11" spans="1:18" x14ac:dyDescent="0.3">
      <c r="A11" s="20" t="s">
        <v>67</v>
      </c>
      <c r="B11" s="19" t="str">
        <f>IFERROR(INDEX([1]Products!$D:$D,MATCH(A11,[1]Products!$B:$B,0)),"NOT FOUND")</f>
        <v>ClearCraft</v>
      </c>
      <c r="C11" s="21" t="str">
        <f>IFERROR(INDEX([1]Products!$E:$E,MATCH(A11,[1]Products!$B:$B,0)),"NOT FOUND")</f>
        <v>India</v>
      </c>
    </row>
    <row r="12" spans="1:18" x14ac:dyDescent="0.3">
      <c r="A12" s="20" t="s">
        <v>22</v>
      </c>
      <c r="B12" s="19" t="str">
        <f>IFERROR(INDEX([1]Products!$D:$D,MATCH(A12,[1]Products!$B:$B,0)),"NOT FOUND")</f>
        <v>CarryPro</v>
      </c>
      <c r="C12" s="21" t="str">
        <f>IFERROR(INDEX([1]Products!$E:$E,MATCH(A12,[1]Products!$B:$B,0)),"NOT FOUND")</f>
        <v>Vietnam</v>
      </c>
    </row>
    <row r="13" spans="1:18" x14ac:dyDescent="0.3">
      <c r="A13" s="20" t="s">
        <v>137</v>
      </c>
      <c r="B13" s="19" t="str">
        <f>IFERROR(INDEX([1]Products!$D:$D,MATCH(A13,[1]Products!$B:$B,0)),"NOT FOUND")</f>
        <v>BrightHome</v>
      </c>
      <c r="C13" s="21" t="str">
        <f>IFERROR(INDEX([1]Products!$E:$E,MATCH(A13,[1]Products!$B:$B,0)),"NOT FOUND")</f>
        <v>India</v>
      </c>
    </row>
    <row r="14" spans="1:18" x14ac:dyDescent="0.3">
      <c r="A14" s="25" t="s">
        <v>56</v>
      </c>
      <c r="B14" s="26" t="str">
        <f>IFERROR(INDEX([1]Products!$D:$D,MATCH(A14,[1]Products!$B:$B,0)),"NOT FOUND")</f>
        <v>BlueWear</v>
      </c>
      <c r="C14" s="27" t="str">
        <f>IFERROR(INDEX([1]Products!$E:$E,MATCH(A14,[1]Products!$B:$B,0)),"NOT FOUND")</f>
        <v>Bangladesh</v>
      </c>
    </row>
    <row r="17" spans="1:4" x14ac:dyDescent="0.3">
      <c r="A17" s="32" t="s">
        <v>14</v>
      </c>
      <c r="B17" s="33" t="s">
        <v>1058</v>
      </c>
    </row>
    <row r="18" spans="1:4" x14ac:dyDescent="0.3">
      <c r="A18" s="30" t="s">
        <v>98</v>
      </c>
      <c r="B18" s="31" t="str">
        <f>IFERROR(VLOOKUP(A19,[2]Regions!$A:$D,2,FALSE),"NOT FOUND")</f>
        <v>Europe</v>
      </c>
    </row>
    <row r="19" spans="1:4" x14ac:dyDescent="0.3">
      <c r="A19" s="30" t="s">
        <v>35</v>
      </c>
      <c r="B19" s="31" t="str">
        <f>IFERROR(VLOOKUP(A20,[2]Regions!$A:$D,2,FALSE),"NOT FOUND")</f>
        <v>Asia</v>
      </c>
      <c r="C19" s="18"/>
      <c r="D19" s="18"/>
    </row>
    <row r="20" spans="1:4" x14ac:dyDescent="0.3">
      <c r="A20" s="30" t="s">
        <v>76</v>
      </c>
      <c r="B20" s="31" t="str">
        <f>IFERROR(VLOOKUP(A21,[2]Regions!$A:$D,2,FALSE),"NOT FOUND")</f>
        <v>Africa</v>
      </c>
    </row>
    <row r="21" spans="1:4" x14ac:dyDescent="0.3">
      <c r="A21" s="30" t="s">
        <v>142</v>
      </c>
      <c r="B21" s="31" t="str">
        <f>IFERROR(VLOOKUP(A22,[2]Regions!$A:$D,2,FALSE),"NOT FOUND")</f>
        <v>South America</v>
      </c>
    </row>
    <row r="22" spans="1:4" x14ac:dyDescent="0.3">
      <c r="A22" s="30" t="s">
        <v>49</v>
      </c>
      <c r="B22" s="31" t="str">
        <f>IFERROR(VLOOKUP(A23,[2]Regions!$A:$D,2,FALSE),"NOT FOUND")</f>
        <v>Oceania</v>
      </c>
    </row>
    <row r="23" spans="1:4" x14ac:dyDescent="0.3">
      <c r="A23" s="29" t="s">
        <v>207</v>
      </c>
      <c r="B23" s="28" t="str">
        <f>IFERROR(VLOOKUP(A24,[2]Regions!$A:$D,2,FALSE),"NOT FOUND")</f>
        <v>NOT FOUND</v>
      </c>
    </row>
  </sheetData>
  <mergeCells count="1">
    <mergeCell ref="A1:R3"/>
  </mergeCells>
  <pageMargins left="0.75" right="0.75" top="1" bottom="1" header="0.5" footer="0.5"/>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R505"/>
  <sheetViews>
    <sheetView topLeftCell="C3" zoomScale="85" zoomScaleNormal="85" workbookViewId="0">
      <selection activeCell="T3" sqref="T3"/>
    </sheetView>
  </sheetViews>
  <sheetFormatPr defaultRowHeight="14.4" x14ac:dyDescent="0.3"/>
  <cols>
    <col min="1" max="1" width="20.21875" customWidth="1"/>
    <col min="2" max="2" width="17" customWidth="1"/>
    <col min="3" max="3" width="17.6640625" customWidth="1"/>
    <col min="4" max="4" width="10.109375" customWidth="1"/>
    <col min="5" max="5" width="16.44140625" customWidth="1"/>
    <col min="6" max="6" width="13.77734375" customWidth="1"/>
    <col min="7" max="7" width="11.21875" customWidth="1"/>
    <col min="8" max="8" width="13.5546875" customWidth="1"/>
    <col min="9" max="9" width="15.109375" customWidth="1"/>
    <col min="10" max="10" width="15.5546875" customWidth="1"/>
    <col min="12" max="12" width="14.88671875" customWidth="1"/>
    <col min="13" max="13" width="16" customWidth="1"/>
    <col min="14" max="14" width="14.5546875" customWidth="1"/>
    <col min="15" max="15" width="16.77734375" customWidth="1"/>
    <col min="16" max="16" width="13.88671875" customWidth="1"/>
    <col min="17" max="17" width="14.33203125" customWidth="1"/>
    <col min="18" max="18" width="12.77734375" customWidth="1"/>
  </cols>
  <sheetData>
    <row r="1" spans="1:18" x14ac:dyDescent="0.3">
      <c r="A1" s="35" t="s">
        <v>93</v>
      </c>
      <c r="B1" s="38"/>
      <c r="C1" s="38"/>
      <c r="D1" s="38"/>
      <c r="E1" s="38"/>
      <c r="F1" s="38"/>
      <c r="G1" s="38"/>
      <c r="H1" s="38"/>
      <c r="I1" s="38"/>
      <c r="J1" s="38"/>
      <c r="K1" s="38"/>
      <c r="L1" s="38"/>
      <c r="M1" s="38"/>
      <c r="N1" s="38"/>
      <c r="O1" s="38"/>
      <c r="P1" s="38"/>
      <c r="Q1" s="38"/>
      <c r="R1" s="38"/>
    </row>
    <row r="2" spans="1:18" x14ac:dyDescent="0.3">
      <c r="A2" s="38"/>
      <c r="B2" s="38"/>
      <c r="C2" s="38"/>
      <c r="D2" s="38"/>
      <c r="E2" s="38"/>
      <c r="F2" s="38"/>
      <c r="G2" s="38"/>
      <c r="H2" s="38"/>
      <c r="I2" s="38"/>
      <c r="J2" s="38"/>
      <c r="K2" s="38"/>
      <c r="L2" s="38"/>
      <c r="M2" s="38"/>
      <c r="N2" s="38"/>
      <c r="O2" s="38"/>
      <c r="P2" s="38"/>
      <c r="Q2" s="38"/>
      <c r="R2" s="38"/>
    </row>
    <row r="3" spans="1:18" ht="87.75" customHeight="1" x14ac:dyDescent="0.3">
      <c r="A3" s="38"/>
      <c r="B3" s="38"/>
      <c r="C3" s="38"/>
      <c r="D3" s="38"/>
      <c r="E3" s="38"/>
      <c r="F3" s="38"/>
      <c r="G3" s="38"/>
      <c r="H3" s="38"/>
      <c r="I3" s="38"/>
      <c r="J3" s="38"/>
      <c r="K3" s="38"/>
      <c r="L3" s="38"/>
      <c r="M3" s="38"/>
      <c r="N3" s="38"/>
      <c r="O3" s="38"/>
      <c r="P3" s="38"/>
      <c r="Q3" s="38"/>
      <c r="R3" s="38"/>
    </row>
    <row r="5" spans="1:18" x14ac:dyDescent="0.3">
      <c r="A5" s="3" t="s">
        <v>1</v>
      </c>
      <c r="B5" s="3" t="s">
        <v>2</v>
      </c>
      <c r="C5" s="3" t="s">
        <v>3</v>
      </c>
      <c r="D5" s="3" t="s">
        <v>4</v>
      </c>
      <c r="E5" s="3" t="s">
        <v>5</v>
      </c>
      <c r="F5" s="3" t="s">
        <v>6</v>
      </c>
      <c r="G5" s="3" t="s">
        <v>7</v>
      </c>
      <c r="H5" s="3" t="s">
        <v>8</v>
      </c>
      <c r="I5" s="3" t="s">
        <v>9</v>
      </c>
      <c r="J5" s="3" t="s">
        <v>10</v>
      </c>
      <c r="K5" s="3" t="s">
        <v>11</v>
      </c>
      <c r="L5" s="3" t="s">
        <v>12</v>
      </c>
      <c r="M5" s="3" t="s">
        <v>13</v>
      </c>
      <c r="N5" s="3" t="s">
        <v>14</v>
      </c>
      <c r="O5" s="3" t="s">
        <v>1059</v>
      </c>
      <c r="P5" s="3" t="s">
        <v>1060</v>
      </c>
      <c r="Q5" s="3" t="s">
        <v>1061</v>
      </c>
      <c r="R5" s="3" t="s">
        <v>1062</v>
      </c>
    </row>
    <row r="6" spans="1:18" x14ac:dyDescent="0.3">
      <c r="A6" t="s">
        <v>19</v>
      </c>
      <c r="B6" t="s">
        <v>97</v>
      </c>
      <c r="C6" t="s">
        <v>20</v>
      </c>
      <c r="D6" t="s">
        <v>21</v>
      </c>
      <c r="E6" t="s">
        <v>22</v>
      </c>
      <c r="F6" t="s">
        <v>23</v>
      </c>
      <c r="G6">
        <v>20</v>
      </c>
      <c r="H6">
        <v>55.22</v>
      </c>
      <c r="I6">
        <v>1104.4000000000001</v>
      </c>
      <c r="J6">
        <v>49.36</v>
      </c>
      <c r="K6">
        <v>355.04</v>
      </c>
      <c r="L6" t="s">
        <v>24</v>
      </c>
      <c r="M6" t="s">
        <v>25</v>
      </c>
      <c r="N6" t="s">
        <v>98</v>
      </c>
      <c r="O6">
        <f>SUMIFS(I6:I505,F6:F505,Table8[[#This Row],[Category]],N6:N505,Table8[[#This Row],[Region_Code]])</f>
        <v>24079.71</v>
      </c>
      <c r="P6" s="13">
        <f>SUMIFS(K6:K505,F6:F505,Table8[[#This Row],[Category]],N6:N505,Table8[[#This Row],[Region_Code]])</f>
        <v>6581.57</v>
      </c>
      <c r="Q6">
        <f>AVERAGEIFS(I6:I505,F6:F505,Table8[[#This Row],[Category]],N6:N505,Table8[[#This Row],[Region_Code]])</f>
        <v>1203.9855</v>
      </c>
      <c r="R6">
        <f>AVERAGEIFS(K6:K505,F6:F505,Table8[[#This Row],[Category]],N6:N505,Table8[[#This Row],[Region_Code]])</f>
        <v>329.07849999999996</v>
      </c>
    </row>
    <row r="7" spans="1:18" x14ac:dyDescent="0.3">
      <c r="A7" t="s">
        <v>29</v>
      </c>
      <c r="B7" t="s">
        <v>99</v>
      </c>
      <c r="C7" t="s">
        <v>30</v>
      </c>
      <c r="D7" t="s">
        <v>31</v>
      </c>
      <c r="E7" t="s">
        <v>32</v>
      </c>
      <c r="F7" t="s">
        <v>23</v>
      </c>
      <c r="G7">
        <v>33</v>
      </c>
      <c r="H7">
        <v>32.03</v>
      </c>
      <c r="I7">
        <v>1056.99</v>
      </c>
      <c r="J7">
        <v>59.59</v>
      </c>
      <c r="K7">
        <v>403.4</v>
      </c>
      <c r="L7" t="s">
        <v>33</v>
      </c>
      <c r="M7" t="s">
        <v>34</v>
      </c>
      <c r="N7" t="s">
        <v>35</v>
      </c>
      <c r="O7">
        <f>SUMIFS(I7:I506,F7:F506,Table8[[#This Row],[Category]],N7:N506,Table8[[#This Row],[Region_Code]])</f>
        <v>30642.080000000002</v>
      </c>
      <c r="P7" s="13">
        <f>SUMIFS(K7:K506,F7:F506,Table8[[#This Row],[Category]],N7:N506,Table8[[#This Row],[Region_Code]])</f>
        <v>8020.6899999999987</v>
      </c>
      <c r="Q7">
        <f>AVERAGEIFS(I7:I506,F7:F506,Table8[[#This Row],[Category]],N7:N506,Table8[[#This Row],[Region_Code]])</f>
        <v>1056.6234482758621</v>
      </c>
      <c r="R7">
        <f>AVERAGEIFS(K7:K506,F7:F506,Table8[[#This Row],[Category]],N7:N506,Table8[[#This Row],[Region_Code]])</f>
        <v>276.57551724137926</v>
      </c>
    </row>
    <row r="8" spans="1:18" x14ac:dyDescent="0.3">
      <c r="A8" t="s">
        <v>39</v>
      </c>
      <c r="B8" t="s">
        <v>100</v>
      </c>
      <c r="C8" t="s">
        <v>40</v>
      </c>
      <c r="D8" t="s">
        <v>37</v>
      </c>
      <c r="E8" t="s">
        <v>32</v>
      </c>
      <c r="F8" t="s">
        <v>23</v>
      </c>
      <c r="G8">
        <v>34</v>
      </c>
      <c r="H8">
        <v>28.48</v>
      </c>
      <c r="I8">
        <v>968.32</v>
      </c>
      <c r="J8">
        <v>73.95</v>
      </c>
      <c r="K8">
        <v>282.37</v>
      </c>
      <c r="L8" t="s">
        <v>24</v>
      </c>
      <c r="M8" t="s">
        <v>41</v>
      </c>
      <c r="N8" t="s">
        <v>35</v>
      </c>
      <c r="O8">
        <f>SUMIFS(I8:I507,F8:F507,Table8[[#This Row],[Category]],N8:N507,Table8[[#This Row],[Region_Code]])</f>
        <v>29585.090000000004</v>
      </c>
      <c r="P8" s="13">
        <f>SUMIFS(K8:K507,F8:F507,Table8[[#This Row],[Category]],N8:N507,Table8[[#This Row],[Region_Code]])</f>
        <v>7617.2899999999991</v>
      </c>
      <c r="Q8">
        <f>AVERAGEIFS(I8:I507,F8:F507,Table8[[#This Row],[Category]],N8:N507,Table8[[#This Row],[Region_Code]])</f>
        <v>1056.6103571428573</v>
      </c>
      <c r="R8">
        <f>AVERAGEIFS(K8:K507,F8:F507,Table8[[#This Row],[Category]],N8:N507,Table8[[#This Row],[Region_Code]])</f>
        <v>272.04607142857139</v>
      </c>
    </row>
    <row r="9" spans="1:18" x14ac:dyDescent="0.3">
      <c r="A9" t="s">
        <v>43</v>
      </c>
      <c r="B9" t="s">
        <v>101</v>
      </c>
      <c r="C9" t="s">
        <v>44</v>
      </c>
      <c r="D9" t="s">
        <v>45</v>
      </c>
      <c r="E9" t="s">
        <v>46</v>
      </c>
      <c r="F9" t="s">
        <v>47</v>
      </c>
      <c r="G9">
        <v>6</v>
      </c>
      <c r="H9">
        <v>56.36</v>
      </c>
      <c r="I9">
        <v>338.16</v>
      </c>
      <c r="J9">
        <v>11.39</v>
      </c>
      <c r="K9">
        <v>134.77000000000001</v>
      </c>
      <c r="L9" t="s">
        <v>48</v>
      </c>
      <c r="M9" t="s">
        <v>34</v>
      </c>
      <c r="N9" t="s">
        <v>49</v>
      </c>
      <c r="O9">
        <f>SUMIFS(I9:I508,F9:F508,Table8[[#This Row],[Category]],N9:N508,Table8[[#This Row],[Region_Code]])</f>
        <v>16927.670000000002</v>
      </c>
      <c r="P9" s="13">
        <f>SUMIFS(K9:K508,F9:F508,Table8[[#This Row],[Category]],N9:N508,Table8[[#This Row],[Region_Code]])</f>
        <v>4721.5000000000009</v>
      </c>
      <c r="Q9">
        <f>AVERAGEIFS(I9:I508,F9:F508,Table8[[#This Row],[Category]],N9:N508,Table8[[#This Row],[Region_Code]])</f>
        <v>890.93000000000006</v>
      </c>
      <c r="R9">
        <f>AVERAGEIFS(K9:K508,F9:F508,Table8[[#This Row],[Category]],N9:N508,Table8[[#This Row],[Region_Code]])</f>
        <v>248.50000000000006</v>
      </c>
    </row>
    <row r="10" spans="1:18" x14ac:dyDescent="0.3">
      <c r="A10" t="s">
        <v>53</v>
      </c>
      <c r="B10" t="s">
        <v>102</v>
      </c>
      <c r="C10" t="s">
        <v>54</v>
      </c>
      <c r="D10" t="s">
        <v>55</v>
      </c>
      <c r="E10" t="s">
        <v>56</v>
      </c>
      <c r="F10" t="s">
        <v>57</v>
      </c>
      <c r="G10">
        <v>17</v>
      </c>
      <c r="H10">
        <v>69.22</v>
      </c>
      <c r="I10">
        <v>1176.74</v>
      </c>
      <c r="J10">
        <v>65.94</v>
      </c>
      <c r="K10">
        <v>430.8</v>
      </c>
      <c r="L10" t="s">
        <v>33</v>
      </c>
      <c r="M10" t="s">
        <v>25</v>
      </c>
      <c r="N10" t="s">
        <v>98</v>
      </c>
      <c r="O10">
        <f>SUMIFS(I10:I509,F10:F509,Table8[[#This Row],[Category]],N10:N509,Table8[[#This Row],[Region_Code]])</f>
        <v>9625.9699999999993</v>
      </c>
      <c r="P10" s="13">
        <f>SUMIFS(K10:K509,F10:F509,Table8[[#This Row],[Category]],N10:N509,Table8[[#This Row],[Region_Code]])</f>
        <v>3119.2200000000003</v>
      </c>
      <c r="Q10">
        <f>AVERAGEIFS(I10:I509,F10:F509,Table8[[#This Row],[Category]],N10:N509,Table8[[#This Row],[Region_Code]])</f>
        <v>1925.194</v>
      </c>
      <c r="R10">
        <f>AVERAGEIFS(K10:K509,F10:F509,Table8[[#This Row],[Category]],N10:N509,Table8[[#This Row],[Region_Code]])</f>
        <v>623.84400000000005</v>
      </c>
    </row>
    <row r="11" spans="1:18" x14ac:dyDescent="0.3">
      <c r="A11" t="s">
        <v>60</v>
      </c>
      <c r="B11" t="s">
        <v>103</v>
      </c>
      <c r="C11" t="s">
        <v>61</v>
      </c>
      <c r="D11" t="s">
        <v>62</v>
      </c>
      <c r="E11" t="s">
        <v>63</v>
      </c>
      <c r="F11" t="s">
        <v>47</v>
      </c>
      <c r="G11">
        <v>13</v>
      </c>
      <c r="H11">
        <v>27.94</v>
      </c>
      <c r="I11">
        <v>363.22</v>
      </c>
      <c r="J11">
        <v>15.36</v>
      </c>
      <c r="K11">
        <v>87.86</v>
      </c>
      <c r="L11" t="s">
        <v>33</v>
      </c>
      <c r="M11" t="s">
        <v>25</v>
      </c>
      <c r="N11" t="s">
        <v>98</v>
      </c>
      <c r="O11">
        <f>SUMIFS(I11:I510,F11:F510,Table8[[#This Row],[Category]],N11:N510,Table8[[#This Row],[Region_Code]])</f>
        <v>22495.010000000002</v>
      </c>
      <c r="P11" s="13">
        <f>SUMIFS(K11:K510,F11:F510,Table8[[#This Row],[Category]],N11:N510,Table8[[#This Row],[Region_Code]])</f>
        <v>5558.34</v>
      </c>
      <c r="Q11">
        <f>AVERAGEIFS(I11:I510,F11:F510,Table8[[#This Row],[Category]],N11:N510,Table8[[#This Row],[Region_Code]])</f>
        <v>775.69</v>
      </c>
      <c r="R11">
        <f>AVERAGEIFS(K11:K510,F11:F510,Table8[[#This Row],[Category]],N11:N510,Table8[[#This Row],[Region_Code]])</f>
        <v>191.66689655172414</v>
      </c>
    </row>
    <row r="12" spans="1:18" x14ac:dyDescent="0.3">
      <c r="A12" t="s">
        <v>65</v>
      </c>
      <c r="B12" t="s">
        <v>104</v>
      </c>
      <c r="C12" t="s">
        <v>66</v>
      </c>
      <c r="D12" t="s">
        <v>31</v>
      </c>
      <c r="E12" t="s">
        <v>67</v>
      </c>
      <c r="F12" t="s">
        <v>68</v>
      </c>
      <c r="G12">
        <v>3</v>
      </c>
      <c r="H12">
        <v>31.52</v>
      </c>
      <c r="I12">
        <v>94.56</v>
      </c>
      <c r="J12">
        <v>6.98</v>
      </c>
      <c r="K12">
        <v>20.079999999999998</v>
      </c>
      <c r="L12" t="s">
        <v>24</v>
      </c>
      <c r="M12" t="s">
        <v>41</v>
      </c>
      <c r="N12" t="s">
        <v>35</v>
      </c>
      <c r="O12">
        <f>SUMIFS(I12:I511,F12:F511,Table8[[#This Row],[Category]],N12:N511,Table8[[#This Row],[Region_Code]])</f>
        <v>33685.94</v>
      </c>
      <c r="P12" s="13">
        <f>SUMIFS(K12:K511,F12:F511,Table8[[#This Row],[Category]],N12:N511,Table8[[#This Row],[Region_Code]])</f>
        <v>9028.2000000000007</v>
      </c>
      <c r="Q12">
        <f>AVERAGEIFS(I12:I511,F12:F511,Table8[[#This Row],[Category]],N12:N511,Table8[[#This Row],[Region_Code]])</f>
        <v>765.58954545454549</v>
      </c>
      <c r="R12">
        <f>AVERAGEIFS(K12:K511,F12:F511,Table8[[#This Row],[Category]],N12:N511,Table8[[#This Row],[Region_Code]])</f>
        <v>205.18636363636367</v>
      </c>
    </row>
    <row r="13" spans="1:18" x14ac:dyDescent="0.3">
      <c r="A13" t="s">
        <v>72</v>
      </c>
      <c r="B13" t="s">
        <v>105</v>
      </c>
      <c r="C13" t="s">
        <v>73</v>
      </c>
      <c r="D13" t="s">
        <v>51</v>
      </c>
      <c r="E13" t="s">
        <v>74</v>
      </c>
      <c r="F13" t="s">
        <v>75</v>
      </c>
      <c r="G13">
        <v>14</v>
      </c>
      <c r="H13">
        <v>30.71</v>
      </c>
      <c r="I13">
        <v>429.94</v>
      </c>
      <c r="J13">
        <v>13.03</v>
      </c>
      <c r="K13">
        <v>66.91</v>
      </c>
      <c r="L13" t="s">
        <v>33</v>
      </c>
      <c r="M13" t="s">
        <v>25</v>
      </c>
      <c r="N13" t="s">
        <v>76</v>
      </c>
      <c r="O13">
        <f>SUMIFS(I13:I512,F13:F512,Table8[[#This Row],[Category]],N13:N512,Table8[[#This Row],[Region_Code]])</f>
        <v>21644.309999999998</v>
      </c>
      <c r="P13" s="13">
        <f>SUMIFS(K13:K512,F13:F512,Table8[[#This Row],[Category]],N13:N512,Table8[[#This Row],[Region_Code]])</f>
        <v>5965.63</v>
      </c>
      <c r="Q13">
        <f>AVERAGEIFS(I13:I512,F13:F512,Table8[[#This Row],[Category]],N13:N512,Table8[[#This Row],[Region_Code]])</f>
        <v>832.47346153846149</v>
      </c>
      <c r="R13">
        <f>AVERAGEIFS(K13:K512,F13:F512,Table8[[#This Row],[Category]],N13:N512,Table8[[#This Row],[Region_Code]])</f>
        <v>229.4473076923077</v>
      </c>
    </row>
    <row r="14" spans="1:18" x14ac:dyDescent="0.3">
      <c r="A14" t="s">
        <v>80</v>
      </c>
      <c r="B14" t="s">
        <v>106</v>
      </c>
      <c r="C14" t="s">
        <v>40</v>
      </c>
      <c r="D14" t="s">
        <v>21</v>
      </c>
      <c r="E14" t="s">
        <v>81</v>
      </c>
      <c r="F14" t="s">
        <v>68</v>
      </c>
      <c r="G14">
        <v>47</v>
      </c>
      <c r="H14">
        <v>24.47</v>
      </c>
      <c r="I14">
        <v>1150.0899999999999</v>
      </c>
      <c r="J14">
        <v>61.3</v>
      </c>
      <c r="K14">
        <v>360.29</v>
      </c>
      <c r="L14" t="s">
        <v>33</v>
      </c>
      <c r="M14" t="s">
        <v>25</v>
      </c>
      <c r="N14" t="s">
        <v>98</v>
      </c>
      <c r="O14">
        <f>SUMIFS(I14:I513,F14:F513,Table8[[#This Row],[Category]],N14:N513,Table8[[#This Row],[Region_Code]])</f>
        <v>26924.320000000003</v>
      </c>
      <c r="P14" s="13">
        <f>SUMIFS(K14:K513,F14:F513,Table8[[#This Row],[Category]],N14:N513,Table8[[#This Row],[Region_Code]])</f>
        <v>7966.090000000002</v>
      </c>
      <c r="Q14">
        <f>AVERAGEIFS(I14:I513,F14:F513,Table8[[#This Row],[Category]],N14:N513,Table8[[#This Row],[Region_Code]])</f>
        <v>997.19703703703715</v>
      </c>
      <c r="R14">
        <f>AVERAGEIFS(K14:K513,F14:F513,Table8[[#This Row],[Category]],N14:N513,Table8[[#This Row],[Region_Code]])</f>
        <v>295.04037037037045</v>
      </c>
    </row>
    <row r="15" spans="1:18" x14ac:dyDescent="0.3">
      <c r="A15" t="s">
        <v>84</v>
      </c>
      <c r="B15" t="s">
        <v>107</v>
      </c>
      <c r="C15" t="s">
        <v>85</v>
      </c>
      <c r="D15" t="s">
        <v>37</v>
      </c>
      <c r="E15" t="s">
        <v>86</v>
      </c>
      <c r="F15" t="s">
        <v>47</v>
      </c>
      <c r="G15">
        <v>27</v>
      </c>
      <c r="H15">
        <v>18.98</v>
      </c>
      <c r="I15">
        <v>512.46</v>
      </c>
      <c r="J15">
        <v>28.89</v>
      </c>
      <c r="K15">
        <v>139.32</v>
      </c>
      <c r="L15" t="s">
        <v>33</v>
      </c>
      <c r="M15" t="s">
        <v>41</v>
      </c>
      <c r="N15" t="s">
        <v>35</v>
      </c>
      <c r="O15">
        <f>SUMIFS(I15:I514,F15:F514,Table8[[#This Row],[Category]],N15:N514,Table8[[#This Row],[Region_Code]])</f>
        <v>25086.150000000005</v>
      </c>
      <c r="P15" s="13">
        <f>SUMIFS(K15:K514,F15:F514,Table8[[#This Row],[Category]],N15:N514,Table8[[#This Row],[Region_Code]])</f>
        <v>7458.03</v>
      </c>
      <c r="Q15">
        <f>AVERAGEIFS(I15:I514,F15:F514,Table8[[#This Row],[Category]],N15:N514,Table8[[#This Row],[Region_Code]])</f>
        <v>696.83750000000009</v>
      </c>
      <c r="R15">
        <f>AVERAGEIFS(K15:K514,F15:F514,Table8[[#This Row],[Category]],N15:N514,Table8[[#This Row],[Region_Code]])</f>
        <v>207.16749999999999</v>
      </c>
    </row>
    <row r="16" spans="1:18" x14ac:dyDescent="0.3">
      <c r="A16" t="s">
        <v>108</v>
      </c>
      <c r="B16" t="s">
        <v>109</v>
      </c>
      <c r="C16" t="s">
        <v>110</v>
      </c>
      <c r="D16" t="s">
        <v>51</v>
      </c>
      <c r="E16" t="s">
        <v>22</v>
      </c>
      <c r="F16" t="s">
        <v>23</v>
      </c>
      <c r="G16">
        <v>32</v>
      </c>
      <c r="H16">
        <v>57.84</v>
      </c>
      <c r="I16">
        <v>1850.88</v>
      </c>
      <c r="J16">
        <v>55.15</v>
      </c>
      <c r="K16">
        <v>675.73</v>
      </c>
      <c r="L16" t="s">
        <v>24</v>
      </c>
      <c r="M16" t="s">
        <v>25</v>
      </c>
      <c r="N16" t="s">
        <v>76</v>
      </c>
      <c r="O16">
        <f>SUMIFS(I16:I515,F16:F515,Table8[[#This Row],[Category]],N16:N515,Table8[[#This Row],[Region_Code]])</f>
        <v>33225.639999999992</v>
      </c>
      <c r="P16" s="13">
        <f>SUMIFS(K16:K515,F16:F515,Table8[[#This Row],[Category]],N16:N515,Table8[[#This Row],[Region_Code]])</f>
        <v>9628.14</v>
      </c>
      <c r="Q16">
        <f>AVERAGEIFS(I16:I515,F16:F515,Table8[[#This Row],[Category]],N16:N515,Table8[[#This Row],[Region_Code]])</f>
        <v>977.22470588235274</v>
      </c>
      <c r="R16">
        <f>AVERAGEIFS(K16:K515,F16:F515,Table8[[#This Row],[Category]],N16:N515,Table8[[#This Row],[Region_Code]])</f>
        <v>283.18058823529412</v>
      </c>
    </row>
    <row r="17" spans="1:18" x14ac:dyDescent="0.3">
      <c r="A17" t="s">
        <v>111</v>
      </c>
      <c r="B17" t="s">
        <v>112</v>
      </c>
      <c r="C17" t="s">
        <v>113</v>
      </c>
      <c r="D17" t="s">
        <v>55</v>
      </c>
      <c r="E17" t="s">
        <v>56</v>
      </c>
      <c r="F17" t="s">
        <v>57</v>
      </c>
      <c r="G17">
        <v>49</v>
      </c>
      <c r="H17">
        <v>58.77</v>
      </c>
      <c r="I17">
        <v>2879.73</v>
      </c>
      <c r="J17">
        <v>140.29</v>
      </c>
      <c r="K17">
        <v>779.44</v>
      </c>
      <c r="L17" t="s">
        <v>48</v>
      </c>
      <c r="M17" t="s">
        <v>41</v>
      </c>
      <c r="N17" t="s">
        <v>98</v>
      </c>
      <c r="O17">
        <f>SUMIFS(I17:I516,F17:F516,Table8[[#This Row],[Category]],N17:N516,Table8[[#This Row],[Region_Code]])</f>
        <v>8449.23</v>
      </c>
      <c r="P17" s="13">
        <f>SUMIFS(K17:K516,F17:F516,Table8[[#This Row],[Category]],N17:N516,Table8[[#This Row],[Region_Code]])</f>
        <v>2688.42</v>
      </c>
      <c r="Q17">
        <f>AVERAGEIFS(I17:I516,F17:F516,Table8[[#This Row],[Category]],N17:N516,Table8[[#This Row],[Region_Code]])</f>
        <v>2112.3074999999999</v>
      </c>
      <c r="R17">
        <f>AVERAGEIFS(K17:K516,F17:F516,Table8[[#This Row],[Category]],N17:N516,Table8[[#This Row],[Region_Code]])</f>
        <v>672.10500000000002</v>
      </c>
    </row>
    <row r="18" spans="1:18" x14ac:dyDescent="0.3">
      <c r="A18" t="s">
        <v>114</v>
      </c>
      <c r="B18" t="s">
        <v>115</v>
      </c>
      <c r="C18" t="s">
        <v>110</v>
      </c>
      <c r="D18" t="s">
        <v>116</v>
      </c>
      <c r="E18" t="s">
        <v>22</v>
      </c>
      <c r="F18" t="s">
        <v>23</v>
      </c>
      <c r="G18">
        <v>43</v>
      </c>
      <c r="H18">
        <v>56.92</v>
      </c>
      <c r="I18">
        <v>2447.56</v>
      </c>
      <c r="J18">
        <v>140.4</v>
      </c>
      <c r="K18">
        <v>802.16</v>
      </c>
      <c r="L18" t="s">
        <v>24</v>
      </c>
      <c r="M18" t="s">
        <v>34</v>
      </c>
      <c r="N18" t="s">
        <v>76</v>
      </c>
      <c r="O18">
        <f>SUMIFS(I18:I517,F18:F517,Table8[[#This Row],[Category]],N18:N517,Table8[[#This Row],[Region_Code]])</f>
        <v>31374.760000000002</v>
      </c>
      <c r="P18" s="13">
        <f>SUMIFS(K18:K517,F18:F517,Table8[[#This Row],[Category]],N18:N517,Table8[[#This Row],[Region_Code]])</f>
        <v>8952.409999999998</v>
      </c>
      <c r="Q18">
        <f>AVERAGEIFS(I18:I517,F18:F517,Table8[[#This Row],[Category]],N18:N517,Table8[[#This Row],[Region_Code]])</f>
        <v>950.75030303030314</v>
      </c>
      <c r="R18">
        <f>AVERAGEIFS(K18:K517,F18:F517,Table8[[#This Row],[Category]],N18:N517,Table8[[#This Row],[Region_Code]])</f>
        <v>271.28515151515148</v>
      </c>
    </row>
    <row r="19" spans="1:18" x14ac:dyDescent="0.3">
      <c r="A19" t="s">
        <v>117</v>
      </c>
      <c r="B19" t="s">
        <v>118</v>
      </c>
      <c r="C19" t="s">
        <v>119</v>
      </c>
      <c r="D19" t="s">
        <v>37</v>
      </c>
      <c r="E19" t="s">
        <v>74</v>
      </c>
      <c r="F19" t="s">
        <v>75</v>
      </c>
      <c r="G19">
        <v>32</v>
      </c>
      <c r="H19">
        <v>43.45</v>
      </c>
      <c r="I19">
        <v>1390.4</v>
      </c>
      <c r="J19">
        <v>30.04</v>
      </c>
      <c r="K19">
        <v>560.36</v>
      </c>
      <c r="L19" t="s">
        <v>24</v>
      </c>
      <c r="M19" t="s">
        <v>41</v>
      </c>
      <c r="N19" t="s">
        <v>35</v>
      </c>
      <c r="O19">
        <f>SUMIFS(I19:I518,F19:F518,Table8[[#This Row],[Category]],N19:N518,Table8[[#This Row],[Region_Code]])</f>
        <v>14367.099999999999</v>
      </c>
      <c r="P19" s="13">
        <f>SUMIFS(K19:K518,F19:F518,Table8[[#This Row],[Category]],N19:N518,Table8[[#This Row],[Region_Code]])</f>
        <v>3892.48</v>
      </c>
      <c r="Q19">
        <f>AVERAGEIFS(I19:I518,F19:F518,Table8[[#This Row],[Category]],N19:N518,Table8[[#This Row],[Region_Code]])</f>
        <v>897.94374999999991</v>
      </c>
      <c r="R19">
        <f>AVERAGEIFS(K19:K518,F19:F518,Table8[[#This Row],[Category]],N19:N518,Table8[[#This Row],[Region_Code]])</f>
        <v>243.28</v>
      </c>
    </row>
    <row r="20" spans="1:18" x14ac:dyDescent="0.3">
      <c r="A20" t="s">
        <v>120</v>
      </c>
      <c r="B20" t="s">
        <v>121</v>
      </c>
      <c r="C20" t="s">
        <v>122</v>
      </c>
      <c r="D20" t="s">
        <v>123</v>
      </c>
      <c r="E20" t="s">
        <v>74</v>
      </c>
      <c r="F20" t="s">
        <v>75</v>
      </c>
      <c r="G20">
        <v>22</v>
      </c>
      <c r="H20">
        <v>42.59</v>
      </c>
      <c r="I20">
        <v>936.98</v>
      </c>
      <c r="J20">
        <v>29.87</v>
      </c>
      <c r="K20">
        <v>357.11</v>
      </c>
      <c r="L20" t="s">
        <v>33</v>
      </c>
      <c r="M20" t="s">
        <v>41</v>
      </c>
      <c r="N20" t="s">
        <v>76</v>
      </c>
      <c r="O20">
        <f>SUMIFS(I20:I519,F20:F519,Table8[[#This Row],[Category]],N20:N519,Table8[[#This Row],[Region_Code]])</f>
        <v>21214.37</v>
      </c>
      <c r="P20" s="13">
        <f>SUMIFS(K20:K519,F20:F519,Table8[[#This Row],[Category]],N20:N519,Table8[[#This Row],[Region_Code]])</f>
        <v>5898.72</v>
      </c>
      <c r="Q20">
        <f>AVERAGEIFS(I20:I519,F20:F519,Table8[[#This Row],[Category]],N20:N519,Table8[[#This Row],[Region_Code]])</f>
        <v>848.57479999999998</v>
      </c>
      <c r="R20">
        <f>AVERAGEIFS(K20:K519,F20:F519,Table8[[#This Row],[Category]],N20:N519,Table8[[#This Row],[Region_Code]])</f>
        <v>235.94880000000001</v>
      </c>
    </row>
    <row r="21" spans="1:18" x14ac:dyDescent="0.3">
      <c r="A21" t="s">
        <v>124</v>
      </c>
      <c r="B21" t="s">
        <v>125</v>
      </c>
      <c r="C21" t="s">
        <v>126</v>
      </c>
      <c r="D21" t="s">
        <v>127</v>
      </c>
      <c r="E21" t="s">
        <v>63</v>
      </c>
      <c r="F21" t="s">
        <v>47</v>
      </c>
      <c r="G21">
        <v>48</v>
      </c>
      <c r="H21">
        <v>25.36</v>
      </c>
      <c r="I21">
        <v>1217.28</v>
      </c>
      <c r="J21">
        <v>49.68</v>
      </c>
      <c r="K21">
        <v>207.6</v>
      </c>
      <c r="L21" t="s">
        <v>33</v>
      </c>
      <c r="M21" t="s">
        <v>25</v>
      </c>
      <c r="N21" t="s">
        <v>76</v>
      </c>
      <c r="O21">
        <f>SUMIFS(I21:I520,F21:F520,Table8[[#This Row],[Category]],N21:N520,Table8[[#This Row],[Region_Code]])</f>
        <v>34174.130000000005</v>
      </c>
      <c r="P21" s="13">
        <f>SUMIFS(K21:K520,F21:F520,Table8[[#This Row],[Category]],N21:N520,Table8[[#This Row],[Region_Code]])</f>
        <v>9565.6799999999985</v>
      </c>
      <c r="Q21">
        <f>AVERAGEIFS(I21:I520,F21:F520,Table8[[#This Row],[Category]],N21:N520,Table8[[#This Row],[Region_Code]])</f>
        <v>876.25974358974372</v>
      </c>
      <c r="R21">
        <f>AVERAGEIFS(K21:K520,F21:F520,Table8[[#This Row],[Category]],N21:N520,Table8[[#This Row],[Region_Code]])</f>
        <v>245.27384615384611</v>
      </c>
    </row>
    <row r="22" spans="1:18" x14ac:dyDescent="0.3">
      <c r="A22" t="s">
        <v>128</v>
      </c>
      <c r="B22" t="s">
        <v>129</v>
      </c>
      <c r="C22" t="s">
        <v>110</v>
      </c>
      <c r="D22" t="s">
        <v>123</v>
      </c>
      <c r="E22" t="s">
        <v>32</v>
      </c>
      <c r="F22" t="s">
        <v>23</v>
      </c>
      <c r="G22">
        <v>48</v>
      </c>
      <c r="H22">
        <v>30.07</v>
      </c>
      <c r="I22">
        <v>1443.36</v>
      </c>
      <c r="J22">
        <v>102.31</v>
      </c>
      <c r="K22">
        <v>477.05</v>
      </c>
      <c r="L22" t="s">
        <v>48</v>
      </c>
      <c r="M22" t="s">
        <v>25</v>
      </c>
      <c r="N22" t="s">
        <v>76</v>
      </c>
      <c r="O22">
        <f>SUMIFS(I22:I521,F22:F521,Table8[[#This Row],[Category]],N22:N521,Table8[[#This Row],[Region_Code]])</f>
        <v>28927.200000000001</v>
      </c>
      <c r="P22" s="13">
        <f>SUMIFS(K22:K521,F22:F521,Table8[[#This Row],[Category]],N22:N521,Table8[[#This Row],[Region_Code]])</f>
        <v>8150.25</v>
      </c>
      <c r="Q22">
        <f>AVERAGEIFS(I22:I521,F22:F521,Table8[[#This Row],[Category]],N22:N521,Table8[[#This Row],[Region_Code]])</f>
        <v>903.97500000000002</v>
      </c>
      <c r="R22">
        <f>AVERAGEIFS(K22:K521,F22:F521,Table8[[#This Row],[Category]],N22:N521,Table8[[#This Row],[Region_Code]])</f>
        <v>254.6953125</v>
      </c>
    </row>
    <row r="23" spans="1:18" x14ac:dyDescent="0.3">
      <c r="A23" t="s">
        <v>130</v>
      </c>
      <c r="B23" t="s">
        <v>131</v>
      </c>
      <c r="C23" t="s">
        <v>61</v>
      </c>
      <c r="D23" t="s">
        <v>123</v>
      </c>
      <c r="E23" t="s">
        <v>63</v>
      </c>
      <c r="F23" t="s">
        <v>47</v>
      </c>
      <c r="G23">
        <v>6</v>
      </c>
      <c r="H23">
        <v>32.17</v>
      </c>
      <c r="I23">
        <v>193.02</v>
      </c>
      <c r="J23">
        <v>14.45</v>
      </c>
      <c r="K23">
        <v>58.57</v>
      </c>
      <c r="L23" t="s">
        <v>48</v>
      </c>
      <c r="M23" t="s">
        <v>25</v>
      </c>
      <c r="N23" t="s">
        <v>76</v>
      </c>
      <c r="O23">
        <f>SUMIFS(I23:I522,F23:F522,Table8[[#This Row],[Category]],N23:N522,Table8[[#This Row],[Region_Code]])</f>
        <v>32956.85</v>
      </c>
      <c r="P23" s="13">
        <f>SUMIFS(K23:K522,F23:F522,Table8[[#This Row],[Category]],N23:N522,Table8[[#This Row],[Region_Code]])</f>
        <v>9358.0799999999981</v>
      </c>
      <c r="Q23">
        <f>AVERAGEIFS(I23:I522,F23:F522,Table8[[#This Row],[Category]],N23:N522,Table8[[#This Row],[Region_Code]])</f>
        <v>867.28552631578941</v>
      </c>
      <c r="R23">
        <f>AVERAGEIFS(K23:K522,F23:F522,Table8[[#This Row],[Category]],N23:N522,Table8[[#This Row],[Region_Code]])</f>
        <v>246.26526315789468</v>
      </c>
    </row>
    <row r="24" spans="1:18" x14ac:dyDescent="0.3">
      <c r="A24" t="s">
        <v>132</v>
      </c>
      <c r="B24" t="s">
        <v>133</v>
      </c>
      <c r="C24" t="s">
        <v>134</v>
      </c>
      <c r="D24" t="s">
        <v>116</v>
      </c>
      <c r="E24" t="s">
        <v>32</v>
      </c>
      <c r="F24" t="s">
        <v>23</v>
      </c>
      <c r="G24">
        <v>37</v>
      </c>
      <c r="H24">
        <v>24.14</v>
      </c>
      <c r="I24">
        <v>893.18</v>
      </c>
      <c r="J24">
        <v>31.39</v>
      </c>
      <c r="K24">
        <v>195.79</v>
      </c>
      <c r="L24" t="s">
        <v>33</v>
      </c>
      <c r="M24" t="s">
        <v>34</v>
      </c>
      <c r="N24" t="s">
        <v>76</v>
      </c>
      <c r="O24">
        <f>SUMIFS(I24:I523,F24:F523,Table8[[#This Row],[Category]],N24:N523,Table8[[#This Row],[Region_Code]])</f>
        <v>27483.840000000004</v>
      </c>
      <c r="P24" s="13">
        <f>SUMIFS(K24:K523,F24:F523,Table8[[#This Row],[Category]],N24:N523,Table8[[#This Row],[Region_Code]])</f>
        <v>7673.2000000000007</v>
      </c>
      <c r="Q24">
        <f>AVERAGEIFS(I24:I523,F24:F523,Table8[[#This Row],[Category]],N24:N523,Table8[[#This Row],[Region_Code]])</f>
        <v>886.5754838709679</v>
      </c>
      <c r="R24">
        <f>AVERAGEIFS(K24:K523,F24:F523,Table8[[#This Row],[Category]],N24:N523,Table8[[#This Row],[Region_Code]])</f>
        <v>247.52258064516133</v>
      </c>
    </row>
    <row r="25" spans="1:18" x14ac:dyDescent="0.3">
      <c r="A25" t="s">
        <v>135</v>
      </c>
      <c r="B25" t="s">
        <v>136</v>
      </c>
      <c r="C25" t="s">
        <v>54</v>
      </c>
      <c r="D25" t="s">
        <v>31</v>
      </c>
      <c r="E25" t="s">
        <v>137</v>
      </c>
      <c r="F25" t="s">
        <v>68</v>
      </c>
      <c r="G25">
        <v>39</v>
      </c>
      <c r="H25">
        <v>37.840000000000003</v>
      </c>
      <c r="I25">
        <v>1475.76</v>
      </c>
      <c r="J25">
        <v>73.400000000000006</v>
      </c>
      <c r="K25">
        <v>310.36</v>
      </c>
      <c r="L25" t="s">
        <v>33</v>
      </c>
      <c r="M25" t="s">
        <v>41</v>
      </c>
      <c r="N25" t="s">
        <v>35</v>
      </c>
      <c r="O25">
        <f>SUMIFS(I25:I524,F25:F524,Table8[[#This Row],[Category]],N25:N524,Table8[[#This Row],[Region_Code]])</f>
        <v>33591.379999999997</v>
      </c>
      <c r="P25" s="13">
        <f>SUMIFS(K25:K524,F25:F524,Table8[[#This Row],[Category]],N25:N524,Table8[[#This Row],[Region_Code]])</f>
        <v>9008.1200000000008</v>
      </c>
      <c r="Q25">
        <f>AVERAGEIFS(I25:I524,F25:F524,Table8[[#This Row],[Category]],N25:N524,Table8[[#This Row],[Region_Code]])</f>
        <v>781.19488372093019</v>
      </c>
      <c r="R25">
        <f>AVERAGEIFS(K25:K524,F25:F524,Table8[[#This Row],[Category]],N25:N524,Table8[[#This Row],[Region_Code]])</f>
        <v>209.4911627906977</v>
      </c>
    </row>
    <row r="26" spans="1:18" x14ac:dyDescent="0.3">
      <c r="A26" t="s">
        <v>138</v>
      </c>
      <c r="B26" t="s">
        <v>139</v>
      </c>
      <c r="C26" t="s">
        <v>140</v>
      </c>
      <c r="D26" t="s">
        <v>141</v>
      </c>
      <c r="E26" t="s">
        <v>56</v>
      </c>
      <c r="F26" t="s">
        <v>57</v>
      </c>
      <c r="G26">
        <v>6</v>
      </c>
      <c r="H26">
        <v>68.77</v>
      </c>
      <c r="I26">
        <v>412.62</v>
      </c>
      <c r="J26">
        <v>17.18</v>
      </c>
      <c r="K26">
        <v>155.44</v>
      </c>
      <c r="L26" t="s">
        <v>33</v>
      </c>
      <c r="M26" t="s">
        <v>25</v>
      </c>
      <c r="N26" t="s">
        <v>142</v>
      </c>
      <c r="O26">
        <f>SUMIFS(I26:I525,F26:F525,Table8[[#This Row],[Category]],N26:N525,Table8[[#This Row],[Region_Code]])</f>
        <v>6721.25</v>
      </c>
      <c r="P26" s="13">
        <f>SUMIFS(K26:K525,F26:F525,Table8[[#This Row],[Category]],N26:N525,Table8[[#This Row],[Region_Code]])</f>
        <v>2149.62</v>
      </c>
      <c r="Q26">
        <f>AVERAGEIFS(I26:I525,F26:F525,Table8[[#This Row],[Category]],N26:N525,Table8[[#This Row],[Region_Code]])</f>
        <v>1680.3125</v>
      </c>
      <c r="R26">
        <f>AVERAGEIFS(K26:K525,F26:F525,Table8[[#This Row],[Category]],N26:N525,Table8[[#This Row],[Region_Code]])</f>
        <v>537.40499999999997</v>
      </c>
    </row>
    <row r="27" spans="1:18" x14ac:dyDescent="0.3">
      <c r="A27" t="s">
        <v>143</v>
      </c>
      <c r="B27" t="s">
        <v>144</v>
      </c>
      <c r="C27" t="s">
        <v>145</v>
      </c>
      <c r="D27" t="s">
        <v>55</v>
      </c>
      <c r="E27" t="s">
        <v>86</v>
      </c>
      <c r="F27" t="s">
        <v>47</v>
      </c>
      <c r="G27">
        <v>6</v>
      </c>
      <c r="H27">
        <v>18.5</v>
      </c>
      <c r="I27">
        <v>111</v>
      </c>
      <c r="J27">
        <v>5.26</v>
      </c>
      <c r="K27">
        <v>29.24</v>
      </c>
      <c r="L27" t="s">
        <v>48</v>
      </c>
      <c r="M27" t="s">
        <v>34</v>
      </c>
      <c r="N27" t="s">
        <v>98</v>
      </c>
      <c r="O27">
        <f>SUMIFS(I27:I526,F27:F526,Table8[[#This Row],[Category]],N27:N526,Table8[[#This Row],[Region_Code]])</f>
        <v>22131.790000000005</v>
      </c>
      <c r="P27" s="13">
        <f>SUMIFS(K27:K526,F27:F526,Table8[[#This Row],[Category]],N27:N526,Table8[[#This Row],[Region_Code]])</f>
        <v>5470.48</v>
      </c>
      <c r="Q27">
        <f>AVERAGEIFS(I27:I526,F27:F526,Table8[[#This Row],[Category]],N27:N526,Table8[[#This Row],[Region_Code]])</f>
        <v>790.42107142857162</v>
      </c>
      <c r="R27">
        <f>AVERAGEIFS(K27:K526,F27:F526,Table8[[#This Row],[Category]],N27:N526,Table8[[#This Row],[Region_Code]])</f>
        <v>195.37428571428569</v>
      </c>
    </row>
    <row r="28" spans="1:18" x14ac:dyDescent="0.3">
      <c r="A28" t="s">
        <v>146</v>
      </c>
      <c r="B28" t="s">
        <v>147</v>
      </c>
      <c r="C28" t="s">
        <v>148</v>
      </c>
      <c r="D28" t="s">
        <v>37</v>
      </c>
      <c r="E28" t="s">
        <v>67</v>
      </c>
      <c r="F28" t="s">
        <v>68</v>
      </c>
      <c r="G28">
        <v>33</v>
      </c>
      <c r="H28">
        <v>28.96</v>
      </c>
      <c r="I28">
        <v>955.68</v>
      </c>
      <c r="J28">
        <v>49.07</v>
      </c>
      <c r="K28">
        <v>164.11</v>
      </c>
      <c r="L28" t="s">
        <v>33</v>
      </c>
      <c r="M28" t="s">
        <v>25</v>
      </c>
      <c r="N28" t="s">
        <v>35</v>
      </c>
      <c r="O28">
        <f>SUMIFS(I28:I527,F28:F527,Table8[[#This Row],[Category]],N28:N527,Table8[[#This Row],[Region_Code]])</f>
        <v>32115.619999999995</v>
      </c>
      <c r="P28" s="13">
        <f>SUMIFS(K28:K527,F28:F527,Table8[[#This Row],[Category]],N28:N527,Table8[[#This Row],[Region_Code]])</f>
        <v>8697.760000000002</v>
      </c>
      <c r="Q28">
        <f>AVERAGEIFS(I28:I527,F28:F527,Table8[[#This Row],[Category]],N28:N527,Table8[[#This Row],[Region_Code]])</f>
        <v>764.65761904761894</v>
      </c>
      <c r="R28">
        <f>AVERAGEIFS(K28:K527,F28:F527,Table8[[#This Row],[Category]],N28:N527,Table8[[#This Row],[Region_Code]])</f>
        <v>207.08952380952385</v>
      </c>
    </row>
    <row r="29" spans="1:18" x14ac:dyDescent="0.3">
      <c r="A29" t="s">
        <v>149</v>
      </c>
      <c r="B29" t="s">
        <v>150</v>
      </c>
      <c r="C29" t="s">
        <v>151</v>
      </c>
      <c r="D29" t="s">
        <v>55</v>
      </c>
      <c r="E29" t="s">
        <v>67</v>
      </c>
      <c r="F29" t="s">
        <v>68</v>
      </c>
      <c r="G29">
        <v>31</v>
      </c>
      <c r="H29">
        <v>35.020000000000003</v>
      </c>
      <c r="I29">
        <v>1085.6199999999999</v>
      </c>
      <c r="J29">
        <v>74.650000000000006</v>
      </c>
      <c r="K29">
        <v>313.47000000000003</v>
      </c>
      <c r="L29" t="s">
        <v>48</v>
      </c>
      <c r="M29" t="s">
        <v>25</v>
      </c>
      <c r="N29" t="s">
        <v>98</v>
      </c>
      <c r="O29">
        <f>SUMIFS(I29:I528,F29:F528,Table8[[#This Row],[Category]],N29:N528,Table8[[#This Row],[Region_Code]])</f>
        <v>25774.230000000003</v>
      </c>
      <c r="P29" s="13">
        <f>SUMIFS(K29:K528,F29:F528,Table8[[#This Row],[Category]],N29:N528,Table8[[#This Row],[Region_Code]])</f>
        <v>7605.800000000002</v>
      </c>
      <c r="Q29">
        <f>AVERAGEIFS(I29:I528,F29:F528,Table8[[#This Row],[Category]],N29:N528,Table8[[#This Row],[Region_Code]])</f>
        <v>991.31653846153858</v>
      </c>
      <c r="R29">
        <f>AVERAGEIFS(K29:K528,F29:F528,Table8[[#This Row],[Category]],N29:N528,Table8[[#This Row],[Region_Code]])</f>
        <v>292.53076923076929</v>
      </c>
    </row>
    <row r="30" spans="1:18" x14ac:dyDescent="0.3">
      <c r="A30" t="s">
        <v>152</v>
      </c>
      <c r="B30" t="s">
        <v>153</v>
      </c>
      <c r="C30" t="s">
        <v>154</v>
      </c>
      <c r="D30" t="s">
        <v>55</v>
      </c>
      <c r="E30" t="s">
        <v>63</v>
      </c>
      <c r="F30" t="s">
        <v>47</v>
      </c>
      <c r="G30">
        <v>25</v>
      </c>
      <c r="H30">
        <v>31.57</v>
      </c>
      <c r="I30">
        <v>789.25</v>
      </c>
      <c r="J30">
        <v>56.47</v>
      </c>
      <c r="K30">
        <v>232.78</v>
      </c>
      <c r="L30" t="s">
        <v>33</v>
      </c>
      <c r="M30" t="s">
        <v>34</v>
      </c>
      <c r="N30" t="s">
        <v>98</v>
      </c>
      <c r="O30">
        <f>SUMIFS(I30:I529,F30:F529,Table8[[#This Row],[Category]],N30:N529,Table8[[#This Row],[Region_Code]])</f>
        <v>22020.790000000005</v>
      </c>
      <c r="P30" s="13">
        <f>SUMIFS(K30:K529,F30:F529,Table8[[#This Row],[Category]],N30:N529,Table8[[#This Row],[Region_Code]])</f>
        <v>5441.24</v>
      </c>
      <c r="Q30">
        <f>AVERAGEIFS(I30:I529,F30:F529,Table8[[#This Row],[Category]],N30:N529,Table8[[#This Row],[Region_Code]])</f>
        <v>815.58481481481499</v>
      </c>
      <c r="R30">
        <f>AVERAGEIFS(K30:K529,F30:F529,Table8[[#This Row],[Category]],N30:N529,Table8[[#This Row],[Region_Code]])</f>
        <v>201.5274074074074</v>
      </c>
    </row>
    <row r="31" spans="1:18" x14ac:dyDescent="0.3">
      <c r="A31" t="s">
        <v>155</v>
      </c>
      <c r="B31" t="s">
        <v>156</v>
      </c>
      <c r="C31" t="s">
        <v>157</v>
      </c>
      <c r="D31" t="s">
        <v>37</v>
      </c>
      <c r="E31" t="s">
        <v>81</v>
      </c>
      <c r="F31" t="s">
        <v>68</v>
      </c>
      <c r="G31">
        <v>14</v>
      </c>
      <c r="H31">
        <v>27.08</v>
      </c>
      <c r="I31">
        <v>379.12</v>
      </c>
      <c r="J31">
        <v>11.12</v>
      </c>
      <c r="K31">
        <v>151</v>
      </c>
      <c r="L31" t="s">
        <v>33</v>
      </c>
      <c r="M31" t="s">
        <v>41</v>
      </c>
      <c r="N31" t="s">
        <v>35</v>
      </c>
      <c r="O31">
        <f>SUMIFS(I31:I530,F31:F530,Table8[[#This Row],[Category]],N31:N530,Table8[[#This Row],[Region_Code]])</f>
        <v>31159.939999999995</v>
      </c>
      <c r="P31" s="13">
        <f>SUMIFS(K31:K530,F31:F530,Table8[[#This Row],[Category]],N31:N530,Table8[[#This Row],[Region_Code]])</f>
        <v>8533.6500000000015</v>
      </c>
      <c r="Q31">
        <f>AVERAGEIFS(I31:I530,F31:F530,Table8[[#This Row],[Category]],N31:N530,Table8[[#This Row],[Region_Code]])</f>
        <v>759.99853658536574</v>
      </c>
      <c r="R31">
        <f>AVERAGEIFS(K31:K530,F31:F530,Table8[[#This Row],[Category]],N31:N530,Table8[[#This Row],[Region_Code]])</f>
        <v>208.13780487804883</v>
      </c>
    </row>
    <row r="32" spans="1:18" x14ac:dyDescent="0.3">
      <c r="A32" t="s">
        <v>158</v>
      </c>
      <c r="B32" t="s">
        <v>159</v>
      </c>
      <c r="C32" t="s">
        <v>44</v>
      </c>
      <c r="D32" t="s">
        <v>37</v>
      </c>
      <c r="E32" t="s">
        <v>137</v>
      </c>
      <c r="F32" t="s">
        <v>68</v>
      </c>
      <c r="G32">
        <v>39</v>
      </c>
      <c r="H32">
        <v>35.32</v>
      </c>
      <c r="I32">
        <v>1377.48</v>
      </c>
      <c r="J32">
        <v>63.72</v>
      </c>
      <c r="K32">
        <v>221.76</v>
      </c>
      <c r="L32" t="s">
        <v>33</v>
      </c>
      <c r="M32" t="s">
        <v>34</v>
      </c>
      <c r="N32" t="s">
        <v>35</v>
      </c>
      <c r="O32">
        <f>SUMIFS(I32:I531,F32:F531,Table8[[#This Row],[Category]],N32:N531,Table8[[#This Row],[Region_Code]])</f>
        <v>30780.82</v>
      </c>
      <c r="P32" s="13">
        <f>SUMIFS(K32:K531,F32:F531,Table8[[#This Row],[Category]],N32:N531,Table8[[#This Row],[Region_Code]])</f>
        <v>8382.65</v>
      </c>
      <c r="Q32">
        <f>AVERAGEIFS(I32:I531,F32:F531,Table8[[#This Row],[Category]],N32:N531,Table8[[#This Row],[Region_Code]])</f>
        <v>769.52049999999997</v>
      </c>
      <c r="R32">
        <f>AVERAGEIFS(K32:K531,F32:F531,Table8[[#This Row],[Category]],N32:N531,Table8[[#This Row],[Region_Code]])</f>
        <v>209.56625</v>
      </c>
    </row>
    <row r="33" spans="1:18" x14ac:dyDescent="0.3">
      <c r="A33" t="s">
        <v>160</v>
      </c>
      <c r="B33" t="s">
        <v>161</v>
      </c>
      <c r="C33" t="s">
        <v>162</v>
      </c>
      <c r="D33" t="s">
        <v>51</v>
      </c>
      <c r="E33" t="s">
        <v>67</v>
      </c>
      <c r="F33" t="s">
        <v>68</v>
      </c>
      <c r="G33">
        <v>6</v>
      </c>
      <c r="H33">
        <v>39.630000000000003</v>
      </c>
      <c r="I33">
        <v>237.78</v>
      </c>
      <c r="J33">
        <v>8.08</v>
      </c>
      <c r="K33">
        <v>94.7</v>
      </c>
      <c r="L33" t="s">
        <v>24</v>
      </c>
      <c r="M33" t="s">
        <v>41</v>
      </c>
      <c r="N33" t="s">
        <v>76</v>
      </c>
      <c r="O33">
        <f>SUMIFS(I33:I532,F33:F532,Table8[[#This Row],[Category]],N33:N532,Table8[[#This Row],[Region_Code]])</f>
        <v>51860.89</v>
      </c>
      <c r="P33" s="13">
        <f>SUMIFS(K33:K532,F33:F532,Table8[[#This Row],[Category]],N33:N532,Table8[[#This Row],[Region_Code]])</f>
        <v>14439.739999999996</v>
      </c>
      <c r="Q33">
        <f>AVERAGEIFS(I33:I532,F33:F532,Table8[[#This Row],[Category]],N33:N532,Table8[[#This Row],[Region_Code]])</f>
        <v>894.15327586206899</v>
      </c>
      <c r="R33">
        <f>AVERAGEIFS(K33:K532,F33:F532,Table8[[#This Row],[Category]],N33:N532,Table8[[#This Row],[Region_Code]])</f>
        <v>248.96103448275855</v>
      </c>
    </row>
    <row r="34" spans="1:18" x14ac:dyDescent="0.3">
      <c r="A34" t="s">
        <v>163</v>
      </c>
      <c r="B34" t="s">
        <v>164</v>
      </c>
      <c r="C34" t="s">
        <v>165</v>
      </c>
      <c r="D34" t="s">
        <v>141</v>
      </c>
      <c r="E34" t="s">
        <v>56</v>
      </c>
      <c r="F34" t="s">
        <v>57</v>
      </c>
      <c r="G34">
        <v>36</v>
      </c>
      <c r="H34">
        <v>68.400000000000006</v>
      </c>
      <c r="I34">
        <v>2462.4</v>
      </c>
      <c r="J34">
        <v>150.83000000000001</v>
      </c>
      <c r="K34">
        <v>871.57</v>
      </c>
      <c r="L34" t="s">
        <v>33</v>
      </c>
      <c r="M34" t="s">
        <v>25</v>
      </c>
      <c r="N34" t="s">
        <v>142</v>
      </c>
      <c r="O34">
        <f>SUMIFS(I34:I533,F34:F533,Table8[[#This Row],[Category]],N34:N533,Table8[[#This Row],[Region_Code]])</f>
        <v>6308.63</v>
      </c>
      <c r="P34" s="13">
        <f>SUMIFS(K34:K533,F34:F533,Table8[[#This Row],[Category]],N34:N533,Table8[[#This Row],[Region_Code]])</f>
        <v>1994.18</v>
      </c>
      <c r="Q34">
        <f>AVERAGEIFS(I34:I533,F34:F533,Table8[[#This Row],[Category]],N34:N533,Table8[[#This Row],[Region_Code]])</f>
        <v>2102.8766666666666</v>
      </c>
      <c r="R34">
        <f>AVERAGEIFS(K34:K533,F34:F533,Table8[[#This Row],[Category]],N34:N533,Table8[[#This Row],[Region_Code]])</f>
        <v>664.72666666666669</v>
      </c>
    </row>
    <row r="35" spans="1:18" x14ac:dyDescent="0.3">
      <c r="A35" t="s">
        <v>166</v>
      </c>
      <c r="B35" t="s">
        <v>167</v>
      </c>
      <c r="C35" t="s">
        <v>126</v>
      </c>
      <c r="D35" t="s">
        <v>37</v>
      </c>
      <c r="E35" t="s">
        <v>74</v>
      </c>
      <c r="F35" t="s">
        <v>75</v>
      </c>
      <c r="G35">
        <v>1</v>
      </c>
      <c r="H35">
        <v>44.98</v>
      </c>
      <c r="I35">
        <v>44.98</v>
      </c>
      <c r="J35">
        <v>2.81</v>
      </c>
      <c r="K35">
        <v>17.170000000000002</v>
      </c>
      <c r="L35" t="s">
        <v>33</v>
      </c>
      <c r="M35" t="s">
        <v>34</v>
      </c>
      <c r="N35" t="s">
        <v>35</v>
      </c>
      <c r="O35">
        <f>SUMIFS(I35:I534,F35:F534,Table8[[#This Row],[Category]],N35:N534,Table8[[#This Row],[Region_Code]])</f>
        <v>12976.699999999999</v>
      </c>
      <c r="P35" s="13">
        <f>SUMIFS(K35:K534,F35:F534,Table8[[#This Row],[Category]],N35:N534,Table8[[#This Row],[Region_Code]])</f>
        <v>3332.1200000000003</v>
      </c>
      <c r="Q35">
        <f>AVERAGEIFS(I35:I534,F35:F534,Table8[[#This Row],[Category]],N35:N534,Table8[[#This Row],[Region_Code]])</f>
        <v>865.11333333333323</v>
      </c>
      <c r="R35">
        <f>AVERAGEIFS(K35:K534,F35:F534,Table8[[#This Row],[Category]],N35:N534,Table8[[#This Row],[Region_Code]])</f>
        <v>222.14133333333336</v>
      </c>
    </row>
    <row r="36" spans="1:18" x14ac:dyDescent="0.3">
      <c r="A36" t="s">
        <v>168</v>
      </c>
      <c r="B36" t="s">
        <v>169</v>
      </c>
      <c r="C36" t="s">
        <v>170</v>
      </c>
      <c r="D36" t="s">
        <v>171</v>
      </c>
      <c r="E36" t="s">
        <v>137</v>
      </c>
      <c r="F36" t="s">
        <v>68</v>
      </c>
      <c r="G36">
        <v>3</v>
      </c>
      <c r="H36">
        <v>37.74</v>
      </c>
      <c r="I36">
        <v>113.22</v>
      </c>
      <c r="J36">
        <v>4.04</v>
      </c>
      <c r="K36">
        <v>25.18</v>
      </c>
      <c r="L36" t="s">
        <v>33</v>
      </c>
      <c r="M36" t="s">
        <v>34</v>
      </c>
      <c r="N36" t="s">
        <v>35</v>
      </c>
      <c r="O36">
        <f>SUMIFS(I36:I535,F36:F535,Table8[[#This Row],[Category]],N36:N535,Table8[[#This Row],[Region_Code]])</f>
        <v>29403.339999999997</v>
      </c>
      <c r="P36" s="13">
        <f>SUMIFS(K36:K535,F36:F535,Table8[[#This Row],[Category]],N36:N535,Table8[[#This Row],[Region_Code]])</f>
        <v>8160.89</v>
      </c>
      <c r="Q36">
        <f>AVERAGEIFS(I36:I535,F36:F535,Table8[[#This Row],[Category]],N36:N535,Table8[[#This Row],[Region_Code]])</f>
        <v>753.93179487179475</v>
      </c>
      <c r="R36">
        <f>AVERAGEIFS(K36:K535,F36:F535,Table8[[#This Row],[Category]],N36:N535,Table8[[#This Row],[Region_Code]])</f>
        <v>209.25358974358974</v>
      </c>
    </row>
    <row r="37" spans="1:18" x14ac:dyDescent="0.3">
      <c r="A37" t="s">
        <v>172</v>
      </c>
      <c r="B37" t="s">
        <v>173</v>
      </c>
      <c r="C37" t="s">
        <v>174</v>
      </c>
      <c r="D37" t="s">
        <v>171</v>
      </c>
      <c r="E37" t="s">
        <v>74</v>
      </c>
      <c r="F37" t="s">
        <v>75</v>
      </c>
      <c r="G37">
        <v>12</v>
      </c>
      <c r="H37">
        <v>39.799999999999997</v>
      </c>
      <c r="I37">
        <v>477.6</v>
      </c>
      <c r="J37">
        <v>20.54</v>
      </c>
      <c r="K37">
        <v>157.06</v>
      </c>
      <c r="L37" t="s">
        <v>48</v>
      </c>
      <c r="M37" t="s">
        <v>34</v>
      </c>
      <c r="N37" t="s">
        <v>35</v>
      </c>
      <c r="O37">
        <f>SUMIFS(I37:I536,F37:F536,Table8[[#This Row],[Category]],N37:N536,Table8[[#This Row],[Region_Code]])</f>
        <v>12931.72</v>
      </c>
      <c r="P37" s="13">
        <f>SUMIFS(K37:K536,F37:F536,Table8[[#This Row],[Category]],N37:N536,Table8[[#This Row],[Region_Code]])</f>
        <v>3314.9500000000003</v>
      </c>
      <c r="Q37">
        <f>AVERAGEIFS(I37:I536,F37:F536,Table8[[#This Row],[Category]],N37:N536,Table8[[#This Row],[Region_Code]])</f>
        <v>923.69428571428568</v>
      </c>
      <c r="R37">
        <f>AVERAGEIFS(K37:K536,F37:F536,Table8[[#This Row],[Category]],N37:N536,Table8[[#This Row],[Region_Code]])</f>
        <v>236.78214285714287</v>
      </c>
    </row>
    <row r="38" spans="1:18" x14ac:dyDescent="0.3">
      <c r="A38" t="s">
        <v>175</v>
      </c>
      <c r="B38" t="s">
        <v>176</v>
      </c>
      <c r="C38" t="s">
        <v>177</v>
      </c>
      <c r="D38" t="s">
        <v>51</v>
      </c>
      <c r="E38" t="s">
        <v>46</v>
      </c>
      <c r="F38" t="s">
        <v>47</v>
      </c>
      <c r="G38">
        <v>26</v>
      </c>
      <c r="H38">
        <v>43.23</v>
      </c>
      <c r="I38">
        <v>1123.98</v>
      </c>
      <c r="J38">
        <v>57.2</v>
      </c>
      <c r="K38">
        <v>234.78</v>
      </c>
      <c r="L38" t="s">
        <v>33</v>
      </c>
      <c r="M38" t="s">
        <v>41</v>
      </c>
      <c r="N38" t="s">
        <v>76</v>
      </c>
      <c r="O38">
        <f>SUMIFS(I38:I537,F38:F537,Table8[[#This Row],[Category]],N38:N537,Table8[[#This Row],[Region_Code]])</f>
        <v>32763.83</v>
      </c>
      <c r="P38" s="13">
        <f>SUMIFS(K38:K537,F38:F537,Table8[[#This Row],[Category]],N38:N537,Table8[[#This Row],[Region_Code]])</f>
        <v>9299.5099999999984</v>
      </c>
      <c r="Q38">
        <f>AVERAGEIFS(I38:I537,F38:F537,Table8[[#This Row],[Category]],N38:N537,Table8[[#This Row],[Region_Code]])</f>
        <v>885.50891891891899</v>
      </c>
      <c r="R38">
        <f>AVERAGEIFS(K38:K537,F38:F537,Table8[[#This Row],[Category]],N38:N537,Table8[[#This Row],[Region_Code]])</f>
        <v>251.33810810810806</v>
      </c>
    </row>
    <row r="39" spans="1:18" x14ac:dyDescent="0.3">
      <c r="A39" t="s">
        <v>178</v>
      </c>
      <c r="B39" t="s">
        <v>179</v>
      </c>
      <c r="C39" t="s">
        <v>44</v>
      </c>
      <c r="D39" t="s">
        <v>37</v>
      </c>
      <c r="E39" t="s">
        <v>56</v>
      </c>
      <c r="F39" t="s">
        <v>57</v>
      </c>
      <c r="G39">
        <v>17</v>
      </c>
      <c r="H39">
        <v>66.34</v>
      </c>
      <c r="I39">
        <v>1127.78</v>
      </c>
      <c r="J39">
        <v>81.150000000000006</v>
      </c>
      <c r="K39">
        <v>366.63</v>
      </c>
      <c r="L39" t="s">
        <v>33</v>
      </c>
      <c r="M39" t="s">
        <v>41</v>
      </c>
      <c r="N39" t="s">
        <v>35</v>
      </c>
      <c r="O39">
        <f>SUMIFS(I39:I538,F39:F538,Table8[[#This Row],[Category]],N39:N538,Table8[[#This Row],[Region_Code]])</f>
        <v>11433.35</v>
      </c>
      <c r="P39" s="13">
        <f>SUMIFS(K39:K538,F39:F538,Table8[[#This Row],[Category]],N39:N538,Table8[[#This Row],[Region_Code]])</f>
        <v>3735.35</v>
      </c>
      <c r="Q39">
        <f>AVERAGEIFS(I39:I538,F39:F538,Table8[[#This Row],[Category]],N39:N538,Table8[[#This Row],[Region_Code]])</f>
        <v>1270.3722222222223</v>
      </c>
      <c r="R39">
        <f>AVERAGEIFS(K39:K538,F39:F538,Table8[[#This Row],[Category]],N39:N538,Table8[[#This Row],[Region_Code]])</f>
        <v>415.03888888888889</v>
      </c>
    </row>
    <row r="40" spans="1:18" x14ac:dyDescent="0.3">
      <c r="A40" t="s">
        <v>180</v>
      </c>
      <c r="B40" t="s">
        <v>181</v>
      </c>
      <c r="C40" t="s">
        <v>182</v>
      </c>
      <c r="D40" t="s">
        <v>116</v>
      </c>
      <c r="E40" t="s">
        <v>74</v>
      </c>
      <c r="F40" t="s">
        <v>75</v>
      </c>
      <c r="G40">
        <v>4</v>
      </c>
      <c r="H40">
        <v>33.869999999999997</v>
      </c>
      <c r="I40">
        <v>135.47999999999999</v>
      </c>
      <c r="J40">
        <v>6.59</v>
      </c>
      <c r="K40">
        <v>28.89</v>
      </c>
      <c r="L40" t="s">
        <v>24</v>
      </c>
      <c r="M40" t="s">
        <v>41</v>
      </c>
      <c r="N40" t="s">
        <v>76</v>
      </c>
      <c r="O40">
        <f>SUMIFS(I40:I539,F40:F539,Table8[[#This Row],[Category]],N40:N539,Table8[[#This Row],[Region_Code]])</f>
        <v>20277.39</v>
      </c>
      <c r="P40" s="13">
        <f>SUMIFS(K40:K539,F40:F539,Table8[[#This Row],[Category]],N40:N539,Table8[[#This Row],[Region_Code]])</f>
        <v>5541.6100000000006</v>
      </c>
      <c r="Q40">
        <f>AVERAGEIFS(I40:I539,F40:F539,Table8[[#This Row],[Category]],N40:N539,Table8[[#This Row],[Region_Code]])</f>
        <v>844.89125000000001</v>
      </c>
      <c r="R40">
        <f>AVERAGEIFS(K40:K539,F40:F539,Table8[[#This Row],[Category]],N40:N539,Table8[[#This Row],[Region_Code]])</f>
        <v>230.9004166666667</v>
      </c>
    </row>
    <row r="41" spans="1:18" x14ac:dyDescent="0.3">
      <c r="A41" t="s">
        <v>183</v>
      </c>
      <c r="B41" t="s">
        <v>184</v>
      </c>
      <c r="C41" t="s">
        <v>185</v>
      </c>
      <c r="D41" t="s">
        <v>37</v>
      </c>
      <c r="E41" t="s">
        <v>56</v>
      </c>
      <c r="F41" t="s">
        <v>57</v>
      </c>
      <c r="G41">
        <v>10</v>
      </c>
      <c r="H41">
        <v>64.650000000000006</v>
      </c>
      <c r="I41">
        <v>646.5</v>
      </c>
      <c r="J41">
        <v>17.89</v>
      </c>
      <c r="K41">
        <v>228.61</v>
      </c>
      <c r="L41" t="s">
        <v>48</v>
      </c>
      <c r="M41" t="s">
        <v>25</v>
      </c>
      <c r="N41" t="s">
        <v>35</v>
      </c>
      <c r="O41">
        <f>SUMIFS(I41:I540,F41:F540,Table8[[#This Row],[Category]],N41:N540,Table8[[#This Row],[Region_Code]])</f>
        <v>10305.570000000002</v>
      </c>
      <c r="P41" s="13">
        <f>SUMIFS(K41:K540,F41:F540,Table8[[#This Row],[Category]],N41:N540,Table8[[#This Row],[Region_Code]])</f>
        <v>3368.72</v>
      </c>
      <c r="Q41">
        <f>AVERAGEIFS(I41:I540,F41:F540,Table8[[#This Row],[Category]],N41:N540,Table8[[#This Row],[Region_Code]])</f>
        <v>1288.1962500000002</v>
      </c>
      <c r="R41">
        <f>AVERAGEIFS(K41:K540,F41:F540,Table8[[#This Row],[Category]],N41:N540,Table8[[#This Row],[Region_Code]])</f>
        <v>421.09</v>
      </c>
    </row>
    <row r="42" spans="1:18" x14ac:dyDescent="0.3">
      <c r="A42" t="s">
        <v>186</v>
      </c>
      <c r="B42" t="s">
        <v>187</v>
      </c>
      <c r="C42" t="s">
        <v>188</v>
      </c>
      <c r="D42" t="s">
        <v>141</v>
      </c>
      <c r="E42" t="s">
        <v>67</v>
      </c>
      <c r="F42" t="s">
        <v>68</v>
      </c>
      <c r="G42">
        <v>12</v>
      </c>
      <c r="H42">
        <v>29.56</v>
      </c>
      <c r="I42">
        <v>354.72</v>
      </c>
      <c r="J42">
        <v>21.4</v>
      </c>
      <c r="K42">
        <v>63.32</v>
      </c>
      <c r="L42" t="s">
        <v>33</v>
      </c>
      <c r="M42" t="s">
        <v>25</v>
      </c>
      <c r="N42" t="s">
        <v>142</v>
      </c>
      <c r="O42">
        <f>SUMIFS(I42:I541,F42:F541,Table8[[#This Row],[Category]],N42:N541,Table8[[#This Row],[Region_Code]])</f>
        <v>8364.44</v>
      </c>
      <c r="P42" s="13">
        <f>SUMIFS(K42:K541,F42:F541,Table8[[#This Row],[Category]],N42:N541,Table8[[#This Row],[Region_Code]])</f>
        <v>2435.5899999999997</v>
      </c>
      <c r="Q42">
        <f>AVERAGEIFS(I42:I541,F42:F541,Table8[[#This Row],[Category]],N42:N541,Table8[[#This Row],[Region_Code]])</f>
        <v>760.40363636363645</v>
      </c>
      <c r="R42">
        <f>AVERAGEIFS(K42:K541,F42:F541,Table8[[#This Row],[Category]],N42:N541,Table8[[#This Row],[Region_Code]])</f>
        <v>221.41727272727269</v>
      </c>
    </row>
    <row r="43" spans="1:18" x14ac:dyDescent="0.3">
      <c r="A43" t="s">
        <v>189</v>
      </c>
      <c r="B43" t="s">
        <v>190</v>
      </c>
      <c r="C43" t="s">
        <v>191</v>
      </c>
      <c r="D43" t="s">
        <v>21</v>
      </c>
      <c r="E43" t="s">
        <v>74</v>
      </c>
      <c r="F43" t="s">
        <v>75</v>
      </c>
      <c r="G43">
        <v>4</v>
      </c>
      <c r="H43">
        <v>35.36</v>
      </c>
      <c r="I43">
        <v>141.44</v>
      </c>
      <c r="J43">
        <v>8.66</v>
      </c>
      <c r="K43">
        <v>32.78</v>
      </c>
      <c r="L43" t="s">
        <v>48</v>
      </c>
      <c r="M43" t="s">
        <v>34</v>
      </c>
      <c r="N43" t="s">
        <v>98</v>
      </c>
      <c r="O43">
        <f>SUMIFS(I43:I542,F43:F542,Table8[[#This Row],[Category]],N43:N542,Table8[[#This Row],[Region_Code]])</f>
        <v>3820.0600000000004</v>
      </c>
      <c r="P43" s="13">
        <f>SUMIFS(K43:K542,F43:F542,Table8[[#This Row],[Category]],N43:N542,Table8[[#This Row],[Region_Code]])</f>
        <v>828.0200000000001</v>
      </c>
      <c r="Q43">
        <f>AVERAGEIFS(I43:I542,F43:F542,Table8[[#This Row],[Category]],N43:N542,Table8[[#This Row],[Region_Code]])</f>
        <v>636.67666666666673</v>
      </c>
      <c r="R43">
        <f>AVERAGEIFS(K43:K542,F43:F542,Table8[[#This Row],[Category]],N43:N542,Table8[[#This Row],[Region_Code]])</f>
        <v>138.00333333333336</v>
      </c>
    </row>
    <row r="44" spans="1:18" x14ac:dyDescent="0.3">
      <c r="A44" t="s">
        <v>192</v>
      </c>
      <c r="B44" t="s">
        <v>193</v>
      </c>
      <c r="C44" t="s">
        <v>194</v>
      </c>
      <c r="D44" t="s">
        <v>37</v>
      </c>
      <c r="E44" t="s">
        <v>63</v>
      </c>
      <c r="F44" t="s">
        <v>47</v>
      </c>
      <c r="G44">
        <v>28</v>
      </c>
      <c r="H44">
        <v>31.42</v>
      </c>
      <c r="I44">
        <v>879.76</v>
      </c>
      <c r="J44">
        <v>69.319999999999993</v>
      </c>
      <c r="K44">
        <v>250.44</v>
      </c>
      <c r="L44" t="s">
        <v>24</v>
      </c>
      <c r="M44" t="s">
        <v>41</v>
      </c>
      <c r="N44" t="s">
        <v>35</v>
      </c>
      <c r="O44">
        <f>SUMIFS(I44:I543,F44:F543,Table8[[#This Row],[Category]],N44:N543,Table8[[#This Row],[Region_Code]])</f>
        <v>24573.690000000002</v>
      </c>
      <c r="P44" s="13">
        <f>SUMIFS(K44:K543,F44:F543,Table8[[#This Row],[Category]],N44:N543,Table8[[#This Row],[Region_Code]])</f>
        <v>7318.71</v>
      </c>
      <c r="Q44">
        <f>AVERAGEIFS(I44:I543,F44:F543,Table8[[#This Row],[Category]],N44:N543,Table8[[#This Row],[Region_Code]])</f>
        <v>702.10542857142866</v>
      </c>
      <c r="R44">
        <f>AVERAGEIFS(K44:K543,F44:F543,Table8[[#This Row],[Category]],N44:N543,Table8[[#This Row],[Region_Code]])</f>
        <v>209.10599999999999</v>
      </c>
    </row>
    <row r="45" spans="1:18" x14ac:dyDescent="0.3">
      <c r="A45" t="s">
        <v>195</v>
      </c>
      <c r="B45" t="s">
        <v>196</v>
      </c>
      <c r="C45" t="s">
        <v>197</v>
      </c>
      <c r="D45" t="s">
        <v>21</v>
      </c>
      <c r="E45" t="s">
        <v>22</v>
      </c>
      <c r="F45" t="s">
        <v>23</v>
      </c>
      <c r="G45">
        <v>35</v>
      </c>
      <c r="H45">
        <v>55.12</v>
      </c>
      <c r="I45">
        <v>1929.2</v>
      </c>
      <c r="J45">
        <v>58.22</v>
      </c>
      <c r="K45">
        <v>645.98</v>
      </c>
      <c r="L45" t="s">
        <v>24</v>
      </c>
      <c r="M45" t="s">
        <v>25</v>
      </c>
      <c r="N45" t="s">
        <v>98</v>
      </c>
      <c r="O45">
        <f>SUMIFS(I45:I544,F45:F544,Table8[[#This Row],[Category]],N45:N544,Table8[[#This Row],[Region_Code]])</f>
        <v>22975.309999999998</v>
      </c>
      <c r="P45" s="13">
        <f>SUMIFS(K45:K544,F45:F544,Table8[[#This Row],[Category]],N45:N544,Table8[[#This Row],[Region_Code]])</f>
        <v>6226.53</v>
      </c>
      <c r="Q45">
        <f>AVERAGEIFS(I45:I544,F45:F544,Table8[[#This Row],[Category]],N45:N544,Table8[[#This Row],[Region_Code]])</f>
        <v>1209.2268421052631</v>
      </c>
      <c r="R45">
        <f>AVERAGEIFS(K45:K544,F45:F544,Table8[[#This Row],[Category]],N45:N544,Table8[[#This Row],[Region_Code]])</f>
        <v>327.71210526315787</v>
      </c>
    </row>
    <row r="46" spans="1:18" x14ac:dyDescent="0.3">
      <c r="A46" t="s">
        <v>198</v>
      </c>
      <c r="B46" t="s">
        <v>199</v>
      </c>
      <c r="C46" t="s">
        <v>200</v>
      </c>
      <c r="D46" t="s">
        <v>123</v>
      </c>
      <c r="E46" t="s">
        <v>67</v>
      </c>
      <c r="F46" t="s">
        <v>68</v>
      </c>
      <c r="G46">
        <v>41</v>
      </c>
      <c r="H46">
        <v>33.94</v>
      </c>
      <c r="I46">
        <v>1391.54</v>
      </c>
      <c r="J46">
        <v>33.26</v>
      </c>
      <c r="K46">
        <v>435.78</v>
      </c>
      <c r="L46" t="s">
        <v>24</v>
      </c>
      <c r="M46" t="s">
        <v>41</v>
      </c>
      <c r="N46" t="s">
        <v>76</v>
      </c>
      <c r="O46">
        <f>SUMIFS(I46:I545,F46:F545,Table8[[#This Row],[Category]],N46:N545,Table8[[#This Row],[Region_Code]])</f>
        <v>51623.11</v>
      </c>
      <c r="P46" s="13">
        <f>SUMIFS(K46:K545,F46:F545,Table8[[#This Row],[Category]],N46:N545,Table8[[#This Row],[Region_Code]])</f>
        <v>14345.039999999995</v>
      </c>
      <c r="Q46">
        <f>AVERAGEIFS(I46:I545,F46:F545,Table8[[#This Row],[Category]],N46:N545,Table8[[#This Row],[Region_Code]])</f>
        <v>905.66859649122807</v>
      </c>
      <c r="R46">
        <f>AVERAGEIFS(K46:K545,F46:F545,Table8[[#This Row],[Category]],N46:N545,Table8[[#This Row],[Region_Code]])</f>
        <v>251.66736842105254</v>
      </c>
    </row>
    <row r="47" spans="1:18" x14ac:dyDescent="0.3">
      <c r="A47" t="s">
        <v>201</v>
      </c>
      <c r="B47" t="s">
        <v>107</v>
      </c>
      <c r="C47" t="s">
        <v>119</v>
      </c>
      <c r="D47" t="s">
        <v>116</v>
      </c>
      <c r="E47" t="s">
        <v>67</v>
      </c>
      <c r="F47" t="s">
        <v>68</v>
      </c>
      <c r="G47">
        <v>20</v>
      </c>
      <c r="H47">
        <v>38.43</v>
      </c>
      <c r="I47">
        <v>768.6</v>
      </c>
      <c r="J47">
        <v>60.07</v>
      </c>
      <c r="K47">
        <v>258.52999999999997</v>
      </c>
      <c r="L47" t="s">
        <v>48</v>
      </c>
      <c r="M47" t="s">
        <v>41</v>
      </c>
      <c r="N47" t="s">
        <v>76</v>
      </c>
      <c r="O47">
        <f>SUMIFS(I47:I546,F47:F546,Table8[[#This Row],[Category]],N47:N546,Table8[[#This Row],[Region_Code]])</f>
        <v>50231.57</v>
      </c>
      <c r="P47" s="13">
        <f>SUMIFS(K47:K546,F47:F546,Table8[[#This Row],[Category]],N47:N546,Table8[[#This Row],[Region_Code]])</f>
        <v>13909.259999999993</v>
      </c>
      <c r="Q47">
        <f>AVERAGEIFS(I47:I546,F47:F546,Table8[[#This Row],[Category]],N47:N546,Table8[[#This Row],[Region_Code]])</f>
        <v>896.99232142857147</v>
      </c>
      <c r="R47">
        <f>AVERAGEIFS(K47:K546,F47:F546,Table8[[#This Row],[Category]],N47:N546,Table8[[#This Row],[Region_Code]])</f>
        <v>248.37964285714273</v>
      </c>
    </row>
    <row r="48" spans="1:18" x14ac:dyDescent="0.3">
      <c r="A48" t="s">
        <v>202</v>
      </c>
      <c r="B48" t="s">
        <v>203</v>
      </c>
      <c r="C48" t="s">
        <v>122</v>
      </c>
      <c r="D48" t="s">
        <v>45</v>
      </c>
      <c r="E48" t="s">
        <v>74</v>
      </c>
      <c r="F48" t="s">
        <v>75</v>
      </c>
      <c r="G48">
        <v>23</v>
      </c>
      <c r="H48">
        <v>35.07</v>
      </c>
      <c r="I48">
        <v>806.61</v>
      </c>
      <c r="J48">
        <v>21.23</v>
      </c>
      <c r="K48">
        <v>210.38</v>
      </c>
      <c r="L48" t="s">
        <v>24</v>
      </c>
      <c r="M48" t="s">
        <v>41</v>
      </c>
      <c r="N48" t="s">
        <v>49</v>
      </c>
      <c r="O48">
        <f>SUMIFS(I48:I547,F48:F547,Table8[[#This Row],[Category]],N48:N547,Table8[[#This Row],[Region_Code]])</f>
        <v>5232.22</v>
      </c>
      <c r="P48" s="13">
        <f>SUMIFS(K48:K547,F48:F547,Table8[[#This Row],[Category]],N48:N547,Table8[[#This Row],[Region_Code]])</f>
        <v>1868.77</v>
      </c>
      <c r="Q48">
        <f>AVERAGEIFS(I48:I547,F48:F547,Table8[[#This Row],[Category]],N48:N547,Table8[[#This Row],[Region_Code]])</f>
        <v>1046.444</v>
      </c>
      <c r="R48">
        <f>AVERAGEIFS(K48:K547,F48:F547,Table8[[#This Row],[Category]],N48:N547,Table8[[#This Row],[Region_Code]])</f>
        <v>373.75400000000002</v>
      </c>
    </row>
    <row r="49" spans="1:18" x14ac:dyDescent="0.3">
      <c r="A49" t="s">
        <v>204</v>
      </c>
      <c r="B49" t="s">
        <v>205</v>
      </c>
      <c r="C49" t="s">
        <v>113</v>
      </c>
      <c r="D49" t="s">
        <v>206</v>
      </c>
      <c r="E49" t="s">
        <v>56</v>
      </c>
      <c r="F49" t="s">
        <v>57</v>
      </c>
      <c r="G49">
        <v>35</v>
      </c>
      <c r="H49">
        <v>71.44</v>
      </c>
      <c r="I49">
        <v>2500.4</v>
      </c>
      <c r="J49">
        <v>166.81</v>
      </c>
      <c r="K49">
        <v>933.59</v>
      </c>
      <c r="L49" t="s">
        <v>33</v>
      </c>
      <c r="M49" t="s">
        <v>34</v>
      </c>
      <c r="N49" t="s">
        <v>207</v>
      </c>
      <c r="O49">
        <f>SUMIFS(I49:I548,F49:F548,Table8[[#This Row],[Category]],N49:N548,Table8[[#This Row],[Region_Code]])</f>
        <v>12174.14</v>
      </c>
      <c r="P49" s="13">
        <f>SUMIFS(K49:K548,F49:F548,Table8[[#This Row],[Category]],N49:N548,Table8[[#This Row],[Region_Code]])</f>
        <v>3656.58</v>
      </c>
      <c r="Q49">
        <f>AVERAGEIFS(I49:I548,F49:F548,Table8[[#This Row],[Category]],N49:N548,Table8[[#This Row],[Region_Code]])</f>
        <v>2434.828</v>
      </c>
      <c r="R49">
        <f>AVERAGEIFS(K49:K548,F49:F548,Table8[[#This Row],[Category]],N49:N548,Table8[[#This Row],[Region_Code]])</f>
        <v>731.31600000000003</v>
      </c>
    </row>
    <row r="50" spans="1:18" x14ac:dyDescent="0.3">
      <c r="A50" t="s">
        <v>208</v>
      </c>
      <c r="B50" t="s">
        <v>209</v>
      </c>
      <c r="C50" t="s">
        <v>185</v>
      </c>
      <c r="D50" t="s">
        <v>55</v>
      </c>
      <c r="E50" t="s">
        <v>32</v>
      </c>
      <c r="F50" t="s">
        <v>23</v>
      </c>
      <c r="G50">
        <v>11</v>
      </c>
      <c r="H50">
        <v>26.05</v>
      </c>
      <c r="I50">
        <v>286.55</v>
      </c>
      <c r="J50">
        <v>13.39</v>
      </c>
      <c r="K50">
        <v>75.16</v>
      </c>
      <c r="L50" t="s">
        <v>33</v>
      </c>
      <c r="M50" t="s">
        <v>25</v>
      </c>
      <c r="N50" t="s">
        <v>98</v>
      </c>
      <c r="O50">
        <f>SUMIFS(I50:I549,F50:F549,Table8[[#This Row],[Category]],N50:N549,Table8[[#This Row],[Region_Code]])</f>
        <v>21046.109999999997</v>
      </c>
      <c r="P50" s="13">
        <f>SUMIFS(K50:K549,F50:F549,Table8[[#This Row],[Category]],N50:N549,Table8[[#This Row],[Region_Code]])</f>
        <v>5580.55</v>
      </c>
      <c r="Q50">
        <f>AVERAGEIFS(I50:I549,F50:F549,Table8[[#This Row],[Category]],N50:N549,Table8[[#This Row],[Region_Code]])</f>
        <v>1169.2283333333332</v>
      </c>
      <c r="R50">
        <f>AVERAGEIFS(K50:K549,F50:F549,Table8[[#This Row],[Category]],N50:N549,Table8[[#This Row],[Region_Code]])</f>
        <v>310.03055555555557</v>
      </c>
    </row>
    <row r="51" spans="1:18" x14ac:dyDescent="0.3">
      <c r="A51" t="s">
        <v>210</v>
      </c>
      <c r="B51" t="s">
        <v>211</v>
      </c>
      <c r="C51" t="s">
        <v>54</v>
      </c>
      <c r="D51" t="s">
        <v>31</v>
      </c>
      <c r="E51" t="s">
        <v>81</v>
      </c>
      <c r="F51" t="s">
        <v>68</v>
      </c>
      <c r="G51">
        <v>46</v>
      </c>
      <c r="H51">
        <v>26.67</v>
      </c>
      <c r="I51">
        <v>1226.82</v>
      </c>
      <c r="J51">
        <v>83.55</v>
      </c>
      <c r="K51">
        <v>430.27</v>
      </c>
      <c r="L51" t="s">
        <v>24</v>
      </c>
      <c r="M51" t="s">
        <v>41</v>
      </c>
      <c r="N51" t="s">
        <v>35</v>
      </c>
      <c r="O51">
        <f>SUMIFS(I51:I550,F51:F550,Table8[[#This Row],[Category]],N51:N550,Table8[[#This Row],[Region_Code]])</f>
        <v>29290.119999999995</v>
      </c>
      <c r="P51" s="13">
        <f>SUMIFS(K51:K550,F51:F550,Table8[[#This Row],[Category]],N51:N550,Table8[[#This Row],[Region_Code]])</f>
        <v>8135.71</v>
      </c>
      <c r="Q51">
        <f>AVERAGEIFS(I51:I550,F51:F550,Table8[[#This Row],[Category]],N51:N550,Table8[[#This Row],[Region_Code]])</f>
        <v>770.79263157894729</v>
      </c>
      <c r="R51">
        <f>AVERAGEIFS(K51:K550,F51:F550,Table8[[#This Row],[Category]],N51:N550,Table8[[#This Row],[Region_Code]])</f>
        <v>214.09763157894736</v>
      </c>
    </row>
    <row r="52" spans="1:18" x14ac:dyDescent="0.3">
      <c r="A52" t="s">
        <v>212</v>
      </c>
      <c r="B52" t="s">
        <v>213</v>
      </c>
      <c r="C52" t="s">
        <v>148</v>
      </c>
      <c r="D52" t="s">
        <v>31</v>
      </c>
      <c r="E52" t="s">
        <v>137</v>
      </c>
      <c r="F52" t="s">
        <v>68</v>
      </c>
      <c r="G52">
        <v>12</v>
      </c>
      <c r="H52">
        <v>42.84</v>
      </c>
      <c r="I52">
        <v>514.08000000000004</v>
      </c>
      <c r="J52">
        <v>22.74</v>
      </c>
      <c r="K52">
        <v>155.34</v>
      </c>
      <c r="L52" t="s">
        <v>48</v>
      </c>
      <c r="M52" t="s">
        <v>25</v>
      </c>
      <c r="N52" t="s">
        <v>35</v>
      </c>
      <c r="O52">
        <f>SUMIFS(I52:I551,F52:F551,Table8[[#This Row],[Category]],N52:N551,Table8[[#This Row],[Region_Code]])</f>
        <v>28063.299999999996</v>
      </c>
      <c r="P52" s="13">
        <f>SUMIFS(K52:K551,F52:F551,Table8[[#This Row],[Category]],N52:N551,Table8[[#This Row],[Region_Code]])</f>
        <v>7705.44</v>
      </c>
      <c r="Q52">
        <f>AVERAGEIFS(I52:I551,F52:F551,Table8[[#This Row],[Category]],N52:N551,Table8[[#This Row],[Region_Code]])</f>
        <v>758.46756756756747</v>
      </c>
      <c r="R52">
        <f>AVERAGEIFS(K52:K551,F52:F551,Table8[[#This Row],[Category]],N52:N551,Table8[[#This Row],[Region_Code]])</f>
        <v>208.25513513513513</v>
      </c>
    </row>
    <row r="53" spans="1:18" x14ac:dyDescent="0.3">
      <c r="A53" t="s">
        <v>214</v>
      </c>
      <c r="B53" t="s">
        <v>215</v>
      </c>
      <c r="C53" t="s">
        <v>216</v>
      </c>
      <c r="D53" t="s">
        <v>116</v>
      </c>
      <c r="E53" t="s">
        <v>32</v>
      </c>
      <c r="F53" t="s">
        <v>23</v>
      </c>
      <c r="G53">
        <v>18</v>
      </c>
      <c r="H53">
        <v>30.89</v>
      </c>
      <c r="I53">
        <v>556.02</v>
      </c>
      <c r="J53">
        <v>12</v>
      </c>
      <c r="K53">
        <v>220.02</v>
      </c>
      <c r="L53" t="s">
        <v>33</v>
      </c>
      <c r="M53" t="s">
        <v>25</v>
      </c>
      <c r="N53" t="s">
        <v>76</v>
      </c>
      <c r="O53">
        <f>SUMIFS(I53:I552,F53:F552,Table8[[#This Row],[Category]],N53:N552,Table8[[#This Row],[Region_Code]])</f>
        <v>26590.66</v>
      </c>
      <c r="P53" s="13">
        <f>SUMIFS(K53:K552,F53:F552,Table8[[#This Row],[Category]],N53:N552,Table8[[#This Row],[Region_Code]])</f>
        <v>7477.41</v>
      </c>
      <c r="Q53">
        <f>AVERAGEIFS(I53:I552,F53:F552,Table8[[#This Row],[Category]],N53:N552,Table8[[#This Row],[Region_Code]])</f>
        <v>886.35533333333331</v>
      </c>
      <c r="R53">
        <f>AVERAGEIFS(K53:K552,F53:F552,Table8[[#This Row],[Category]],N53:N552,Table8[[#This Row],[Region_Code]])</f>
        <v>249.24699999999999</v>
      </c>
    </row>
    <row r="54" spans="1:18" x14ac:dyDescent="0.3">
      <c r="A54" t="s">
        <v>217</v>
      </c>
      <c r="B54" t="s">
        <v>218</v>
      </c>
      <c r="C54" t="s">
        <v>219</v>
      </c>
      <c r="D54" t="s">
        <v>55</v>
      </c>
      <c r="E54" t="s">
        <v>22</v>
      </c>
      <c r="F54" t="s">
        <v>23</v>
      </c>
      <c r="G54">
        <v>21</v>
      </c>
      <c r="H54">
        <v>52.41</v>
      </c>
      <c r="I54">
        <v>1100.6099999999999</v>
      </c>
      <c r="J54">
        <v>81.099999999999994</v>
      </c>
      <c r="K54">
        <v>284.51</v>
      </c>
      <c r="L54" t="s">
        <v>48</v>
      </c>
      <c r="M54" t="s">
        <v>34</v>
      </c>
      <c r="N54" t="s">
        <v>98</v>
      </c>
      <c r="O54">
        <f>SUMIFS(I54:I553,F54:F553,Table8[[#This Row],[Category]],N54:N553,Table8[[#This Row],[Region_Code]])</f>
        <v>20759.560000000001</v>
      </c>
      <c r="P54" s="13">
        <f>SUMIFS(K54:K553,F54:F553,Table8[[#This Row],[Category]],N54:N553,Table8[[#This Row],[Region_Code]])</f>
        <v>5505.3899999999994</v>
      </c>
      <c r="Q54">
        <f>AVERAGEIFS(I54:I553,F54:F553,Table8[[#This Row],[Category]],N54:N553,Table8[[#This Row],[Region_Code]])</f>
        <v>1221.1505882352942</v>
      </c>
      <c r="R54">
        <f>AVERAGEIFS(K54:K553,F54:F553,Table8[[#This Row],[Category]],N54:N553,Table8[[#This Row],[Region_Code]])</f>
        <v>323.84647058823526</v>
      </c>
    </row>
    <row r="55" spans="1:18" x14ac:dyDescent="0.3">
      <c r="A55" t="s">
        <v>220</v>
      </c>
      <c r="B55" t="s">
        <v>221</v>
      </c>
      <c r="C55" t="s">
        <v>222</v>
      </c>
      <c r="D55" t="s">
        <v>206</v>
      </c>
      <c r="E55" t="s">
        <v>137</v>
      </c>
      <c r="F55" t="s">
        <v>68</v>
      </c>
      <c r="G55">
        <v>17</v>
      </c>
      <c r="H55">
        <v>38.64</v>
      </c>
      <c r="I55">
        <v>656.88</v>
      </c>
      <c r="J55">
        <v>13.86</v>
      </c>
      <c r="K55">
        <v>167.02</v>
      </c>
      <c r="L55" t="s">
        <v>33</v>
      </c>
      <c r="M55" t="s">
        <v>25</v>
      </c>
      <c r="N55" t="s">
        <v>207</v>
      </c>
      <c r="O55">
        <f>SUMIFS(I55:I554,F55:F554,Table8[[#This Row],[Category]],N55:N554,Table8[[#This Row],[Region_Code]])</f>
        <v>6972.93</v>
      </c>
      <c r="P55" s="13">
        <f>SUMIFS(K55:K554,F55:F554,Table8[[#This Row],[Category]],N55:N554,Table8[[#This Row],[Region_Code]])</f>
        <v>2156.23</v>
      </c>
      <c r="Q55">
        <f>AVERAGEIFS(I55:I554,F55:F554,Table8[[#This Row],[Category]],N55:N554,Table8[[#This Row],[Region_Code]])</f>
        <v>774.77</v>
      </c>
      <c r="R55">
        <f>AVERAGEIFS(K55:K554,F55:F554,Table8[[#This Row],[Category]],N55:N554,Table8[[#This Row],[Region_Code]])</f>
        <v>239.58111111111111</v>
      </c>
    </row>
    <row r="56" spans="1:18" x14ac:dyDescent="0.3">
      <c r="A56" t="s">
        <v>223</v>
      </c>
      <c r="B56" t="s">
        <v>224</v>
      </c>
      <c r="C56" t="s">
        <v>191</v>
      </c>
      <c r="D56" t="s">
        <v>127</v>
      </c>
      <c r="E56" t="s">
        <v>32</v>
      </c>
      <c r="F56" t="s">
        <v>23</v>
      </c>
      <c r="G56">
        <v>41</v>
      </c>
      <c r="H56">
        <v>25.79</v>
      </c>
      <c r="I56">
        <v>1057.3900000000001</v>
      </c>
      <c r="J56">
        <v>71.22</v>
      </c>
      <c r="K56">
        <v>248.17</v>
      </c>
      <c r="L56" t="s">
        <v>33</v>
      </c>
      <c r="M56" t="s">
        <v>34</v>
      </c>
      <c r="N56" t="s">
        <v>76</v>
      </c>
      <c r="O56">
        <f>SUMIFS(I56:I555,F56:F555,Table8[[#This Row],[Category]],N56:N555,Table8[[#This Row],[Region_Code]])</f>
        <v>26034.639999999999</v>
      </c>
      <c r="P56" s="13">
        <f>SUMIFS(K56:K555,F56:F555,Table8[[#This Row],[Category]],N56:N555,Table8[[#This Row],[Region_Code]])</f>
        <v>7257.3899999999994</v>
      </c>
      <c r="Q56">
        <f>AVERAGEIFS(I56:I555,F56:F555,Table8[[#This Row],[Category]],N56:N555,Table8[[#This Row],[Region_Code]])</f>
        <v>897.74620689655171</v>
      </c>
      <c r="R56">
        <f>AVERAGEIFS(K56:K555,F56:F555,Table8[[#This Row],[Category]],N56:N555,Table8[[#This Row],[Region_Code]])</f>
        <v>250.25482758620689</v>
      </c>
    </row>
    <row r="57" spans="1:18" x14ac:dyDescent="0.3">
      <c r="A57" t="s">
        <v>225</v>
      </c>
      <c r="B57" t="s">
        <v>226</v>
      </c>
      <c r="C57" t="s">
        <v>227</v>
      </c>
      <c r="D57" t="s">
        <v>127</v>
      </c>
      <c r="E57" t="s">
        <v>137</v>
      </c>
      <c r="F57" t="s">
        <v>68</v>
      </c>
      <c r="G57">
        <v>41</v>
      </c>
      <c r="H57">
        <v>41.13</v>
      </c>
      <c r="I57">
        <v>1686.33</v>
      </c>
      <c r="J57">
        <v>80.12</v>
      </c>
      <c r="K57">
        <v>458.21</v>
      </c>
      <c r="L57" t="s">
        <v>33</v>
      </c>
      <c r="M57" t="s">
        <v>41</v>
      </c>
      <c r="N57" t="s">
        <v>76</v>
      </c>
      <c r="O57">
        <f>SUMIFS(I57:I556,F57:F556,Table8[[#This Row],[Category]],N57:N556,Table8[[#This Row],[Region_Code]])</f>
        <v>49462.97</v>
      </c>
      <c r="P57" s="13">
        <f>SUMIFS(K57:K556,F57:F556,Table8[[#This Row],[Category]],N57:N556,Table8[[#This Row],[Region_Code]])</f>
        <v>13650.729999999998</v>
      </c>
      <c r="Q57">
        <f>AVERAGEIFS(I57:I556,F57:F556,Table8[[#This Row],[Category]],N57:N556,Table8[[#This Row],[Region_Code]])</f>
        <v>899.32672727272734</v>
      </c>
      <c r="R57">
        <f>AVERAGEIFS(K57:K556,F57:F556,Table8[[#This Row],[Category]],N57:N556,Table8[[#This Row],[Region_Code]])</f>
        <v>248.19509090909088</v>
      </c>
    </row>
    <row r="58" spans="1:18" x14ac:dyDescent="0.3">
      <c r="A58" t="s">
        <v>228</v>
      </c>
      <c r="B58" t="s">
        <v>229</v>
      </c>
      <c r="C58" t="s">
        <v>113</v>
      </c>
      <c r="D58" t="s">
        <v>51</v>
      </c>
      <c r="E58" t="s">
        <v>56</v>
      </c>
      <c r="F58" t="s">
        <v>57</v>
      </c>
      <c r="G58">
        <v>33</v>
      </c>
      <c r="H58">
        <v>55.67</v>
      </c>
      <c r="I58">
        <v>1837.11</v>
      </c>
      <c r="J58">
        <v>144.32</v>
      </c>
      <c r="K58">
        <v>372.79</v>
      </c>
      <c r="L58" t="s">
        <v>24</v>
      </c>
      <c r="M58" t="s">
        <v>25</v>
      </c>
      <c r="N58" t="s">
        <v>76</v>
      </c>
      <c r="O58">
        <f>SUMIFS(I58:I557,F58:F557,Table8[[#This Row],[Category]],N58:N557,Table8[[#This Row],[Region_Code]])</f>
        <v>30263.43</v>
      </c>
      <c r="P58" s="13">
        <f>SUMIFS(K58:K557,F58:F557,Table8[[#This Row],[Category]],N58:N557,Table8[[#This Row],[Region_Code]])</f>
        <v>8316.67</v>
      </c>
      <c r="Q58">
        <f>AVERAGEIFS(I58:I557,F58:F557,Table8[[#This Row],[Category]],N58:N557,Table8[[#This Row],[Region_Code]])</f>
        <v>1375.6104545454546</v>
      </c>
      <c r="R58">
        <f>AVERAGEIFS(K58:K557,F58:F557,Table8[[#This Row],[Category]],N58:N557,Table8[[#This Row],[Region_Code]])</f>
        <v>378.03045454545457</v>
      </c>
    </row>
    <row r="59" spans="1:18" x14ac:dyDescent="0.3">
      <c r="A59" t="s">
        <v>230</v>
      </c>
      <c r="B59" t="s">
        <v>231</v>
      </c>
      <c r="C59" t="s">
        <v>232</v>
      </c>
      <c r="D59" t="s">
        <v>127</v>
      </c>
      <c r="E59" t="s">
        <v>56</v>
      </c>
      <c r="F59" t="s">
        <v>57</v>
      </c>
      <c r="G59">
        <v>18</v>
      </c>
      <c r="H59">
        <v>50.87</v>
      </c>
      <c r="I59">
        <v>915.66</v>
      </c>
      <c r="J59">
        <v>49.93</v>
      </c>
      <c r="K59">
        <v>145.72999999999999</v>
      </c>
      <c r="L59" t="s">
        <v>24</v>
      </c>
      <c r="M59" t="s">
        <v>34</v>
      </c>
      <c r="N59" t="s">
        <v>76</v>
      </c>
      <c r="O59">
        <f>SUMIFS(I59:I558,F59:F558,Table8[[#This Row],[Category]],N59:N558,Table8[[#This Row],[Region_Code]])</f>
        <v>28426.32</v>
      </c>
      <c r="P59" s="13">
        <f>SUMIFS(K59:K558,F59:F558,Table8[[#This Row],[Category]],N59:N558,Table8[[#This Row],[Region_Code]])</f>
        <v>7943.88</v>
      </c>
      <c r="Q59">
        <f>AVERAGEIFS(I59:I558,F59:F558,Table8[[#This Row],[Category]],N59:N558,Table8[[#This Row],[Region_Code]])</f>
        <v>1353.6342857142856</v>
      </c>
      <c r="R59">
        <f>AVERAGEIFS(K59:K558,F59:F558,Table8[[#This Row],[Category]],N59:N558,Table8[[#This Row],[Region_Code]])</f>
        <v>378.28000000000003</v>
      </c>
    </row>
    <row r="60" spans="1:18" x14ac:dyDescent="0.3">
      <c r="A60" t="s">
        <v>233</v>
      </c>
      <c r="B60" t="s">
        <v>234</v>
      </c>
      <c r="C60" t="s">
        <v>235</v>
      </c>
      <c r="D60" t="s">
        <v>141</v>
      </c>
      <c r="E60" t="s">
        <v>81</v>
      </c>
      <c r="F60" t="s">
        <v>68</v>
      </c>
      <c r="G60">
        <v>14</v>
      </c>
      <c r="H60">
        <v>26.7</v>
      </c>
      <c r="I60">
        <v>373.8</v>
      </c>
      <c r="J60">
        <v>11.84</v>
      </c>
      <c r="K60">
        <v>144.96</v>
      </c>
      <c r="L60" t="s">
        <v>48</v>
      </c>
      <c r="M60" t="s">
        <v>25</v>
      </c>
      <c r="N60" t="s">
        <v>142</v>
      </c>
      <c r="O60">
        <f>SUMIFS(I60:I559,F60:F559,Table8[[#This Row],[Category]],N60:N559,Table8[[#This Row],[Region_Code]])</f>
        <v>8009.72</v>
      </c>
      <c r="P60" s="13">
        <f>SUMIFS(K60:K559,F60:F559,Table8[[#This Row],[Category]],N60:N559,Table8[[#This Row],[Region_Code]])</f>
        <v>2372.27</v>
      </c>
      <c r="Q60">
        <f>AVERAGEIFS(I60:I559,F60:F559,Table8[[#This Row],[Category]],N60:N559,Table8[[#This Row],[Region_Code]])</f>
        <v>800.97199999999998</v>
      </c>
      <c r="R60">
        <f>AVERAGEIFS(K60:K559,F60:F559,Table8[[#This Row],[Category]],N60:N559,Table8[[#This Row],[Region_Code]])</f>
        <v>237.227</v>
      </c>
    </row>
    <row r="61" spans="1:18" x14ac:dyDescent="0.3">
      <c r="A61" t="s">
        <v>236</v>
      </c>
      <c r="B61" t="s">
        <v>237</v>
      </c>
      <c r="C61" t="s">
        <v>238</v>
      </c>
      <c r="D61" t="s">
        <v>21</v>
      </c>
      <c r="E61" t="s">
        <v>32</v>
      </c>
      <c r="F61" t="s">
        <v>23</v>
      </c>
      <c r="G61">
        <v>16</v>
      </c>
      <c r="H61">
        <v>28.96</v>
      </c>
      <c r="I61">
        <v>463.36</v>
      </c>
      <c r="J61">
        <v>35.65</v>
      </c>
      <c r="K61">
        <v>139.71</v>
      </c>
      <c r="L61" t="s">
        <v>24</v>
      </c>
      <c r="M61" t="s">
        <v>41</v>
      </c>
      <c r="N61" t="s">
        <v>98</v>
      </c>
      <c r="O61">
        <f>SUMIFS(I61:I560,F61:F560,Table8[[#This Row],[Category]],N61:N560,Table8[[#This Row],[Region_Code]])</f>
        <v>19658.95</v>
      </c>
      <c r="P61" s="13">
        <f>SUMIFS(K61:K560,F61:F560,Table8[[#This Row],[Category]],N61:N560,Table8[[#This Row],[Region_Code]])</f>
        <v>5220.88</v>
      </c>
      <c r="Q61">
        <f>AVERAGEIFS(I61:I560,F61:F560,Table8[[#This Row],[Category]],N61:N560,Table8[[#This Row],[Region_Code]])</f>
        <v>1228.684375</v>
      </c>
      <c r="R61">
        <f>AVERAGEIFS(K61:K560,F61:F560,Table8[[#This Row],[Category]],N61:N560,Table8[[#This Row],[Region_Code]])</f>
        <v>326.30500000000001</v>
      </c>
    </row>
    <row r="62" spans="1:18" x14ac:dyDescent="0.3">
      <c r="A62" t="s">
        <v>239</v>
      </c>
      <c r="B62" t="s">
        <v>240</v>
      </c>
      <c r="C62" t="s">
        <v>113</v>
      </c>
      <c r="D62" t="s">
        <v>241</v>
      </c>
      <c r="E62" t="s">
        <v>32</v>
      </c>
      <c r="F62" t="s">
        <v>23</v>
      </c>
      <c r="G62">
        <v>47</v>
      </c>
      <c r="H62">
        <v>23.03</v>
      </c>
      <c r="I62">
        <v>1082.4100000000001</v>
      </c>
      <c r="J62">
        <v>50.12</v>
      </c>
      <c r="K62">
        <v>186.29</v>
      </c>
      <c r="L62" t="s">
        <v>48</v>
      </c>
      <c r="M62" t="s">
        <v>25</v>
      </c>
      <c r="N62" t="s">
        <v>35</v>
      </c>
      <c r="O62">
        <f>SUMIFS(I62:I561,F62:F561,Table8[[#This Row],[Category]],N62:N561,Table8[[#This Row],[Region_Code]])</f>
        <v>28616.770000000004</v>
      </c>
      <c r="P62" s="13">
        <f>SUMIFS(K62:K561,F62:F561,Table8[[#This Row],[Category]],N62:N561,Table8[[#This Row],[Region_Code]])</f>
        <v>7334.92</v>
      </c>
      <c r="Q62">
        <f>AVERAGEIFS(I62:I561,F62:F561,Table8[[#This Row],[Category]],N62:N561,Table8[[#This Row],[Region_Code]])</f>
        <v>1059.8803703703704</v>
      </c>
      <c r="R62">
        <f>AVERAGEIFS(K62:K561,F62:F561,Table8[[#This Row],[Category]],N62:N561,Table8[[#This Row],[Region_Code]])</f>
        <v>271.66370370370373</v>
      </c>
    </row>
    <row r="63" spans="1:18" x14ac:dyDescent="0.3">
      <c r="A63" t="s">
        <v>242</v>
      </c>
      <c r="B63" t="s">
        <v>243</v>
      </c>
      <c r="C63" t="s">
        <v>238</v>
      </c>
      <c r="D63" t="s">
        <v>206</v>
      </c>
      <c r="E63" t="s">
        <v>22</v>
      </c>
      <c r="F63" t="s">
        <v>23</v>
      </c>
      <c r="G63">
        <v>18</v>
      </c>
      <c r="H63">
        <v>50.03</v>
      </c>
      <c r="I63">
        <v>900.54</v>
      </c>
      <c r="J63">
        <v>68.44</v>
      </c>
      <c r="K63">
        <v>202.1</v>
      </c>
      <c r="L63" t="s">
        <v>48</v>
      </c>
      <c r="M63" t="s">
        <v>25</v>
      </c>
      <c r="N63" t="s">
        <v>207</v>
      </c>
      <c r="O63">
        <f>SUMIFS(I63:I562,F63:F562,Table8[[#This Row],[Category]],N63:N562,Table8[[#This Row],[Region_Code]])</f>
        <v>6810.06</v>
      </c>
      <c r="P63" s="13">
        <f>SUMIFS(K63:K562,F63:F562,Table8[[#This Row],[Category]],N63:N562,Table8[[#This Row],[Region_Code]])</f>
        <v>1578.49</v>
      </c>
      <c r="Q63">
        <f>AVERAGEIFS(I63:I562,F63:F562,Table8[[#This Row],[Category]],N63:N562,Table8[[#This Row],[Region_Code]])</f>
        <v>1135.01</v>
      </c>
      <c r="R63">
        <f>AVERAGEIFS(K63:K562,F63:F562,Table8[[#This Row],[Category]],N63:N562,Table8[[#This Row],[Region_Code]])</f>
        <v>263.08166666666665</v>
      </c>
    </row>
    <row r="64" spans="1:18" x14ac:dyDescent="0.3">
      <c r="A64" t="s">
        <v>244</v>
      </c>
      <c r="B64" t="s">
        <v>245</v>
      </c>
      <c r="C64" t="s">
        <v>246</v>
      </c>
      <c r="D64" t="s">
        <v>31</v>
      </c>
      <c r="E64" t="s">
        <v>74</v>
      </c>
      <c r="F64" t="s">
        <v>75</v>
      </c>
      <c r="G64">
        <v>38</v>
      </c>
      <c r="H64">
        <v>32.07</v>
      </c>
      <c r="I64">
        <v>1218.6600000000001</v>
      </c>
      <c r="J64">
        <v>54.49</v>
      </c>
      <c r="K64">
        <v>214.17</v>
      </c>
      <c r="L64" t="s">
        <v>48</v>
      </c>
      <c r="M64" t="s">
        <v>41</v>
      </c>
      <c r="N64" t="s">
        <v>35</v>
      </c>
      <c r="O64">
        <f>SUMIFS(I64:I563,F64:F563,Table8[[#This Row],[Category]],N64:N563,Table8[[#This Row],[Region_Code]])</f>
        <v>12454.119999999999</v>
      </c>
      <c r="P64" s="13">
        <f>SUMIFS(K64:K563,F64:F563,Table8[[#This Row],[Category]],N64:N563,Table8[[#This Row],[Region_Code]])</f>
        <v>3157.89</v>
      </c>
      <c r="Q64">
        <f>AVERAGEIFS(I64:I563,F64:F563,Table8[[#This Row],[Category]],N64:N563,Table8[[#This Row],[Region_Code]])</f>
        <v>958.00923076923073</v>
      </c>
      <c r="R64">
        <f>AVERAGEIFS(K64:K563,F64:F563,Table8[[#This Row],[Category]],N64:N563,Table8[[#This Row],[Region_Code]])</f>
        <v>242.91461538461539</v>
      </c>
    </row>
    <row r="65" spans="1:18" x14ac:dyDescent="0.3">
      <c r="A65" t="s">
        <v>247</v>
      </c>
      <c r="B65" t="s">
        <v>248</v>
      </c>
      <c r="C65" t="s">
        <v>249</v>
      </c>
      <c r="D65" t="s">
        <v>45</v>
      </c>
      <c r="E65" t="s">
        <v>46</v>
      </c>
      <c r="F65" t="s">
        <v>47</v>
      </c>
      <c r="G65">
        <v>23</v>
      </c>
      <c r="H65">
        <v>50.96</v>
      </c>
      <c r="I65">
        <v>1172.08</v>
      </c>
      <c r="J65">
        <v>61</v>
      </c>
      <c r="K65">
        <v>375.08</v>
      </c>
      <c r="L65" t="s">
        <v>48</v>
      </c>
      <c r="M65" t="s">
        <v>34</v>
      </c>
      <c r="N65" t="s">
        <v>49</v>
      </c>
      <c r="O65">
        <f>SUMIFS(I65:I564,F65:F564,Table8[[#This Row],[Category]],N65:N564,Table8[[#This Row],[Region_Code]])</f>
        <v>16589.510000000002</v>
      </c>
      <c r="P65" s="13">
        <f>SUMIFS(K65:K564,F65:F564,Table8[[#This Row],[Category]],N65:N564,Table8[[#This Row],[Region_Code]])</f>
        <v>4586.7300000000005</v>
      </c>
      <c r="Q65">
        <f>AVERAGEIFS(I65:I564,F65:F564,Table8[[#This Row],[Category]],N65:N564,Table8[[#This Row],[Region_Code]])</f>
        <v>921.63944444444451</v>
      </c>
      <c r="R65">
        <f>AVERAGEIFS(K65:K564,F65:F564,Table8[[#This Row],[Category]],N65:N564,Table8[[#This Row],[Region_Code]])</f>
        <v>254.81833333333336</v>
      </c>
    </row>
    <row r="66" spans="1:18" x14ac:dyDescent="0.3">
      <c r="A66" t="s">
        <v>250</v>
      </c>
      <c r="B66" t="s">
        <v>251</v>
      </c>
      <c r="C66" t="s">
        <v>252</v>
      </c>
      <c r="D66" t="s">
        <v>127</v>
      </c>
      <c r="E66" t="s">
        <v>56</v>
      </c>
      <c r="F66" t="s">
        <v>57</v>
      </c>
      <c r="G66">
        <v>46</v>
      </c>
      <c r="H66">
        <v>70.599999999999994</v>
      </c>
      <c r="I66">
        <v>3247.6</v>
      </c>
      <c r="J66">
        <v>166.91</v>
      </c>
      <c r="K66">
        <v>1240.69</v>
      </c>
      <c r="L66" t="s">
        <v>48</v>
      </c>
      <c r="M66" t="s">
        <v>34</v>
      </c>
      <c r="N66" t="s">
        <v>76</v>
      </c>
      <c r="O66">
        <f>SUMIFS(I66:I565,F66:F565,Table8[[#This Row],[Category]],N66:N565,Table8[[#This Row],[Region_Code]])</f>
        <v>27510.660000000003</v>
      </c>
      <c r="P66" s="13">
        <f>SUMIFS(K66:K565,F66:F565,Table8[[#This Row],[Category]],N66:N565,Table8[[#This Row],[Region_Code]])</f>
        <v>7798.1500000000005</v>
      </c>
      <c r="Q66">
        <f>AVERAGEIFS(I66:I565,F66:F565,Table8[[#This Row],[Category]],N66:N565,Table8[[#This Row],[Region_Code]])</f>
        <v>1375.5330000000001</v>
      </c>
      <c r="R66">
        <f>AVERAGEIFS(K66:K565,F66:F565,Table8[[#This Row],[Category]],N66:N565,Table8[[#This Row],[Region_Code]])</f>
        <v>389.90750000000003</v>
      </c>
    </row>
    <row r="67" spans="1:18" x14ac:dyDescent="0.3">
      <c r="A67" t="s">
        <v>253</v>
      </c>
      <c r="B67" t="s">
        <v>254</v>
      </c>
      <c r="C67" t="s">
        <v>148</v>
      </c>
      <c r="D67" t="s">
        <v>127</v>
      </c>
      <c r="E67" t="s">
        <v>56</v>
      </c>
      <c r="F67" t="s">
        <v>57</v>
      </c>
      <c r="G67">
        <v>15</v>
      </c>
      <c r="H67">
        <v>53.36</v>
      </c>
      <c r="I67">
        <v>800.4</v>
      </c>
      <c r="J67">
        <v>56.29</v>
      </c>
      <c r="K67">
        <v>144.11000000000001</v>
      </c>
      <c r="L67" t="s">
        <v>24</v>
      </c>
      <c r="M67" t="s">
        <v>25</v>
      </c>
      <c r="N67" t="s">
        <v>76</v>
      </c>
      <c r="O67">
        <f>SUMIFS(I67:I566,F67:F566,Table8[[#This Row],[Category]],N67:N566,Table8[[#This Row],[Region_Code]])</f>
        <v>24263.059999999998</v>
      </c>
      <c r="P67" s="13">
        <f>SUMIFS(K67:K566,F67:F566,Table8[[#This Row],[Category]],N67:N566,Table8[[#This Row],[Region_Code]])</f>
        <v>6557.4600000000009</v>
      </c>
      <c r="Q67">
        <f>AVERAGEIFS(I67:I566,F67:F566,Table8[[#This Row],[Category]],N67:N566,Table8[[#This Row],[Region_Code]])</f>
        <v>1277.0031578947367</v>
      </c>
      <c r="R67">
        <f>AVERAGEIFS(K67:K566,F67:F566,Table8[[#This Row],[Category]],N67:N566,Table8[[#This Row],[Region_Code]])</f>
        <v>345.12947368421055</v>
      </c>
    </row>
    <row r="68" spans="1:18" x14ac:dyDescent="0.3">
      <c r="A68" t="s">
        <v>255</v>
      </c>
      <c r="B68" t="s">
        <v>256</v>
      </c>
      <c r="C68" t="s">
        <v>257</v>
      </c>
      <c r="D68" t="s">
        <v>206</v>
      </c>
      <c r="E68" t="s">
        <v>46</v>
      </c>
      <c r="F68" t="s">
        <v>47</v>
      </c>
      <c r="G68">
        <v>42</v>
      </c>
      <c r="H68">
        <v>39.840000000000003</v>
      </c>
      <c r="I68">
        <v>1673.28</v>
      </c>
      <c r="J68">
        <v>132.74</v>
      </c>
      <c r="K68">
        <v>196.54</v>
      </c>
      <c r="L68" t="s">
        <v>24</v>
      </c>
      <c r="M68" t="s">
        <v>41</v>
      </c>
      <c r="N68" t="s">
        <v>207</v>
      </c>
      <c r="O68">
        <f>SUMIFS(I68:I567,F68:F567,Table8[[#This Row],[Category]],N68:N567,Table8[[#This Row],[Region_Code]])</f>
        <v>8892.01</v>
      </c>
      <c r="P68" s="13">
        <f>SUMIFS(K68:K567,F68:F567,Table8[[#This Row],[Category]],N68:N567,Table8[[#This Row],[Region_Code]])</f>
        <v>2126.5400000000004</v>
      </c>
      <c r="Q68">
        <f>AVERAGEIFS(I68:I567,F68:F567,Table8[[#This Row],[Category]],N68:N567,Table8[[#This Row],[Region_Code]])</f>
        <v>889.20100000000002</v>
      </c>
      <c r="R68">
        <f>AVERAGEIFS(K68:K567,F68:F567,Table8[[#This Row],[Category]],N68:N567,Table8[[#This Row],[Region_Code]])</f>
        <v>212.65400000000005</v>
      </c>
    </row>
    <row r="69" spans="1:18" x14ac:dyDescent="0.3">
      <c r="A69" t="s">
        <v>258</v>
      </c>
      <c r="B69" t="s">
        <v>259</v>
      </c>
      <c r="C69" t="s">
        <v>232</v>
      </c>
      <c r="D69" t="s">
        <v>127</v>
      </c>
      <c r="E69" t="s">
        <v>74</v>
      </c>
      <c r="F69" t="s">
        <v>75</v>
      </c>
      <c r="G69">
        <v>31</v>
      </c>
      <c r="H69">
        <v>38.26</v>
      </c>
      <c r="I69">
        <v>1186.06</v>
      </c>
      <c r="J69">
        <v>69.33</v>
      </c>
      <c r="K69">
        <v>341.73</v>
      </c>
      <c r="L69" t="s">
        <v>33</v>
      </c>
      <c r="M69" t="s">
        <v>25</v>
      </c>
      <c r="N69" t="s">
        <v>76</v>
      </c>
      <c r="O69">
        <f>SUMIFS(I69:I568,F69:F568,Table8[[#This Row],[Category]],N69:N568,Table8[[#This Row],[Region_Code]])</f>
        <v>20141.909999999996</v>
      </c>
      <c r="P69" s="13">
        <f>SUMIFS(K69:K568,F69:F568,Table8[[#This Row],[Category]],N69:N568,Table8[[#This Row],[Region_Code]])</f>
        <v>5512.72</v>
      </c>
      <c r="Q69">
        <f>AVERAGEIFS(I69:I568,F69:F568,Table8[[#This Row],[Category]],N69:N568,Table8[[#This Row],[Region_Code]])</f>
        <v>875.73521739130422</v>
      </c>
      <c r="R69">
        <f>AVERAGEIFS(K69:K568,F69:F568,Table8[[#This Row],[Category]],N69:N568,Table8[[#This Row],[Region_Code]])</f>
        <v>239.68347826086958</v>
      </c>
    </row>
    <row r="70" spans="1:18" x14ac:dyDescent="0.3">
      <c r="A70" t="s">
        <v>260</v>
      </c>
      <c r="B70" t="s">
        <v>261</v>
      </c>
      <c r="C70" t="s">
        <v>235</v>
      </c>
      <c r="D70" t="s">
        <v>171</v>
      </c>
      <c r="E70" t="s">
        <v>81</v>
      </c>
      <c r="F70" t="s">
        <v>68</v>
      </c>
      <c r="G70">
        <v>2</v>
      </c>
      <c r="H70">
        <v>23.09</v>
      </c>
      <c r="I70">
        <v>46.18</v>
      </c>
      <c r="J70">
        <v>2.52</v>
      </c>
      <c r="K70">
        <v>12.66</v>
      </c>
      <c r="L70" t="s">
        <v>33</v>
      </c>
      <c r="M70" t="s">
        <v>34</v>
      </c>
      <c r="N70" t="s">
        <v>35</v>
      </c>
      <c r="O70">
        <f>SUMIFS(I70:I569,F70:F569,Table8[[#This Row],[Category]],N70:N569,Table8[[#This Row],[Region_Code]])</f>
        <v>27549.219999999994</v>
      </c>
      <c r="P70" s="13">
        <f>SUMIFS(K70:K569,F70:F569,Table8[[#This Row],[Category]],N70:N569,Table8[[#This Row],[Region_Code]])</f>
        <v>7550.0999999999995</v>
      </c>
      <c r="Q70">
        <f>AVERAGEIFS(I70:I569,F70:F569,Table8[[#This Row],[Category]],N70:N569,Table8[[#This Row],[Region_Code]])</f>
        <v>765.25611111111095</v>
      </c>
      <c r="R70">
        <f>AVERAGEIFS(K70:K569,F70:F569,Table8[[#This Row],[Category]],N70:N569,Table8[[#This Row],[Region_Code]])</f>
        <v>209.72499999999999</v>
      </c>
    </row>
    <row r="71" spans="1:18" x14ac:dyDescent="0.3">
      <c r="A71" t="s">
        <v>262</v>
      </c>
      <c r="B71" t="s">
        <v>263</v>
      </c>
      <c r="C71" t="s">
        <v>66</v>
      </c>
      <c r="D71" t="s">
        <v>123</v>
      </c>
      <c r="E71" t="s">
        <v>46</v>
      </c>
      <c r="F71" t="s">
        <v>47</v>
      </c>
      <c r="G71">
        <v>40</v>
      </c>
      <c r="H71">
        <v>46.81</v>
      </c>
      <c r="I71">
        <v>1872.4</v>
      </c>
      <c r="J71">
        <v>43.01</v>
      </c>
      <c r="K71">
        <v>549.39</v>
      </c>
      <c r="L71" t="s">
        <v>24</v>
      </c>
      <c r="M71" t="s">
        <v>41</v>
      </c>
      <c r="N71" t="s">
        <v>76</v>
      </c>
      <c r="O71">
        <f>SUMIFS(I71:I570,F71:F570,Table8[[#This Row],[Category]],N71:N570,Table8[[#This Row],[Region_Code]])</f>
        <v>31639.850000000002</v>
      </c>
      <c r="P71" s="13">
        <f>SUMIFS(K71:K570,F71:F570,Table8[[#This Row],[Category]],N71:N570,Table8[[#This Row],[Region_Code]])</f>
        <v>9064.73</v>
      </c>
      <c r="Q71">
        <f>AVERAGEIFS(I71:I570,F71:F570,Table8[[#This Row],[Category]],N71:N570,Table8[[#This Row],[Region_Code]])</f>
        <v>878.88472222222231</v>
      </c>
      <c r="R71">
        <f>AVERAGEIFS(K71:K570,F71:F570,Table8[[#This Row],[Category]],N71:N570,Table8[[#This Row],[Region_Code]])</f>
        <v>251.79805555555555</v>
      </c>
    </row>
    <row r="72" spans="1:18" x14ac:dyDescent="0.3">
      <c r="A72" t="s">
        <v>264</v>
      </c>
      <c r="B72" t="s">
        <v>265</v>
      </c>
      <c r="C72" t="s">
        <v>266</v>
      </c>
      <c r="D72" t="s">
        <v>51</v>
      </c>
      <c r="E72" t="s">
        <v>46</v>
      </c>
      <c r="F72" t="s">
        <v>47</v>
      </c>
      <c r="G72">
        <v>43</v>
      </c>
      <c r="H72">
        <v>57.01</v>
      </c>
      <c r="I72">
        <v>2451.4299999999998</v>
      </c>
      <c r="J72">
        <v>115.04</v>
      </c>
      <c r="K72">
        <v>960.39</v>
      </c>
      <c r="L72" t="s">
        <v>33</v>
      </c>
      <c r="M72" t="s">
        <v>25</v>
      </c>
      <c r="N72" t="s">
        <v>76</v>
      </c>
      <c r="O72">
        <f>SUMIFS(I72:I571,F72:F571,Table8[[#This Row],[Category]],N72:N571,Table8[[#This Row],[Region_Code]])</f>
        <v>29767.45</v>
      </c>
      <c r="P72" s="13">
        <f>SUMIFS(K72:K571,F72:F571,Table8[[#This Row],[Category]],N72:N571,Table8[[#This Row],[Region_Code]])</f>
        <v>8515.3399999999983</v>
      </c>
      <c r="Q72">
        <f>AVERAGEIFS(I72:I571,F72:F571,Table8[[#This Row],[Category]],N72:N571,Table8[[#This Row],[Region_Code]])</f>
        <v>850.49857142857149</v>
      </c>
      <c r="R72">
        <f>AVERAGEIFS(K72:K571,F72:F571,Table8[[#This Row],[Category]],N72:N571,Table8[[#This Row],[Region_Code]])</f>
        <v>243.29542857142852</v>
      </c>
    </row>
    <row r="73" spans="1:18" x14ac:dyDescent="0.3">
      <c r="A73" t="s">
        <v>267</v>
      </c>
      <c r="B73" t="s">
        <v>268</v>
      </c>
      <c r="C73" t="s">
        <v>269</v>
      </c>
      <c r="D73" t="s">
        <v>62</v>
      </c>
      <c r="E73" t="s">
        <v>86</v>
      </c>
      <c r="F73" t="s">
        <v>47</v>
      </c>
      <c r="G73">
        <v>15</v>
      </c>
      <c r="H73">
        <v>22.23</v>
      </c>
      <c r="I73">
        <v>333.45</v>
      </c>
      <c r="J73">
        <v>16.89</v>
      </c>
      <c r="K73">
        <v>125.31</v>
      </c>
      <c r="L73" t="s">
        <v>48</v>
      </c>
      <c r="M73" t="s">
        <v>34</v>
      </c>
      <c r="N73" t="s">
        <v>98</v>
      </c>
      <c r="O73">
        <f>SUMIFS(I73:I572,F73:F572,Table8[[#This Row],[Category]],N73:N572,Table8[[#This Row],[Region_Code]])</f>
        <v>21231.540000000005</v>
      </c>
      <c r="P73" s="13">
        <f>SUMIFS(K73:K572,F73:F572,Table8[[#This Row],[Category]],N73:N572,Table8[[#This Row],[Region_Code]])</f>
        <v>5208.46</v>
      </c>
      <c r="Q73">
        <f>AVERAGEIFS(I73:I572,F73:F572,Table8[[#This Row],[Category]],N73:N572,Table8[[#This Row],[Region_Code]])</f>
        <v>816.59769230769245</v>
      </c>
      <c r="R73">
        <f>AVERAGEIFS(K73:K572,F73:F572,Table8[[#This Row],[Category]],N73:N572,Table8[[#This Row],[Region_Code]])</f>
        <v>200.32538461538462</v>
      </c>
    </row>
    <row r="74" spans="1:18" x14ac:dyDescent="0.3">
      <c r="A74" t="s">
        <v>270</v>
      </c>
      <c r="B74" t="s">
        <v>271</v>
      </c>
      <c r="C74" t="s">
        <v>272</v>
      </c>
      <c r="D74" t="s">
        <v>171</v>
      </c>
      <c r="E74" t="s">
        <v>81</v>
      </c>
      <c r="F74" t="s">
        <v>68</v>
      </c>
      <c r="G74">
        <v>15</v>
      </c>
      <c r="H74">
        <v>19.23</v>
      </c>
      <c r="I74">
        <v>288.45</v>
      </c>
      <c r="J74">
        <v>20.22</v>
      </c>
      <c r="K74">
        <v>35.729999999999997</v>
      </c>
      <c r="L74" t="s">
        <v>24</v>
      </c>
      <c r="M74" t="s">
        <v>25</v>
      </c>
      <c r="N74" t="s">
        <v>35</v>
      </c>
      <c r="O74">
        <f>SUMIFS(I74:I573,F74:F573,Table8[[#This Row],[Category]],N74:N573,Table8[[#This Row],[Region_Code]])</f>
        <v>27503.039999999994</v>
      </c>
      <c r="P74" s="13">
        <f>SUMIFS(K74:K573,F74:F573,Table8[[#This Row],[Category]],N74:N573,Table8[[#This Row],[Region_Code]])</f>
        <v>7537.44</v>
      </c>
      <c r="Q74">
        <f>AVERAGEIFS(I74:I573,F74:F573,Table8[[#This Row],[Category]],N74:N573,Table8[[#This Row],[Region_Code]])</f>
        <v>785.80114285714262</v>
      </c>
      <c r="R74">
        <f>AVERAGEIFS(K74:K573,F74:F573,Table8[[#This Row],[Category]],N74:N573,Table8[[#This Row],[Region_Code]])</f>
        <v>215.35542857142855</v>
      </c>
    </row>
    <row r="75" spans="1:18" x14ac:dyDescent="0.3">
      <c r="A75" t="s">
        <v>273</v>
      </c>
      <c r="B75" t="s">
        <v>274</v>
      </c>
      <c r="C75" t="s">
        <v>151</v>
      </c>
      <c r="D75" t="s">
        <v>37</v>
      </c>
      <c r="E75" t="s">
        <v>137</v>
      </c>
      <c r="F75" t="s">
        <v>68</v>
      </c>
      <c r="G75">
        <v>34</v>
      </c>
      <c r="H75">
        <v>45.54</v>
      </c>
      <c r="I75">
        <v>1548.36</v>
      </c>
      <c r="J75">
        <v>36.76</v>
      </c>
      <c r="K75">
        <v>559.6</v>
      </c>
      <c r="L75" t="s">
        <v>24</v>
      </c>
      <c r="M75" t="s">
        <v>25</v>
      </c>
      <c r="N75" t="s">
        <v>35</v>
      </c>
      <c r="O75">
        <f>SUMIFS(I75:I574,F75:F574,Table8[[#This Row],[Category]],N75:N574,Table8[[#This Row],[Region_Code]])</f>
        <v>27214.589999999997</v>
      </c>
      <c r="P75" s="13">
        <f>SUMIFS(K75:K574,F75:F574,Table8[[#This Row],[Category]],N75:N574,Table8[[#This Row],[Region_Code]])</f>
        <v>7501.71</v>
      </c>
      <c r="Q75">
        <f>AVERAGEIFS(I75:I574,F75:F574,Table8[[#This Row],[Category]],N75:N574,Table8[[#This Row],[Region_Code]])</f>
        <v>800.42911764705877</v>
      </c>
      <c r="R75">
        <f>AVERAGEIFS(K75:K574,F75:F574,Table8[[#This Row],[Category]],N75:N574,Table8[[#This Row],[Region_Code]])</f>
        <v>220.63852941176469</v>
      </c>
    </row>
    <row r="76" spans="1:18" x14ac:dyDescent="0.3">
      <c r="A76" t="s">
        <v>275</v>
      </c>
      <c r="B76" t="s">
        <v>276</v>
      </c>
      <c r="C76" t="s">
        <v>277</v>
      </c>
      <c r="D76" t="s">
        <v>171</v>
      </c>
      <c r="E76" t="s">
        <v>56</v>
      </c>
      <c r="F76" t="s">
        <v>57</v>
      </c>
      <c r="G76">
        <v>33</v>
      </c>
      <c r="H76">
        <v>63.88</v>
      </c>
      <c r="I76">
        <v>2108.04</v>
      </c>
      <c r="J76">
        <v>111.7</v>
      </c>
      <c r="K76">
        <v>676.34</v>
      </c>
      <c r="L76" t="s">
        <v>24</v>
      </c>
      <c r="M76" t="s">
        <v>41</v>
      </c>
      <c r="N76" t="s">
        <v>35</v>
      </c>
      <c r="O76">
        <f>SUMIFS(I76:I575,F76:F575,Table8[[#This Row],[Category]],N76:N575,Table8[[#This Row],[Region_Code]])</f>
        <v>9659.0700000000015</v>
      </c>
      <c r="P76" s="13">
        <f>SUMIFS(K76:K575,F76:F575,Table8[[#This Row],[Category]],N76:N575,Table8[[#This Row],[Region_Code]])</f>
        <v>3140.11</v>
      </c>
      <c r="Q76">
        <f>AVERAGEIFS(I76:I575,F76:F575,Table8[[#This Row],[Category]],N76:N575,Table8[[#This Row],[Region_Code]])</f>
        <v>1379.8671428571431</v>
      </c>
      <c r="R76">
        <f>AVERAGEIFS(K76:K575,F76:F575,Table8[[#This Row],[Category]],N76:N575,Table8[[#This Row],[Region_Code]])</f>
        <v>448.58714285714285</v>
      </c>
    </row>
    <row r="77" spans="1:18" x14ac:dyDescent="0.3">
      <c r="A77" t="s">
        <v>278</v>
      </c>
      <c r="B77" t="s">
        <v>279</v>
      </c>
      <c r="C77" t="s">
        <v>148</v>
      </c>
      <c r="D77" t="s">
        <v>241</v>
      </c>
      <c r="E77" t="s">
        <v>32</v>
      </c>
      <c r="F77" t="s">
        <v>23</v>
      </c>
      <c r="G77">
        <v>39</v>
      </c>
      <c r="H77">
        <v>25.38</v>
      </c>
      <c r="I77">
        <v>989.82</v>
      </c>
      <c r="J77">
        <v>50.82</v>
      </c>
      <c r="K77">
        <v>237</v>
      </c>
      <c r="L77" t="s">
        <v>33</v>
      </c>
      <c r="M77" t="s">
        <v>34</v>
      </c>
      <c r="N77" t="s">
        <v>35</v>
      </c>
      <c r="O77">
        <f>SUMIFS(I77:I576,F77:F576,Table8[[#This Row],[Category]],N77:N576,Table8[[#This Row],[Region_Code]])</f>
        <v>27534.36</v>
      </c>
      <c r="P77" s="13">
        <f>SUMIFS(K77:K576,F77:F576,Table8[[#This Row],[Category]],N77:N576,Table8[[#This Row],[Region_Code]])</f>
        <v>7148.6299999999992</v>
      </c>
      <c r="Q77">
        <f>AVERAGEIFS(I77:I576,F77:F576,Table8[[#This Row],[Category]],N77:N576,Table8[[#This Row],[Region_Code]])</f>
        <v>1059.0138461538461</v>
      </c>
      <c r="R77">
        <f>AVERAGEIFS(K77:K576,F77:F576,Table8[[#This Row],[Category]],N77:N576,Table8[[#This Row],[Region_Code]])</f>
        <v>274.94730769230767</v>
      </c>
    </row>
    <row r="78" spans="1:18" x14ac:dyDescent="0.3">
      <c r="A78" t="s">
        <v>280</v>
      </c>
      <c r="B78" t="s">
        <v>281</v>
      </c>
      <c r="C78" t="s">
        <v>282</v>
      </c>
      <c r="D78" t="s">
        <v>70</v>
      </c>
      <c r="E78" t="s">
        <v>74</v>
      </c>
      <c r="F78" t="s">
        <v>75</v>
      </c>
      <c r="G78">
        <v>9</v>
      </c>
      <c r="H78">
        <v>38.979999999999997</v>
      </c>
      <c r="I78">
        <v>350.82</v>
      </c>
      <c r="J78">
        <v>25.56</v>
      </c>
      <c r="K78">
        <v>100.26</v>
      </c>
      <c r="L78" t="s">
        <v>24</v>
      </c>
      <c r="M78" t="s">
        <v>25</v>
      </c>
      <c r="N78" t="s">
        <v>76</v>
      </c>
      <c r="O78">
        <f>SUMIFS(I78:I577,F78:F577,Table8[[#This Row],[Category]],N78:N577,Table8[[#This Row],[Region_Code]])</f>
        <v>18955.849999999999</v>
      </c>
      <c r="P78" s="13">
        <f>SUMIFS(K78:K577,F78:F577,Table8[[#This Row],[Category]],N78:N577,Table8[[#This Row],[Region_Code]])</f>
        <v>5170.9900000000007</v>
      </c>
      <c r="Q78">
        <f>AVERAGEIFS(I78:I577,F78:F577,Table8[[#This Row],[Category]],N78:N577,Table8[[#This Row],[Region_Code]])</f>
        <v>861.62954545454534</v>
      </c>
      <c r="R78">
        <f>AVERAGEIFS(K78:K577,F78:F577,Table8[[#This Row],[Category]],N78:N577,Table8[[#This Row],[Region_Code]])</f>
        <v>235.04500000000004</v>
      </c>
    </row>
    <row r="79" spans="1:18" x14ac:dyDescent="0.3">
      <c r="A79" t="s">
        <v>283</v>
      </c>
      <c r="B79" t="s">
        <v>284</v>
      </c>
      <c r="C79" t="s">
        <v>285</v>
      </c>
      <c r="D79" t="s">
        <v>141</v>
      </c>
      <c r="E79" t="s">
        <v>63</v>
      </c>
      <c r="F79" t="s">
        <v>47</v>
      </c>
      <c r="G79">
        <v>14</v>
      </c>
      <c r="H79">
        <v>35.86</v>
      </c>
      <c r="I79">
        <v>502.04</v>
      </c>
      <c r="J79">
        <v>40.130000000000003</v>
      </c>
      <c r="K79">
        <v>181.91</v>
      </c>
      <c r="L79" t="s">
        <v>48</v>
      </c>
      <c r="M79" t="s">
        <v>41</v>
      </c>
      <c r="N79" t="s">
        <v>142</v>
      </c>
      <c r="O79">
        <f>SUMIFS(I79:I578,F79:F578,Table8[[#This Row],[Category]],N79:N578,Table8[[#This Row],[Region_Code]])</f>
        <v>7452.9400000000005</v>
      </c>
      <c r="P79" s="13">
        <f>SUMIFS(K79:K578,F79:F578,Table8[[#This Row],[Category]],N79:N578,Table8[[#This Row],[Region_Code]])</f>
        <v>2392.4</v>
      </c>
      <c r="Q79">
        <f>AVERAGEIFS(I79:I578,F79:F578,Table8[[#This Row],[Category]],N79:N578,Table8[[#This Row],[Region_Code]])</f>
        <v>745.2940000000001</v>
      </c>
      <c r="R79">
        <f>AVERAGEIFS(K79:K578,F79:F578,Table8[[#This Row],[Category]],N79:N578,Table8[[#This Row],[Region_Code]])</f>
        <v>239.24</v>
      </c>
    </row>
    <row r="80" spans="1:18" x14ac:dyDescent="0.3">
      <c r="A80" t="s">
        <v>286</v>
      </c>
      <c r="B80" t="s">
        <v>287</v>
      </c>
      <c r="C80" t="s">
        <v>288</v>
      </c>
      <c r="D80" t="s">
        <v>127</v>
      </c>
      <c r="E80" t="s">
        <v>81</v>
      </c>
      <c r="F80" t="s">
        <v>68</v>
      </c>
      <c r="G80">
        <v>49</v>
      </c>
      <c r="H80">
        <v>21.37</v>
      </c>
      <c r="I80">
        <v>1047.1300000000001</v>
      </c>
      <c r="J80">
        <v>65.98</v>
      </c>
      <c r="K80">
        <v>221.65</v>
      </c>
      <c r="L80" t="s">
        <v>48</v>
      </c>
      <c r="M80" t="s">
        <v>41</v>
      </c>
      <c r="N80" t="s">
        <v>76</v>
      </c>
      <c r="O80">
        <f>SUMIFS(I80:I579,F80:F579,Table8[[#This Row],[Category]],N80:N579,Table8[[#This Row],[Region_Code]])</f>
        <v>47776.640000000007</v>
      </c>
      <c r="P80" s="13">
        <f>SUMIFS(K80:K579,F80:F579,Table8[[#This Row],[Category]],N80:N579,Table8[[#This Row],[Region_Code]])</f>
        <v>13192.519999999995</v>
      </c>
      <c r="Q80">
        <f>AVERAGEIFS(I80:I579,F80:F579,Table8[[#This Row],[Category]],N80:N579,Table8[[#This Row],[Region_Code]])</f>
        <v>884.75259259259269</v>
      </c>
      <c r="R80">
        <f>AVERAGEIFS(K80:K579,F80:F579,Table8[[#This Row],[Category]],N80:N579,Table8[[#This Row],[Region_Code]])</f>
        <v>244.30592592592583</v>
      </c>
    </row>
    <row r="81" spans="1:18" x14ac:dyDescent="0.3">
      <c r="A81" t="s">
        <v>289</v>
      </c>
      <c r="B81" t="s">
        <v>205</v>
      </c>
      <c r="C81" t="s">
        <v>290</v>
      </c>
      <c r="D81" t="s">
        <v>62</v>
      </c>
      <c r="E81" t="s">
        <v>32</v>
      </c>
      <c r="F81" t="s">
        <v>23</v>
      </c>
      <c r="G81">
        <v>42</v>
      </c>
      <c r="H81">
        <v>24.57</v>
      </c>
      <c r="I81">
        <v>1031.94</v>
      </c>
      <c r="J81">
        <v>56.45</v>
      </c>
      <c r="K81">
        <v>219.49</v>
      </c>
      <c r="L81" t="s">
        <v>33</v>
      </c>
      <c r="M81" t="s">
        <v>25</v>
      </c>
      <c r="N81" t="s">
        <v>98</v>
      </c>
      <c r="O81">
        <f>SUMIFS(I81:I580,F81:F580,Table8[[#This Row],[Category]],N81:N580,Table8[[#This Row],[Region_Code]])</f>
        <v>19195.59</v>
      </c>
      <c r="P81" s="13">
        <f>SUMIFS(K81:K580,F81:F580,Table8[[#This Row],[Category]],N81:N580,Table8[[#This Row],[Region_Code]])</f>
        <v>5081.17</v>
      </c>
      <c r="Q81">
        <f>AVERAGEIFS(I81:I580,F81:F580,Table8[[#This Row],[Category]],N81:N580,Table8[[#This Row],[Region_Code]])</f>
        <v>1279.7059999999999</v>
      </c>
      <c r="R81">
        <f>AVERAGEIFS(K81:K580,F81:F580,Table8[[#This Row],[Category]],N81:N580,Table8[[#This Row],[Region_Code]])</f>
        <v>338.74466666666666</v>
      </c>
    </row>
    <row r="82" spans="1:18" x14ac:dyDescent="0.3">
      <c r="A82" t="s">
        <v>291</v>
      </c>
      <c r="B82" t="s">
        <v>292</v>
      </c>
      <c r="C82" t="s">
        <v>290</v>
      </c>
      <c r="D82" t="s">
        <v>116</v>
      </c>
      <c r="E82" t="s">
        <v>32</v>
      </c>
      <c r="F82" t="s">
        <v>23</v>
      </c>
      <c r="G82">
        <v>42</v>
      </c>
      <c r="H82">
        <v>26.39</v>
      </c>
      <c r="I82">
        <v>1108.3800000000001</v>
      </c>
      <c r="J82">
        <v>44.56</v>
      </c>
      <c r="K82">
        <v>307.82</v>
      </c>
      <c r="L82" t="s">
        <v>33</v>
      </c>
      <c r="M82" t="s">
        <v>25</v>
      </c>
      <c r="N82" t="s">
        <v>76</v>
      </c>
      <c r="O82">
        <f>SUMIFS(I82:I581,F82:F581,Table8[[#This Row],[Category]],N82:N581,Table8[[#This Row],[Region_Code]])</f>
        <v>24977.25</v>
      </c>
      <c r="P82" s="13">
        <f>SUMIFS(K82:K581,F82:F581,Table8[[#This Row],[Category]],N82:N581,Table8[[#This Row],[Region_Code]])</f>
        <v>7009.2199999999993</v>
      </c>
      <c r="Q82">
        <f>AVERAGEIFS(I82:I581,F82:F581,Table8[[#This Row],[Category]],N82:N581,Table8[[#This Row],[Region_Code]])</f>
        <v>892.04464285714289</v>
      </c>
      <c r="R82">
        <f>AVERAGEIFS(K82:K581,F82:F581,Table8[[#This Row],[Category]],N82:N581,Table8[[#This Row],[Region_Code]])</f>
        <v>250.3292857142857</v>
      </c>
    </row>
    <row r="83" spans="1:18" x14ac:dyDescent="0.3">
      <c r="A83" t="s">
        <v>293</v>
      </c>
      <c r="B83" t="s">
        <v>294</v>
      </c>
      <c r="C83" t="s">
        <v>288</v>
      </c>
      <c r="D83" t="s">
        <v>55</v>
      </c>
      <c r="E83" t="s">
        <v>63</v>
      </c>
      <c r="F83" t="s">
        <v>47</v>
      </c>
      <c r="G83">
        <v>50</v>
      </c>
      <c r="H83">
        <v>29.73</v>
      </c>
      <c r="I83">
        <v>1486.5</v>
      </c>
      <c r="J83">
        <v>96.77</v>
      </c>
      <c r="K83">
        <v>389.73</v>
      </c>
      <c r="L83" t="s">
        <v>48</v>
      </c>
      <c r="M83" t="s">
        <v>25</v>
      </c>
      <c r="N83" t="s">
        <v>98</v>
      </c>
      <c r="O83">
        <f>SUMIFS(I83:I582,F83:F582,Table8[[#This Row],[Category]],N83:N582,Table8[[#This Row],[Region_Code]])</f>
        <v>20898.090000000004</v>
      </c>
      <c r="P83" s="13">
        <f>SUMIFS(K83:K582,F83:F582,Table8[[#This Row],[Category]],N83:N582,Table8[[#This Row],[Region_Code]])</f>
        <v>5083.1499999999996</v>
      </c>
      <c r="Q83">
        <f>AVERAGEIFS(I83:I582,F83:F582,Table8[[#This Row],[Category]],N83:N582,Table8[[#This Row],[Region_Code]])</f>
        <v>835.92360000000019</v>
      </c>
      <c r="R83">
        <f>AVERAGEIFS(K83:K582,F83:F582,Table8[[#This Row],[Category]],N83:N582,Table8[[#This Row],[Region_Code]])</f>
        <v>203.32599999999999</v>
      </c>
    </row>
    <row r="84" spans="1:18" x14ac:dyDescent="0.3">
      <c r="A84" t="s">
        <v>295</v>
      </c>
      <c r="B84" t="s">
        <v>296</v>
      </c>
      <c r="C84" t="s">
        <v>285</v>
      </c>
      <c r="D84" t="s">
        <v>51</v>
      </c>
      <c r="E84" t="s">
        <v>81</v>
      </c>
      <c r="F84" t="s">
        <v>68</v>
      </c>
      <c r="G84">
        <v>39</v>
      </c>
      <c r="H84">
        <v>20.56</v>
      </c>
      <c r="I84">
        <v>801.84</v>
      </c>
      <c r="J84">
        <v>43.55</v>
      </c>
      <c r="K84">
        <v>153.79</v>
      </c>
      <c r="L84" t="s">
        <v>24</v>
      </c>
      <c r="M84" t="s">
        <v>25</v>
      </c>
      <c r="N84" t="s">
        <v>76</v>
      </c>
      <c r="O84">
        <f>SUMIFS(I84:I583,F84:F583,Table8[[#This Row],[Category]],N84:N583,Table8[[#This Row],[Region_Code]])</f>
        <v>46729.51</v>
      </c>
      <c r="P84" s="13">
        <f>SUMIFS(K84:K583,F84:F583,Table8[[#This Row],[Category]],N84:N583,Table8[[#This Row],[Region_Code]])</f>
        <v>12970.869999999997</v>
      </c>
      <c r="Q84">
        <f>AVERAGEIFS(I84:I583,F84:F583,Table8[[#This Row],[Category]],N84:N583,Table8[[#This Row],[Region_Code]])</f>
        <v>881.68886792452838</v>
      </c>
      <c r="R84">
        <f>AVERAGEIFS(K84:K583,F84:F583,Table8[[#This Row],[Category]],N84:N583,Table8[[#This Row],[Region_Code]])</f>
        <v>244.73339622641504</v>
      </c>
    </row>
    <row r="85" spans="1:18" x14ac:dyDescent="0.3">
      <c r="A85" t="s">
        <v>297</v>
      </c>
      <c r="B85" t="s">
        <v>298</v>
      </c>
      <c r="C85" t="s">
        <v>30</v>
      </c>
      <c r="D85" t="s">
        <v>51</v>
      </c>
      <c r="E85" t="s">
        <v>81</v>
      </c>
      <c r="F85" t="s">
        <v>68</v>
      </c>
      <c r="G85">
        <v>48</v>
      </c>
      <c r="H85">
        <v>24.36</v>
      </c>
      <c r="I85">
        <v>1169.28</v>
      </c>
      <c r="J85">
        <v>81.599999999999994</v>
      </c>
      <c r="K85">
        <v>343.68</v>
      </c>
      <c r="L85" t="s">
        <v>48</v>
      </c>
      <c r="M85" t="s">
        <v>41</v>
      </c>
      <c r="N85" t="s">
        <v>76</v>
      </c>
      <c r="O85">
        <f>SUMIFS(I85:I584,F85:F584,Table8[[#This Row],[Category]],N85:N584,Table8[[#This Row],[Region_Code]])</f>
        <v>45927.670000000006</v>
      </c>
      <c r="P85" s="13">
        <f>SUMIFS(K85:K584,F85:F584,Table8[[#This Row],[Category]],N85:N584,Table8[[#This Row],[Region_Code]])</f>
        <v>12817.079999999996</v>
      </c>
      <c r="Q85">
        <f>AVERAGEIFS(I85:I584,F85:F584,Table8[[#This Row],[Category]],N85:N584,Table8[[#This Row],[Region_Code]])</f>
        <v>883.22442307692313</v>
      </c>
      <c r="R85">
        <f>AVERAGEIFS(K85:K584,F85:F584,Table8[[#This Row],[Category]],N85:N584,Table8[[#This Row],[Region_Code]])</f>
        <v>246.48230769230761</v>
      </c>
    </row>
    <row r="86" spans="1:18" x14ac:dyDescent="0.3">
      <c r="A86" t="s">
        <v>299</v>
      </c>
      <c r="B86" t="s">
        <v>300</v>
      </c>
      <c r="C86" t="s">
        <v>301</v>
      </c>
      <c r="D86" t="s">
        <v>241</v>
      </c>
      <c r="E86" t="s">
        <v>67</v>
      </c>
      <c r="F86" t="s">
        <v>68</v>
      </c>
      <c r="G86">
        <v>40</v>
      </c>
      <c r="H86">
        <v>27.95</v>
      </c>
      <c r="I86">
        <v>1118</v>
      </c>
      <c r="J86">
        <v>37.590000000000003</v>
      </c>
      <c r="K86">
        <v>180.41</v>
      </c>
      <c r="L86" t="s">
        <v>48</v>
      </c>
      <c r="M86" t="s">
        <v>41</v>
      </c>
      <c r="N86" t="s">
        <v>35</v>
      </c>
      <c r="O86">
        <f>SUMIFS(I86:I585,F86:F585,Table8[[#This Row],[Category]],N86:N585,Table8[[#This Row],[Region_Code]])</f>
        <v>25666.229999999996</v>
      </c>
      <c r="P86" s="13">
        <f>SUMIFS(K86:K585,F86:F585,Table8[[#This Row],[Category]],N86:N585,Table8[[#This Row],[Region_Code]])</f>
        <v>6942.11</v>
      </c>
      <c r="Q86">
        <f>AVERAGEIFS(I86:I585,F86:F585,Table8[[#This Row],[Category]],N86:N585,Table8[[#This Row],[Region_Code]])</f>
        <v>777.76454545454533</v>
      </c>
      <c r="R86">
        <f>AVERAGEIFS(K86:K585,F86:F585,Table8[[#This Row],[Category]],N86:N585,Table8[[#This Row],[Region_Code]])</f>
        <v>210.36696969696968</v>
      </c>
    </row>
    <row r="87" spans="1:18" x14ac:dyDescent="0.3">
      <c r="A87" t="s">
        <v>302</v>
      </c>
      <c r="B87" t="s">
        <v>303</v>
      </c>
      <c r="C87" t="s">
        <v>191</v>
      </c>
      <c r="D87" t="s">
        <v>70</v>
      </c>
      <c r="E87" t="s">
        <v>137</v>
      </c>
      <c r="F87" t="s">
        <v>68</v>
      </c>
      <c r="G87">
        <v>21</v>
      </c>
      <c r="H87">
        <v>40.19</v>
      </c>
      <c r="I87">
        <v>843.99</v>
      </c>
      <c r="J87">
        <v>32.4</v>
      </c>
      <c r="K87">
        <v>223.59</v>
      </c>
      <c r="L87" t="s">
        <v>33</v>
      </c>
      <c r="M87" t="s">
        <v>34</v>
      </c>
      <c r="N87" t="s">
        <v>76</v>
      </c>
      <c r="O87">
        <f>SUMIFS(I87:I586,F87:F586,Table8[[#This Row],[Category]],N87:N586,Table8[[#This Row],[Region_Code]])</f>
        <v>44758.390000000007</v>
      </c>
      <c r="P87" s="13">
        <f>SUMIFS(K87:K586,F87:F586,Table8[[#This Row],[Category]],N87:N586,Table8[[#This Row],[Region_Code]])</f>
        <v>12473.399999999998</v>
      </c>
      <c r="Q87">
        <f>AVERAGEIFS(I87:I586,F87:F586,Table8[[#This Row],[Category]],N87:N586,Table8[[#This Row],[Region_Code]])</f>
        <v>877.61549019607855</v>
      </c>
      <c r="R87">
        <f>AVERAGEIFS(K87:K586,F87:F586,Table8[[#This Row],[Category]],N87:N586,Table8[[#This Row],[Region_Code]])</f>
        <v>244.57647058823525</v>
      </c>
    </row>
    <row r="88" spans="1:18" x14ac:dyDescent="0.3">
      <c r="A88" t="s">
        <v>304</v>
      </c>
      <c r="B88" t="s">
        <v>159</v>
      </c>
      <c r="C88" t="s">
        <v>145</v>
      </c>
      <c r="D88" t="s">
        <v>116</v>
      </c>
      <c r="E88" t="s">
        <v>86</v>
      </c>
      <c r="F88" t="s">
        <v>47</v>
      </c>
      <c r="G88">
        <v>26</v>
      </c>
      <c r="H88">
        <v>16.670000000000002</v>
      </c>
      <c r="I88">
        <v>433.42</v>
      </c>
      <c r="J88">
        <v>32.79</v>
      </c>
      <c r="K88">
        <v>69.13</v>
      </c>
      <c r="L88" t="s">
        <v>48</v>
      </c>
      <c r="M88" t="s">
        <v>34</v>
      </c>
      <c r="N88" t="s">
        <v>76</v>
      </c>
      <c r="O88">
        <f>SUMIFS(I88:I587,F88:F587,Table8[[#This Row],[Category]],N88:N587,Table8[[#This Row],[Region_Code]])</f>
        <v>27316.020000000004</v>
      </c>
      <c r="P88" s="13">
        <f>SUMIFS(K88:K587,F88:F587,Table8[[#This Row],[Category]],N88:N587,Table8[[#This Row],[Region_Code]])</f>
        <v>7554.9500000000007</v>
      </c>
      <c r="Q88">
        <f>AVERAGEIFS(I88:I587,F88:F587,Table8[[#This Row],[Category]],N88:N587,Table8[[#This Row],[Region_Code]])</f>
        <v>803.41235294117655</v>
      </c>
      <c r="R88">
        <f>AVERAGEIFS(K88:K587,F88:F587,Table8[[#This Row],[Category]],N88:N587,Table8[[#This Row],[Region_Code]])</f>
        <v>222.2044117647059</v>
      </c>
    </row>
    <row r="89" spans="1:18" x14ac:dyDescent="0.3">
      <c r="A89" t="s">
        <v>305</v>
      </c>
      <c r="B89" t="s">
        <v>306</v>
      </c>
      <c r="C89" t="s">
        <v>307</v>
      </c>
      <c r="D89" t="s">
        <v>45</v>
      </c>
      <c r="E89" t="s">
        <v>46</v>
      </c>
      <c r="F89" t="s">
        <v>47</v>
      </c>
      <c r="G89">
        <v>28</v>
      </c>
      <c r="H89">
        <v>39.85</v>
      </c>
      <c r="I89">
        <v>1115.8</v>
      </c>
      <c r="J89">
        <v>43.87</v>
      </c>
      <c r="K89">
        <v>175.93</v>
      </c>
      <c r="L89" t="s">
        <v>48</v>
      </c>
      <c r="M89" t="s">
        <v>25</v>
      </c>
      <c r="N89" t="s">
        <v>49</v>
      </c>
      <c r="O89">
        <f>SUMIFS(I89:I588,F89:F588,Table8[[#This Row],[Category]],N89:N588,Table8[[#This Row],[Region_Code]])</f>
        <v>15417.43</v>
      </c>
      <c r="P89" s="13">
        <f>SUMIFS(K89:K588,F89:F588,Table8[[#This Row],[Category]],N89:N588,Table8[[#This Row],[Region_Code]])</f>
        <v>4211.6500000000005</v>
      </c>
      <c r="Q89">
        <f>AVERAGEIFS(I89:I588,F89:F588,Table8[[#This Row],[Category]],N89:N588,Table8[[#This Row],[Region_Code]])</f>
        <v>906.9076470588235</v>
      </c>
      <c r="R89">
        <f>AVERAGEIFS(K89:K588,F89:F588,Table8[[#This Row],[Category]],N89:N588,Table8[[#This Row],[Region_Code]])</f>
        <v>247.74411764705886</v>
      </c>
    </row>
    <row r="90" spans="1:18" x14ac:dyDescent="0.3">
      <c r="A90" t="s">
        <v>308</v>
      </c>
      <c r="B90" t="s">
        <v>309</v>
      </c>
      <c r="C90" t="s">
        <v>307</v>
      </c>
      <c r="D90" t="s">
        <v>62</v>
      </c>
      <c r="E90" t="s">
        <v>86</v>
      </c>
      <c r="F90" t="s">
        <v>47</v>
      </c>
      <c r="G90">
        <v>47</v>
      </c>
      <c r="H90">
        <v>15.97</v>
      </c>
      <c r="I90">
        <v>750.59</v>
      </c>
      <c r="J90">
        <v>48.55</v>
      </c>
      <c r="K90">
        <v>102.79</v>
      </c>
      <c r="L90" t="s">
        <v>48</v>
      </c>
      <c r="M90" t="s">
        <v>41</v>
      </c>
      <c r="N90" t="s">
        <v>98</v>
      </c>
      <c r="O90">
        <f>SUMIFS(I90:I589,F90:F589,Table8[[#This Row],[Category]],N90:N589,Table8[[#This Row],[Region_Code]])</f>
        <v>19411.590000000004</v>
      </c>
      <c r="P90" s="13">
        <f>SUMIFS(K90:K589,F90:F589,Table8[[#This Row],[Category]],N90:N589,Table8[[#This Row],[Region_Code]])</f>
        <v>4693.4199999999992</v>
      </c>
      <c r="Q90">
        <f>AVERAGEIFS(I90:I589,F90:F589,Table8[[#This Row],[Category]],N90:N589,Table8[[#This Row],[Region_Code]])</f>
        <v>808.8162500000002</v>
      </c>
      <c r="R90">
        <f>AVERAGEIFS(K90:K589,F90:F589,Table8[[#This Row],[Category]],N90:N589,Table8[[#This Row],[Region_Code]])</f>
        <v>195.55916666666664</v>
      </c>
    </row>
    <row r="91" spans="1:18" x14ac:dyDescent="0.3">
      <c r="A91" t="s">
        <v>310</v>
      </c>
      <c r="B91" t="s">
        <v>311</v>
      </c>
      <c r="C91" t="s">
        <v>216</v>
      </c>
      <c r="D91" t="s">
        <v>51</v>
      </c>
      <c r="E91" t="s">
        <v>56</v>
      </c>
      <c r="F91" t="s">
        <v>57</v>
      </c>
      <c r="G91">
        <v>28</v>
      </c>
      <c r="H91">
        <v>53.6</v>
      </c>
      <c r="I91">
        <v>1500.8</v>
      </c>
      <c r="J91">
        <v>68.55</v>
      </c>
      <c r="K91">
        <v>312.25</v>
      </c>
      <c r="L91" t="s">
        <v>33</v>
      </c>
      <c r="M91" t="s">
        <v>34</v>
      </c>
      <c r="N91" t="s">
        <v>76</v>
      </c>
      <c r="O91">
        <f>SUMIFS(I91:I590,F91:F590,Table8[[#This Row],[Category]],N91:N590,Table8[[#This Row],[Region_Code]])</f>
        <v>23462.659999999996</v>
      </c>
      <c r="P91" s="13">
        <f>SUMIFS(K91:K590,F91:F590,Table8[[#This Row],[Category]],N91:N590,Table8[[#This Row],[Region_Code]])</f>
        <v>6413.35</v>
      </c>
      <c r="Q91">
        <f>AVERAGEIFS(I91:I590,F91:F590,Table8[[#This Row],[Category]],N91:N590,Table8[[#This Row],[Region_Code]])</f>
        <v>1303.481111111111</v>
      </c>
      <c r="R91">
        <f>AVERAGEIFS(K91:K590,F91:F590,Table8[[#This Row],[Category]],N91:N590,Table8[[#This Row],[Region_Code]])</f>
        <v>356.29722222222222</v>
      </c>
    </row>
    <row r="92" spans="1:18" x14ac:dyDescent="0.3">
      <c r="A92" t="s">
        <v>312</v>
      </c>
      <c r="B92" t="s">
        <v>263</v>
      </c>
      <c r="C92" t="s">
        <v>174</v>
      </c>
      <c r="D92" t="s">
        <v>70</v>
      </c>
      <c r="E92" t="s">
        <v>137</v>
      </c>
      <c r="F92" t="s">
        <v>68</v>
      </c>
      <c r="G92">
        <v>37</v>
      </c>
      <c r="H92">
        <v>40.049999999999997</v>
      </c>
      <c r="I92">
        <v>1481.85</v>
      </c>
      <c r="J92">
        <v>45.6</v>
      </c>
      <c r="K92">
        <v>400.25</v>
      </c>
      <c r="L92" t="s">
        <v>24</v>
      </c>
      <c r="M92" t="s">
        <v>41</v>
      </c>
      <c r="N92" t="s">
        <v>76</v>
      </c>
      <c r="O92">
        <f>SUMIFS(I92:I591,F92:F591,Table8[[#This Row],[Category]],N92:N591,Table8[[#This Row],[Region_Code]])</f>
        <v>43914.400000000016</v>
      </c>
      <c r="P92" s="13">
        <f>SUMIFS(K92:K591,F92:F591,Table8[[#This Row],[Category]],N92:N591,Table8[[#This Row],[Region_Code]])</f>
        <v>12249.809999999998</v>
      </c>
      <c r="Q92">
        <f>AVERAGEIFS(I92:I591,F92:F591,Table8[[#This Row],[Category]],N92:N591,Table8[[#This Row],[Region_Code]])</f>
        <v>878.28800000000035</v>
      </c>
      <c r="R92">
        <f>AVERAGEIFS(K92:K591,F92:F591,Table8[[#This Row],[Category]],N92:N591,Table8[[#This Row],[Region_Code]])</f>
        <v>244.99619999999996</v>
      </c>
    </row>
    <row r="93" spans="1:18" x14ac:dyDescent="0.3">
      <c r="A93" t="s">
        <v>313</v>
      </c>
      <c r="B93" t="s">
        <v>314</v>
      </c>
      <c r="C93" t="s">
        <v>222</v>
      </c>
      <c r="D93" t="s">
        <v>37</v>
      </c>
      <c r="E93" t="s">
        <v>22</v>
      </c>
      <c r="F93" t="s">
        <v>23</v>
      </c>
      <c r="G93">
        <v>45</v>
      </c>
      <c r="H93">
        <v>43.74</v>
      </c>
      <c r="I93">
        <v>1968.3</v>
      </c>
      <c r="J93">
        <v>80.55</v>
      </c>
      <c r="K93">
        <v>312.75</v>
      </c>
      <c r="L93" t="s">
        <v>33</v>
      </c>
      <c r="M93" t="s">
        <v>41</v>
      </c>
      <c r="N93" t="s">
        <v>35</v>
      </c>
      <c r="O93">
        <f>SUMIFS(I93:I592,F93:F592,Table8[[#This Row],[Category]],N93:N592,Table8[[#This Row],[Region_Code]])</f>
        <v>26544.54</v>
      </c>
      <c r="P93" s="13">
        <f>SUMIFS(K93:K592,F93:F592,Table8[[#This Row],[Category]],N93:N592,Table8[[#This Row],[Region_Code]])</f>
        <v>6911.6299999999992</v>
      </c>
      <c r="Q93">
        <f>AVERAGEIFS(I93:I592,F93:F592,Table8[[#This Row],[Category]],N93:N592,Table8[[#This Row],[Region_Code]])</f>
        <v>1061.7816</v>
      </c>
      <c r="R93">
        <f>AVERAGEIFS(K93:K592,F93:F592,Table8[[#This Row],[Category]],N93:N592,Table8[[#This Row],[Region_Code]])</f>
        <v>276.46519999999998</v>
      </c>
    </row>
    <row r="94" spans="1:18" x14ac:dyDescent="0.3">
      <c r="A94" t="s">
        <v>315</v>
      </c>
      <c r="B94" t="s">
        <v>316</v>
      </c>
      <c r="C94" t="s">
        <v>317</v>
      </c>
      <c r="D94" t="s">
        <v>31</v>
      </c>
      <c r="E94" t="s">
        <v>81</v>
      </c>
      <c r="F94" t="s">
        <v>68</v>
      </c>
      <c r="G94">
        <v>9</v>
      </c>
      <c r="H94">
        <v>24.63</v>
      </c>
      <c r="I94">
        <v>221.67</v>
      </c>
      <c r="J94">
        <v>13.53</v>
      </c>
      <c r="K94">
        <v>68.64</v>
      </c>
      <c r="L94" t="s">
        <v>33</v>
      </c>
      <c r="M94" t="s">
        <v>41</v>
      </c>
      <c r="N94" t="s">
        <v>35</v>
      </c>
      <c r="O94">
        <f>SUMIFS(I94:I593,F94:F593,Table8[[#This Row],[Category]],N94:N593,Table8[[#This Row],[Region_Code]])</f>
        <v>24548.229999999996</v>
      </c>
      <c r="P94" s="13">
        <f>SUMIFS(K94:K593,F94:F593,Table8[[#This Row],[Category]],N94:N593,Table8[[#This Row],[Region_Code]])</f>
        <v>6761.7</v>
      </c>
      <c r="Q94">
        <f>AVERAGEIFS(I94:I593,F94:F593,Table8[[#This Row],[Category]],N94:N593,Table8[[#This Row],[Region_Code]])</f>
        <v>767.13218749999987</v>
      </c>
      <c r="R94">
        <f>AVERAGEIFS(K94:K593,F94:F593,Table8[[#This Row],[Category]],N94:N593,Table8[[#This Row],[Region_Code]])</f>
        <v>211.30312499999999</v>
      </c>
    </row>
    <row r="95" spans="1:18" x14ac:dyDescent="0.3">
      <c r="A95" t="s">
        <v>318</v>
      </c>
      <c r="B95" t="s">
        <v>319</v>
      </c>
      <c r="C95" t="s">
        <v>54</v>
      </c>
      <c r="D95" t="s">
        <v>141</v>
      </c>
      <c r="E95" t="s">
        <v>81</v>
      </c>
      <c r="F95" t="s">
        <v>68</v>
      </c>
      <c r="G95">
        <v>6</v>
      </c>
      <c r="H95">
        <v>21.79</v>
      </c>
      <c r="I95">
        <v>130.74</v>
      </c>
      <c r="J95">
        <v>7.75</v>
      </c>
      <c r="K95">
        <v>29.99</v>
      </c>
      <c r="L95" t="s">
        <v>33</v>
      </c>
      <c r="M95" t="s">
        <v>41</v>
      </c>
      <c r="N95" t="s">
        <v>142</v>
      </c>
      <c r="O95">
        <f>SUMIFS(I95:I594,F95:F594,Table8[[#This Row],[Category]],N95:N594,Table8[[#This Row],[Region_Code]])</f>
        <v>7635.92</v>
      </c>
      <c r="P95" s="13">
        <f>SUMIFS(K95:K594,F95:F594,Table8[[#This Row],[Category]],N95:N594,Table8[[#This Row],[Region_Code]])</f>
        <v>2227.31</v>
      </c>
      <c r="Q95">
        <f>AVERAGEIFS(I95:I594,F95:F594,Table8[[#This Row],[Category]],N95:N594,Table8[[#This Row],[Region_Code]])</f>
        <v>848.43555555555554</v>
      </c>
      <c r="R95">
        <f>AVERAGEIFS(K95:K594,F95:F594,Table8[[#This Row],[Category]],N95:N594,Table8[[#This Row],[Region_Code]])</f>
        <v>247.47888888888889</v>
      </c>
    </row>
    <row r="96" spans="1:18" x14ac:dyDescent="0.3">
      <c r="A96" t="s">
        <v>320</v>
      </c>
      <c r="B96" t="s">
        <v>226</v>
      </c>
      <c r="C96" t="s">
        <v>321</v>
      </c>
      <c r="D96" t="s">
        <v>171</v>
      </c>
      <c r="E96" t="s">
        <v>22</v>
      </c>
      <c r="F96" t="s">
        <v>23</v>
      </c>
      <c r="G96">
        <v>23</v>
      </c>
      <c r="H96">
        <v>58.43</v>
      </c>
      <c r="I96">
        <v>1343.89</v>
      </c>
      <c r="J96">
        <v>38.729999999999997</v>
      </c>
      <c r="K96">
        <v>500.16</v>
      </c>
      <c r="L96" t="s">
        <v>33</v>
      </c>
      <c r="M96" t="s">
        <v>25</v>
      </c>
      <c r="N96" t="s">
        <v>35</v>
      </c>
      <c r="O96">
        <f>SUMIFS(I96:I595,F96:F595,Table8[[#This Row],[Category]],N96:N595,Table8[[#This Row],[Region_Code]])</f>
        <v>24576.239999999998</v>
      </c>
      <c r="P96" s="13">
        <f>SUMIFS(K96:K595,F96:F595,Table8[[#This Row],[Category]],N96:N595,Table8[[#This Row],[Region_Code]])</f>
        <v>6598.8799999999992</v>
      </c>
      <c r="Q96">
        <f>AVERAGEIFS(I96:I595,F96:F595,Table8[[#This Row],[Category]],N96:N595,Table8[[#This Row],[Region_Code]])</f>
        <v>1024.01</v>
      </c>
      <c r="R96">
        <f>AVERAGEIFS(K96:K595,F96:F595,Table8[[#This Row],[Category]],N96:N595,Table8[[#This Row],[Region_Code]])</f>
        <v>274.95333333333332</v>
      </c>
    </row>
    <row r="97" spans="1:18" x14ac:dyDescent="0.3">
      <c r="A97" t="s">
        <v>322</v>
      </c>
      <c r="B97" t="s">
        <v>115</v>
      </c>
      <c r="C97" t="s">
        <v>323</v>
      </c>
      <c r="D97" t="s">
        <v>116</v>
      </c>
      <c r="E97" t="s">
        <v>56</v>
      </c>
      <c r="F97" t="s">
        <v>57</v>
      </c>
      <c r="G97">
        <v>19</v>
      </c>
      <c r="H97">
        <v>67.06</v>
      </c>
      <c r="I97">
        <v>1274.1400000000001</v>
      </c>
      <c r="J97">
        <v>85.73</v>
      </c>
      <c r="K97">
        <v>428.41</v>
      </c>
      <c r="L97" t="s">
        <v>24</v>
      </c>
      <c r="M97" t="s">
        <v>34</v>
      </c>
      <c r="N97" t="s">
        <v>76</v>
      </c>
      <c r="O97">
        <f>SUMIFS(I97:I596,F97:F596,Table8[[#This Row],[Category]],N97:N596,Table8[[#This Row],[Region_Code]])</f>
        <v>21961.86</v>
      </c>
      <c r="P97" s="13">
        <f>SUMIFS(K97:K596,F97:F596,Table8[[#This Row],[Category]],N97:N596,Table8[[#This Row],[Region_Code]])</f>
        <v>6101.1</v>
      </c>
      <c r="Q97">
        <f>AVERAGEIFS(I97:I596,F97:F596,Table8[[#This Row],[Category]],N97:N596,Table8[[#This Row],[Region_Code]])</f>
        <v>1291.8741176470589</v>
      </c>
      <c r="R97">
        <f>AVERAGEIFS(K97:K596,F97:F596,Table8[[#This Row],[Category]],N97:N596,Table8[[#This Row],[Region_Code]])</f>
        <v>358.88823529411769</v>
      </c>
    </row>
    <row r="98" spans="1:18" x14ac:dyDescent="0.3">
      <c r="A98" t="s">
        <v>324</v>
      </c>
      <c r="B98" t="s">
        <v>325</v>
      </c>
      <c r="C98" t="s">
        <v>317</v>
      </c>
      <c r="D98" t="s">
        <v>37</v>
      </c>
      <c r="E98" t="s">
        <v>32</v>
      </c>
      <c r="F98" t="s">
        <v>23</v>
      </c>
      <c r="G98">
        <v>4</v>
      </c>
      <c r="H98">
        <v>25.13</v>
      </c>
      <c r="I98">
        <v>100.52</v>
      </c>
      <c r="J98">
        <v>5.6</v>
      </c>
      <c r="K98">
        <v>22.92</v>
      </c>
      <c r="L98" t="s">
        <v>33</v>
      </c>
      <c r="M98" t="s">
        <v>41</v>
      </c>
      <c r="N98" t="s">
        <v>35</v>
      </c>
      <c r="O98">
        <f>SUMIFS(I98:I597,F98:F597,Table8[[#This Row],[Category]],N98:N597,Table8[[#This Row],[Region_Code]])</f>
        <v>23232.35</v>
      </c>
      <c r="P98" s="13">
        <f>SUMIFS(K98:K597,F98:F597,Table8[[#This Row],[Category]],N98:N597,Table8[[#This Row],[Region_Code]])</f>
        <v>6098.7199999999993</v>
      </c>
      <c r="Q98">
        <f>AVERAGEIFS(I98:I597,F98:F597,Table8[[#This Row],[Category]],N98:N597,Table8[[#This Row],[Region_Code]])</f>
        <v>1010.1021739130434</v>
      </c>
      <c r="R98">
        <f>AVERAGEIFS(K98:K597,F98:F597,Table8[[#This Row],[Category]],N98:N597,Table8[[#This Row],[Region_Code]])</f>
        <v>265.16173913043474</v>
      </c>
    </row>
    <row r="99" spans="1:18" x14ac:dyDescent="0.3">
      <c r="A99" t="s">
        <v>326</v>
      </c>
      <c r="B99" t="s">
        <v>327</v>
      </c>
      <c r="C99" t="s">
        <v>328</v>
      </c>
      <c r="D99" t="s">
        <v>37</v>
      </c>
      <c r="E99" t="s">
        <v>81</v>
      </c>
      <c r="F99" t="s">
        <v>68</v>
      </c>
      <c r="G99">
        <v>26</v>
      </c>
      <c r="H99">
        <v>19.34</v>
      </c>
      <c r="I99">
        <v>502.84</v>
      </c>
      <c r="J99">
        <v>26.51</v>
      </c>
      <c r="K99">
        <v>73.33</v>
      </c>
      <c r="L99" t="s">
        <v>33</v>
      </c>
      <c r="M99" t="s">
        <v>25</v>
      </c>
      <c r="N99" t="s">
        <v>35</v>
      </c>
      <c r="O99">
        <f>SUMIFS(I99:I598,F99:F598,Table8[[#This Row],[Category]],N99:N598,Table8[[#This Row],[Region_Code]])</f>
        <v>24326.559999999998</v>
      </c>
      <c r="P99" s="13">
        <f>SUMIFS(K99:K598,F99:F598,Table8[[#This Row],[Category]],N99:N598,Table8[[#This Row],[Region_Code]])</f>
        <v>6693.0599999999986</v>
      </c>
      <c r="Q99">
        <f>AVERAGEIFS(I99:I598,F99:F598,Table8[[#This Row],[Category]],N99:N598,Table8[[#This Row],[Region_Code]])</f>
        <v>784.72774193548378</v>
      </c>
      <c r="R99">
        <f>AVERAGEIFS(K99:K598,F99:F598,Table8[[#This Row],[Category]],N99:N598,Table8[[#This Row],[Region_Code]])</f>
        <v>215.90516129032252</v>
      </c>
    </row>
    <row r="100" spans="1:18" x14ac:dyDescent="0.3">
      <c r="A100" t="s">
        <v>329</v>
      </c>
      <c r="B100" t="s">
        <v>330</v>
      </c>
      <c r="C100" t="s">
        <v>331</v>
      </c>
      <c r="D100" t="s">
        <v>141</v>
      </c>
      <c r="E100" t="s">
        <v>63</v>
      </c>
      <c r="F100" t="s">
        <v>47</v>
      </c>
      <c r="G100">
        <v>26</v>
      </c>
      <c r="H100">
        <v>35.81</v>
      </c>
      <c r="I100">
        <v>931.06</v>
      </c>
      <c r="J100">
        <v>61.06</v>
      </c>
      <c r="K100">
        <v>350</v>
      </c>
      <c r="L100" t="s">
        <v>24</v>
      </c>
      <c r="M100" t="s">
        <v>25</v>
      </c>
      <c r="N100" t="s">
        <v>142</v>
      </c>
      <c r="O100">
        <f>SUMIFS(I100:I599,F100:F599,Table8[[#This Row],[Category]],N100:N599,Table8[[#This Row],[Region_Code]])</f>
        <v>6950.9</v>
      </c>
      <c r="P100" s="13">
        <f>SUMIFS(K100:K599,F100:F599,Table8[[#This Row],[Category]],N100:N599,Table8[[#This Row],[Region_Code]])</f>
        <v>2210.4900000000002</v>
      </c>
      <c r="Q100">
        <f>AVERAGEIFS(I100:I599,F100:F599,Table8[[#This Row],[Category]],N100:N599,Table8[[#This Row],[Region_Code]])</f>
        <v>772.32222222222219</v>
      </c>
      <c r="R100">
        <f>AVERAGEIFS(K100:K599,F100:F599,Table8[[#This Row],[Category]],N100:N599,Table8[[#This Row],[Region_Code]])</f>
        <v>245.61</v>
      </c>
    </row>
    <row r="101" spans="1:18" x14ac:dyDescent="0.3">
      <c r="A101" t="s">
        <v>332</v>
      </c>
      <c r="B101" t="s">
        <v>333</v>
      </c>
      <c r="C101" t="s">
        <v>334</v>
      </c>
      <c r="D101" t="s">
        <v>116</v>
      </c>
      <c r="E101" t="s">
        <v>67</v>
      </c>
      <c r="F101" t="s">
        <v>68</v>
      </c>
      <c r="G101">
        <v>42</v>
      </c>
      <c r="H101">
        <v>39.950000000000003</v>
      </c>
      <c r="I101">
        <v>1677.9</v>
      </c>
      <c r="J101">
        <v>93.95</v>
      </c>
      <c r="K101">
        <v>638.95000000000005</v>
      </c>
      <c r="L101" t="s">
        <v>33</v>
      </c>
      <c r="M101" t="s">
        <v>34</v>
      </c>
      <c r="N101" t="s">
        <v>76</v>
      </c>
      <c r="O101">
        <f>SUMIFS(I101:I600,F101:F600,Table8[[#This Row],[Category]],N101:N600,Table8[[#This Row],[Region_Code]])</f>
        <v>42432.55000000001</v>
      </c>
      <c r="P101" s="13">
        <f>SUMIFS(K101:K600,F101:F600,Table8[[#This Row],[Category]],N101:N600,Table8[[#This Row],[Region_Code]])</f>
        <v>11849.559999999996</v>
      </c>
      <c r="Q101">
        <f>AVERAGEIFS(I101:I600,F101:F600,Table8[[#This Row],[Category]],N101:N600,Table8[[#This Row],[Region_Code]])</f>
        <v>865.97040816326546</v>
      </c>
      <c r="R101">
        <f>AVERAGEIFS(K101:K600,F101:F600,Table8[[#This Row],[Category]],N101:N600,Table8[[#This Row],[Region_Code]])</f>
        <v>241.82775510204073</v>
      </c>
    </row>
    <row r="102" spans="1:18" x14ac:dyDescent="0.3">
      <c r="A102" t="s">
        <v>335</v>
      </c>
      <c r="B102" t="s">
        <v>336</v>
      </c>
      <c r="C102" t="s">
        <v>145</v>
      </c>
      <c r="D102" t="s">
        <v>123</v>
      </c>
      <c r="E102" t="s">
        <v>22</v>
      </c>
      <c r="F102" t="s">
        <v>23</v>
      </c>
      <c r="G102">
        <v>38</v>
      </c>
      <c r="H102">
        <v>49.98</v>
      </c>
      <c r="I102">
        <v>1899.24</v>
      </c>
      <c r="J102">
        <v>112.91</v>
      </c>
      <c r="K102">
        <v>456.33</v>
      </c>
      <c r="L102" t="s">
        <v>48</v>
      </c>
      <c r="M102" t="s">
        <v>41</v>
      </c>
      <c r="N102" t="s">
        <v>76</v>
      </c>
      <c r="O102">
        <f>SUMIFS(I102:I601,F102:F601,Table8[[#This Row],[Category]],N102:N601,Table8[[#This Row],[Region_Code]])</f>
        <v>23868.87</v>
      </c>
      <c r="P102" s="13">
        <f>SUMIFS(K102:K601,F102:F601,Table8[[#This Row],[Category]],N102:N601,Table8[[#This Row],[Region_Code]])</f>
        <v>6701.4</v>
      </c>
      <c r="Q102">
        <f>AVERAGEIFS(I102:I601,F102:F601,Table8[[#This Row],[Category]],N102:N601,Table8[[#This Row],[Region_Code]])</f>
        <v>884.03222222222223</v>
      </c>
      <c r="R102">
        <f>AVERAGEIFS(K102:K601,F102:F601,Table8[[#This Row],[Category]],N102:N601,Table8[[#This Row],[Region_Code]])</f>
        <v>248.2</v>
      </c>
    </row>
    <row r="103" spans="1:18" x14ac:dyDescent="0.3">
      <c r="A103" t="s">
        <v>337</v>
      </c>
      <c r="B103" t="s">
        <v>338</v>
      </c>
      <c r="C103" t="s">
        <v>191</v>
      </c>
      <c r="D103" t="s">
        <v>127</v>
      </c>
      <c r="E103" t="s">
        <v>137</v>
      </c>
      <c r="F103" t="s">
        <v>68</v>
      </c>
      <c r="G103">
        <v>1</v>
      </c>
      <c r="H103">
        <v>45.84</v>
      </c>
      <c r="I103">
        <v>45.84</v>
      </c>
      <c r="J103">
        <v>1.26</v>
      </c>
      <c r="K103">
        <v>16.579999999999998</v>
      </c>
      <c r="L103" t="s">
        <v>48</v>
      </c>
      <c r="M103" t="s">
        <v>25</v>
      </c>
      <c r="N103" t="s">
        <v>76</v>
      </c>
      <c r="O103">
        <f>SUMIFS(I103:I602,F103:F602,Table8[[#This Row],[Category]],N103:N602,Table8[[#This Row],[Region_Code]])</f>
        <v>40754.650000000016</v>
      </c>
      <c r="P103" s="13">
        <f>SUMIFS(K103:K602,F103:F602,Table8[[#This Row],[Category]],N103:N602,Table8[[#This Row],[Region_Code]])</f>
        <v>11210.609999999997</v>
      </c>
      <c r="Q103">
        <f>AVERAGEIFS(I103:I602,F103:F602,Table8[[#This Row],[Category]],N103:N602,Table8[[#This Row],[Region_Code]])</f>
        <v>849.05520833333367</v>
      </c>
      <c r="R103">
        <f>AVERAGEIFS(K103:K602,F103:F602,Table8[[#This Row],[Category]],N103:N602,Table8[[#This Row],[Region_Code]])</f>
        <v>233.55437499999994</v>
      </c>
    </row>
    <row r="104" spans="1:18" x14ac:dyDescent="0.3">
      <c r="A104" t="s">
        <v>339</v>
      </c>
      <c r="B104" t="s">
        <v>340</v>
      </c>
      <c r="C104" t="s">
        <v>301</v>
      </c>
      <c r="D104" t="s">
        <v>206</v>
      </c>
      <c r="E104" t="s">
        <v>32</v>
      </c>
      <c r="F104" t="s">
        <v>23</v>
      </c>
      <c r="G104">
        <v>38</v>
      </c>
      <c r="H104">
        <v>26.34</v>
      </c>
      <c r="I104">
        <v>1000.92</v>
      </c>
      <c r="J104">
        <v>47.88</v>
      </c>
      <c r="K104">
        <v>269.04000000000002</v>
      </c>
      <c r="L104" t="s">
        <v>24</v>
      </c>
      <c r="M104" t="s">
        <v>34</v>
      </c>
      <c r="N104" t="s">
        <v>207</v>
      </c>
      <c r="O104">
        <f>SUMIFS(I104:I603,F104:F603,Table8[[#This Row],[Category]],N104:N603,Table8[[#This Row],[Region_Code]])</f>
        <v>5909.52</v>
      </c>
      <c r="P104" s="13">
        <f>SUMIFS(K104:K603,F104:F603,Table8[[#This Row],[Category]],N104:N603,Table8[[#This Row],[Region_Code]])</f>
        <v>1376.39</v>
      </c>
      <c r="Q104">
        <f>AVERAGEIFS(I104:I603,F104:F603,Table8[[#This Row],[Category]],N104:N603,Table8[[#This Row],[Region_Code]])</f>
        <v>1181.904</v>
      </c>
      <c r="R104">
        <f>AVERAGEIFS(K104:K603,F104:F603,Table8[[#This Row],[Category]],N104:N603,Table8[[#This Row],[Region_Code]])</f>
        <v>275.27800000000002</v>
      </c>
    </row>
    <row r="105" spans="1:18" x14ac:dyDescent="0.3">
      <c r="A105" t="s">
        <v>341</v>
      </c>
      <c r="B105" t="s">
        <v>342</v>
      </c>
      <c r="C105" t="s">
        <v>269</v>
      </c>
      <c r="D105" t="s">
        <v>171</v>
      </c>
      <c r="E105" t="s">
        <v>74</v>
      </c>
      <c r="F105" t="s">
        <v>75</v>
      </c>
      <c r="G105">
        <v>30</v>
      </c>
      <c r="H105">
        <v>36.43</v>
      </c>
      <c r="I105">
        <v>1092.9000000000001</v>
      </c>
      <c r="J105">
        <v>61.97</v>
      </c>
      <c r="K105">
        <v>280.93</v>
      </c>
      <c r="L105" t="s">
        <v>48</v>
      </c>
      <c r="M105" t="s">
        <v>34</v>
      </c>
      <c r="N105" t="s">
        <v>35</v>
      </c>
      <c r="O105">
        <f>SUMIFS(I105:I604,F105:F604,Table8[[#This Row],[Category]],N105:N604,Table8[[#This Row],[Region_Code]])</f>
        <v>11235.46</v>
      </c>
      <c r="P105" s="13">
        <f>SUMIFS(K105:K604,F105:F604,Table8[[#This Row],[Category]],N105:N604,Table8[[#This Row],[Region_Code]])</f>
        <v>2943.72</v>
      </c>
      <c r="Q105">
        <f>AVERAGEIFS(I105:I604,F105:F604,Table8[[#This Row],[Category]],N105:N604,Table8[[#This Row],[Region_Code]])</f>
        <v>936.2883333333333</v>
      </c>
      <c r="R105">
        <f>AVERAGEIFS(K105:K604,F105:F604,Table8[[#This Row],[Category]],N105:N604,Table8[[#This Row],[Region_Code]])</f>
        <v>245.30999999999997</v>
      </c>
    </row>
    <row r="106" spans="1:18" x14ac:dyDescent="0.3">
      <c r="A106" t="s">
        <v>343</v>
      </c>
      <c r="B106" t="s">
        <v>344</v>
      </c>
      <c r="C106" t="s">
        <v>307</v>
      </c>
      <c r="D106" t="s">
        <v>37</v>
      </c>
      <c r="E106" t="s">
        <v>86</v>
      </c>
      <c r="F106" t="s">
        <v>47</v>
      </c>
      <c r="G106">
        <v>9</v>
      </c>
      <c r="H106">
        <v>22.27</v>
      </c>
      <c r="I106">
        <v>200.43</v>
      </c>
      <c r="J106">
        <v>13.21</v>
      </c>
      <c r="K106">
        <v>72.47</v>
      </c>
      <c r="L106" t="s">
        <v>33</v>
      </c>
      <c r="M106" t="s">
        <v>34</v>
      </c>
      <c r="N106" t="s">
        <v>35</v>
      </c>
      <c r="O106">
        <f>SUMIFS(I106:I605,F106:F605,Table8[[#This Row],[Category]],N106:N605,Table8[[#This Row],[Region_Code]])</f>
        <v>23693.93</v>
      </c>
      <c r="P106" s="13">
        <f>SUMIFS(K106:K605,F106:F605,Table8[[#This Row],[Category]],N106:N605,Table8[[#This Row],[Region_Code]])</f>
        <v>7068.2699999999995</v>
      </c>
      <c r="Q106">
        <f>AVERAGEIFS(I106:I605,F106:F605,Table8[[#This Row],[Category]],N106:N605,Table8[[#This Row],[Region_Code]])</f>
        <v>696.88029411764705</v>
      </c>
      <c r="R106">
        <f>AVERAGEIFS(K106:K605,F106:F605,Table8[[#This Row],[Category]],N106:N605,Table8[[#This Row],[Region_Code]])</f>
        <v>207.89029411764704</v>
      </c>
    </row>
    <row r="107" spans="1:18" x14ac:dyDescent="0.3">
      <c r="A107" t="s">
        <v>345</v>
      </c>
      <c r="B107" t="s">
        <v>115</v>
      </c>
      <c r="C107" t="s">
        <v>162</v>
      </c>
      <c r="D107" t="s">
        <v>206</v>
      </c>
      <c r="E107" t="s">
        <v>81</v>
      </c>
      <c r="F107" t="s">
        <v>68</v>
      </c>
      <c r="G107">
        <v>26</v>
      </c>
      <c r="H107">
        <v>27.65</v>
      </c>
      <c r="I107">
        <v>718.9</v>
      </c>
      <c r="J107">
        <v>46.25</v>
      </c>
      <c r="K107">
        <v>269.64999999999998</v>
      </c>
      <c r="L107" t="s">
        <v>33</v>
      </c>
      <c r="M107" t="s">
        <v>41</v>
      </c>
      <c r="N107" t="s">
        <v>207</v>
      </c>
      <c r="O107">
        <f>SUMIFS(I107:I606,F107:F606,Table8[[#This Row],[Category]],N107:N606,Table8[[#This Row],[Region_Code]])</f>
        <v>6316.05</v>
      </c>
      <c r="P107" s="13">
        <f>SUMIFS(K107:K606,F107:F606,Table8[[#This Row],[Category]],N107:N606,Table8[[#This Row],[Region_Code]])</f>
        <v>1989.21</v>
      </c>
      <c r="Q107">
        <f>AVERAGEIFS(I107:I606,F107:F606,Table8[[#This Row],[Category]],N107:N606,Table8[[#This Row],[Region_Code]])</f>
        <v>789.50625000000002</v>
      </c>
      <c r="R107">
        <f>AVERAGEIFS(K107:K606,F107:F606,Table8[[#This Row],[Category]],N107:N606,Table8[[#This Row],[Region_Code]])</f>
        <v>248.65125</v>
      </c>
    </row>
    <row r="108" spans="1:18" x14ac:dyDescent="0.3">
      <c r="A108" t="s">
        <v>346</v>
      </c>
      <c r="B108" t="s">
        <v>347</v>
      </c>
      <c r="C108" t="s">
        <v>301</v>
      </c>
      <c r="D108" t="s">
        <v>31</v>
      </c>
      <c r="E108" t="s">
        <v>81</v>
      </c>
      <c r="F108" t="s">
        <v>68</v>
      </c>
      <c r="G108">
        <v>23</v>
      </c>
      <c r="H108">
        <v>22.45</v>
      </c>
      <c r="I108">
        <v>516.35</v>
      </c>
      <c r="J108">
        <v>15.68</v>
      </c>
      <c r="K108">
        <v>144.16999999999999</v>
      </c>
      <c r="L108" t="s">
        <v>48</v>
      </c>
      <c r="M108" t="s">
        <v>41</v>
      </c>
      <c r="N108" t="s">
        <v>35</v>
      </c>
      <c r="O108">
        <f>SUMIFS(I108:I607,F108:F607,Table8[[#This Row],[Category]],N108:N607,Table8[[#This Row],[Region_Code]])</f>
        <v>23823.719999999994</v>
      </c>
      <c r="P108" s="13">
        <f>SUMIFS(K108:K607,F108:F607,Table8[[#This Row],[Category]],N108:N607,Table8[[#This Row],[Region_Code]])</f>
        <v>6619.7299999999987</v>
      </c>
      <c r="Q108">
        <f>AVERAGEIFS(I108:I607,F108:F607,Table8[[#This Row],[Category]],N108:N607,Table8[[#This Row],[Region_Code]])</f>
        <v>794.1239999999998</v>
      </c>
      <c r="R108">
        <f>AVERAGEIFS(K108:K607,F108:F607,Table8[[#This Row],[Category]],N108:N607,Table8[[#This Row],[Region_Code]])</f>
        <v>220.65766666666661</v>
      </c>
    </row>
    <row r="109" spans="1:18" x14ac:dyDescent="0.3">
      <c r="A109" t="s">
        <v>348</v>
      </c>
      <c r="B109" t="s">
        <v>349</v>
      </c>
      <c r="C109" t="s">
        <v>197</v>
      </c>
      <c r="D109" t="s">
        <v>31</v>
      </c>
      <c r="E109" t="s">
        <v>81</v>
      </c>
      <c r="F109" t="s">
        <v>68</v>
      </c>
      <c r="G109">
        <v>30</v>
      </c>
      <c r="H109">
        <v>21.93</v>
      </c>
      <c r="I109">
        <v>657.9</v>
      </c>
      <c r="J109">
        <v>24.66</v>
      </c>
      <c r="K109">
        <v>168.24</v>
      </c>
      <c r="L109" t="s">
        <v>33</v>
      </c>
      <c r="M109" t="s">
        <v>25</v>
      </c>
      <c r="N109" t="s">
        <v>35</v>
      </c>
      <c r="O109">
        <f>SUMIFS(I109:I608,F109:F608,Table8[[#This Row],[Category]],N109:N608,Table8[[#This Row],[Region_Code]])</f>
        <v>23307.369999999995</v>
      </c>
      <c r="P109" s="13">
        <f>SUMIFS(K109:K608,F109:F608,Table8[[#This Row],[Category]],N109:N608,Table8[[#This Row],[Region_Code]])</f>
        <v>6475.5599999999986</v>
      </c>
      <c r="Q109">
        <f>AVERAGEIFS(I109:I608,F109:F608,Table8[[#This Row],[Category]],N109:N608,Table8[[#This Row],[Region_Code]])</f>
        <v>803.70241379310323</v>
      </c>
      <c r="R109">
        <f>AVERAGEIFS(K109:K608,F109:F608,Table8[[#This Row],[Category]],N109:N608,Table8[[#This Row],[Region_Code]])</f>
        <v>223.29517241379307</v>
      </c>
    </row>
    <row r="110" spans="1:18" x14ac:dyDescent="0.3">
      <c r="A110" t="s">
        <v>350</v>
      </c>
      <c r="B110" t="s">
        <v>351</v>
      </c>
      <c r="C110" t="s">
        <v>352</v>
      </c>
      <c r="D110" t="s">
        <v>116</v>
      </c>
      <c r="E110" t="s">
        <v>86</v>
      </c>
      <c r="F110" t="s">
        <v>47</v>
      </c>
      <c r="G110">
        <v>43</v>
      </c>
      <c r="H110">
        <v>21.92</v>
      </c>
      <c r="I110">
        <v>942.56</v>
      </c>
      <c r="J110">
        <v>51.15</v>
      </c>
      <c r="K110">
        <v>343.16</v>
      </c>
      <c r="L110" t="s">
        <v>24</v>
      </c>
      <c r="M110" t="s">
        <v>41</v>
      </c>
      <c r="N110" t="s">
        <v>76</v>
      </c>
      <c r="O110">
        <f>SUMIFS(I110:I609,F110:F609,Table8[[#This Row],[Category]],N110:N609,Table8[[#This Row],[Region_Code]])</f>
        <v>26882.600000000002</v>
      </c>
      <c r="P110" s="13">
        <f>SUMIFS(K110:K609,F110:F609,Table8[[#This Row],[Category]],N110:N609,Table8[[#This Row],[Region_Code]])</f>
        <v>7485.8200000000006</v>
      </c>
      <c r="Q110">
        <f>AVERAGEIFS(I110:I609,F110:F609,Table8[[#This Row],[Category]],N110:N609,Table8[[#This Row],[Region_Code]])</f>
        <v>814.62424242424254</v>
      </c>
      <c r="R110">
        <f>AVERAGEIFS(K110:K609,F110:F609,Table8[[#This Row],[Category]],N110:N609,Table8[[#This Row],[Region_Code]])</f>
        <v>226.84303030303033</v>
      </c>
    </row>
    <row r="111" spans="1:18" x14ac:dyDescent="0.3">
      <c r="A111" t="s">
        <v>353</v>
      </c>
      <c r="B111" t="s">
        <v>354</v>
      </c>
      <c r="C111" t="s">
        <v>85</v>
      </c>
      <c r="D111" t="s">
        <v>45</v>
      </c>
      <c r="E111" t="s">
        <v>56</v>
      </c>
      <c r="F111" t="s">
        <v>57</v>
      </c>
      <c r="G111">
        <v>3</v>
      </c>
      <c r="H111">
        <v>56.21</v>
      </c>
      <c r="I111">
        <v>168.63</v>
      </c>
      <c r="J111">
        <v>7.56</v>
      </c>
      <c r="K111">
        <v>41.07</v>
      </c>
      <c r="L111" t="s">
        <v>48</v>
      </c>
      <c r="M111" t="s">
        <v>25</v>
      </c>
      <c r="N111" t="s">
        <v>49</v>
      </c>
      <c r="O111">
        <f>SUMIFS(I111:I610,F111:F610,Table8[[#This Row],[Category]],N111:N610,Table8[[#This Row],[Region_Code]])</f>
        <v>2134.23</v>
      </c>
      <c r="P111" s="13">
        <f>SUMIFS(K111:K610,F111:F610,Table8[[#This Row],[Category]],N111:N610,Table8[[#This Row],[Region_Code]])</f>
        <v>416.33</v>
      </c>
      <c r="Q111">
        <f>AVERAGEIFS(I111:I610,F111:F610,Table8[[#This Row],[Category]],N111:N610,Table8[[#This Row],[Region_Code]])</f>
        <v>1067.115</v>
      </c>
      <c r="R111">
        <f>AVERAGEIFS(K111:K610,F111:F610,Table8[[#This Row],[Category]],N111:N610,Table8[[#This Row],[Region_Code]])</f>
        <v>208.16499999999999</v>
      </c>
    </row>
    <row r="112" spans="1:18" x14ac:dyDescent="0.3">
      <c r="A112" t="s">
        <v>355</v>
      </c>
      <c r="B112" t="s">
        <v>356</v>
      </c>
      <c r="C112" t="s">
        <v>20</v>
      </c>
      <c r="D112" t="s">
        <v>37</v>
      </c>
      <c r="E112" t="s">
        <v>86</v>
      </c>
      <c r="F112" t="s">
        <v>47</v>
      </c>
      <c r="G112">
        <v>33</v>
      </c>
      <c r="H112">
        <v>15.44</v>
      </c>
      <c r="I112">
        <v>509.52</v>
      </c>
      <c r="J112">
        <v>19.7</v>
      </c>
      <c r="K112">
        <v>69.069999999999993</v>
      </c>
      <c r="L112" t="s">
        <v>24</v>
      </c>
      <c r="M112" t="s">
        <v>41</v>
      </c>
      <c r="N112" t="s">
        <v>35</v>
      </c>
      <c r="O112">
        <f>SUMIFS(I112:I611,F112:F611,Table8[[#This Row],[Category]],N112:N611,Table8[[#This Row],[Region_Code]])</f>
        <v>23493.5</v>
      </c>
      <c r="P112" s="13">
        <f>SUMIFS(K112:K611,F112:F611,Table8[[#This Row],[Category]],N112:N611,Table8[[#This Row],[Region_Code]])</f>
        <v>6995.8</v>
      </c>
      <c r="Q112">
        <f>AVERAGEIFS(I112:I611,F112:F611,Table8[[#This Row],[Category]],N112:N611,Table8[[#This Row],[Region_Code]])</f>
        <v>711.92424242424238</v>
      </c>
      <c r="R112">
        <f>AVERAGEIFS(K112:K611,F112:F611,Table8[[#This Row],[Category]],N112:N611,Table8[[#This Row],[Region_Code]])</f>
        <v>211.9939393939394</v>
      </c>
    </row>
    <row r="113" spans="1:18" x14ac:dyDescent="0.3">
      <c r="A113" t="s">
        <v>357</v>
      </c>
      <c r="B113" t="s">
        <v>358</v>
      </c>
      <c r="C113" t="s">
        <v>151</v>
      </c>
      <c r="D113" t="s">
        <v>141</v>
      </c>
      <c r="E113" t="s">
        <v>81</v>
      </c>
      <c r="F113" t="s">
        <v>68</v>
      </c>
      <c r="G113">
        <v>50</v>
      </c>
      <c r="H113">
        <v>23.02</v>
      </c>
      <c r="I113">
        <v>1151</v>
      </c>
      <c r="J113">
        <v>69.3</v>
      </c>
      <c r="K113">
        <v>306.7</v>
      </c>
      <c r="L113" t="s">
        <v>33</v>
      </c>
      <c r="M113" t="s">
        <v>34</v>
      </c>
      <c r="N113" t="s">
        <v>142</v>
      </c>
      <c r="O113">
        <f>SUMIFS(I113:I612,F113:F612,Table8[[#This Row],[Category]],N113:N612,Table8[[#This Row],[Region_Code]])</f>
        <v>7505.18</v>
      </c>
      <c r="P113" s="13">
        <f>SUMIFS(K113:K612,F113:F612,Table8[[#This Row],[Category]],N113:N612,Table8[[#This Row],[Region_Code]])</f>
        <v>2197.3199999999997</v>
      </c>
      <c r="Q113">
        <f>AVERAGEIFS(I113:I612,F113:F612,Table8[[#This Row],[Category]],N113:N612,Table8[[#This Row],[Region_Code]])</f>
        <v>938.14750000000004</v>
      </c>
      <c r="R113">
        <f>AVERAGEIFS(K113:K612,F113:F612,Table8[[#This Row],[Category]],N113:N612,Table8[[#This Row],[Region_Code]])</f>
        <v>274.66499999999996</v>
      </c>
    </row>
    <row r="114" spans="1:18" x14ac:dyDescent="0.3">
      <c r="A114" t="s">
        <v>359</v>
      </c>
      <c r="B114" t="s">
        <v>268</v>
      </c>
      <c r="C114" t="s">
        <v>360</v>
      </c>
      <c r="D114" t="s">
        <v>45</v>
      </c>
      <c r="E114" t="s">
        <v>86</v>
      </c>
      <c r="F114" t="s">
        <v>47</v>
      </c>
      <c r="G114">
        <v>8</v>
      </c>
      <c r="H114">
        <v>17.010000000000002</v>
      </c>
      <c r="I114">
        <v>136.08000000000001</v>
      </c>
      <c r="J114">
        <v>8.84</v>
      </c>
      <c r="K114">
        <v>25.24</v>
      </c>
      <c r="L114" t="s">
        <v>24</v>
      </c>
      <c r="M114" t="s">
        <v>41</v>
      </c>
      <c r="N114" t="s">
        <v>49</v>
      </c>
      <c r="O114">
        <f>SUMIFS(I114:I613,F114:F613,Table8[[#This Row],[Category]],N114:N613,Table8[[#This Row],[Region_Code]])</f>
        <v>14301.630000000001</v>
      </c>
      <c r="P114" s="13">
        <f>SUMIFS(K114:K613,F114:F613,Table8[[#This Row],[Category]],N114:N613,Table8[[#This Row],[Region_Code]])</f>
        <v>4035.7199999999993</v>
      </c>
      <c r="Q114">
        <f>AVERAGEIFS(I114:I613,F114:F613,Table8[[#This Row],[Category]],N114:N613,Table8[[#This Row],[Region_Code]])</f>
        <v>893.85187500000006</v>
      </c>
      <c r="R114">
        <f>AVERAGEIFS(K114:K613,F114:F613,Table8[[#This Row],[Category]],N114:N613,Table8[[#This Row],[Region_Code]])</f>
        <v>252.23249999999996</v>
      </c>
    </row>
    <row r="115" spans="1:18" x14ac:dyDescent="0.3">
      <c r="A115" t="s">
        <v>361</v>
      </c>
      <c r="B115" t="s">
        <v>362</v>
      </c>
      <c r="C115" t="s">
        <v>301</v>
      </c>
      <c r="D115" t="s">
        <v>171</v>
      </c>
      <c r="E115" t="s">
        <v>32</v>
      </c>
      <c r="F115" t="s">
        <v>23</v>
      </c>
      <c r="G115">
        <v>16</v>
      </c>
      <c r="H115">
        <v>26.47</v>
      </c>
      <c r="I115">
        <v>423.52</v>
      </c>
      <c r="J115">
        <v>15.87</v>
      </c>
      <c r="K115">
        <v>119.65</v>
      </c>
      <c r="L115" t="s">
        <v>33</v>
      </c>
      <c r="M115" t="s">
        <v>25</v>
      </c>
      <c r="N115" t="s">
        <v>35</v>
      </c>
      <c r="O115">
        <f>SUMIFS(I115:I614,F115:F614,Table8[[#This Row],[Category]],N115:N614,Table8[[#This Row],[Region_Code]])</f>
        <v>23131.829999999998</v>
      </c>
      <c r="P115" s="13">
        <f>SUMIFS(K115:K614,F115:F614,Table8[[#This Row],[Category]],N115:N614,Table8[[#This Row],[Region_Code]])</f>
        <v>6075.7999999999993</v>
      </c>
      <c r="Q115">
        <f>AVERAGEIFS(I115:I614,F115:F614,Table8[[#This Row],[Category]],N115:N614,Table8[[#This Row],[Region_Code]])</f>
        <v>1051.4468181818181</v>
      </c>
      <c r="R115">
        <f>AVERAGEIFS(K115:K614,F115:F614,Table8[[#This Row],[Category]],N115:N614,Table8[[#This Row],[Region_Code]])</f>
        <v>276.17272727272723</v>
      </c>
    </row>
    <row r="116" spans="1:18" x14ac:dyDescent="0.3">
      <c r="A116" t="s">
        <v>363</v>
      </c>
      <c r="B116" t="s">
        <v>364</v>
      </c>
      <c r="C116" t="s">
        <v>272</v>
      </c>
      <c r="D116" t="s">
        <v>45</v>
      </c>
      <c r="E116" t="s">
        <v>46</v>
      </c>
      <c r="F116" t="s">
        <v>47</v>
      </c>
      <c r="G116">
        <v>32</v>
      </c>
      <c r="H116">
        <v>43.18</v>
      </c>
      <c r="I116">
        <v>1381.76</v>
      </c>
      <c r="J116">
        <v>88.54</v>
      </c>
      <c r="K116">
        <v>269.22000000000003</v>
      </c>
      <c r="L116" t="s">
        <v>33</v>
      </c>
      <c r="M116" t="s">
        <v>41</v>
      </c>
      <c r="N116" t="s">
        <v>49</v>
      </c>
      <c r="O116">
        <f>SUMIFS(I116:I615,F116:F615,Table8[[#This Row],[Category]],N116:N615,Table8[[#This Row],[Region_Code]])</f>
        <v>14165.55</v>
      </c>
      <c r="P116" s="13">
        <f>SUMIFS(K116:K615,F116:F615,Table8[[#This Row],[Category]],N116:N615,Table8[[#This Row],[Region_Code]])</f>
        <v>4010.4799999999996</v>
      </c>
      <c r="Q116">
        <f>AVERAGEIFS(I116:I615,F116:F615,Table8[[#This Row],[Category]],N116:N615,Table8[[#This Row],[Region_Code]])</f>
        <v>944.37</v>
      </c>
      <c r="R116">
        <f>AVERAGEIFS(K116:K615,F116:F615,Table8[[#This Row],[Category]],N116:N615,Table8[[#This Row],[Region_Code]])</f>
        <v>267.3653333333333</v>
      </c>
    </row>
    <row r="117" spans="1:18" x14ac:dyDescent="0.3">
      <c r="A117" t="s">
        <v>365</v>
      </c>
      <c r="B117" t="s">
        <v>366</v>
      </c>
      <c r="C117" t="s">
        <v>177</v>
      </c>
      <c r="D117" t="s">
        <v>206</v>
      </c>
      <c r="E117" t="s">
        <v>81</v>
      </c>
      <c r="F117" t="s">
        <v>68</v>
      </c>
      <c r="G117">
        <v>29</v>
      </c>
      <c r="H117">
        <v>18.850000000000001</v>
      </c>
      <c r="I117">
        <v>546.65</v>
      </c>
      <c r="J117">
        <v>13.22</v>
      </c>
      <c r="K117">
        <v>83.93</v>
      </c>
      <c r="L117" t="s">
        <v>24</v>
      </c>
      <c r="M117" t="s">
        <v>41</v>
      </c>
      <c r="N117" t="s">
        <v>207</v>
      </c>
      <c r="O117">
        <f>SUMIFS(I117:I616,F117:F616,Table8[[#This Row],[Category]],N117:N616,Table8[[#This Row],[Region_Code]])</f>
        <v>5597.1500000000005</v>
      </c>
      <c r="P117" s="13">
        <f>SUMIFS(K117:K616,F117:F616,Table8[[#This Row],[Category]],N117:N616,Table8[[#This Row],[Region_Code]])</f>
        <v>1719.56</v>
      </c>
      <c r="Q117">
        <f>AVERAGEIFS(I117:I616,F117:F616,Table8[[#This Row],[Category]],N117:N616,Table8[[#This Row],[Region_Code]])</f>
        <v>799.59285714285727</v>
      </c>
      <c r="R117">
        <f>AVERAGEIFS(K117:K616,F117:F616,Table8[[#This Row],[Category]],N117:N616,Table8[[#This Row],[Region_Code]])</f>
        <v>245.65142857142857</v>
      </c>
    </row>
    <row r="118" spans="1:18" x14ac:dyDescent="0.3">
      <c r="A118" t="s">
        <v>367</v>
      </c>
      <c r="B118" t="s">
        <v>368</v>
      </c>
      <c r="C118" t="s">
        <v>369</v>
      </c>
      <c r="D118" t="s">
        <v>171</v>
      </c>
      <c r="E118" t="s">
        <v>56</v>
      </c>
      <c r="F118" t="s">
        <v>57</v>
      </c>
      <c r="G118">
        <v>16</v>
      </c>
      <c r="H118">
        <v>64.400000000000006</v>
      </c>
      <c r="I118">
        <v>1030.4000000000001</v>
      </c>
      <c r="J118">
        <v>61.72</v>
      </c>
      <c r="K118">
        <v>328.68</v>
      </c>
      <c r="L118" t="s">
        <v>33</v>
      </c>
      <c r="M118" t="s">
        <v>34</v>
      </c>
      <c r="N118" t="s">
        <v>35</v>
      </c>
      <c r="O118">
        <f>SUMIFS(I118:I617,F118:F617,Table8[[#This Row],[Category]],N118:N617,Table8[[#This Row],[Region_Code]])</f>
        <v>7551.03</v>
      </c>
      <c r="P118" s="13">
        <f>SUMIFS(K118:K617,F118:F617,Table8[[#This Row],[Category]],N118:N617,Table8[[#This Row],[Region_Code]])</f>
        <v>2463.77</v>
      </c>
      <c r="Q118">
        <f>AVERAGEIFS(I118:I617,F118:F617,Table8[[#This Row],[Category]],N118:N617,Table8[[#This Row],[Region_Code]])</f>
        <v>1258.5049999999999</v>
      </c>
      <c r="R118">
        <f>AVERAGEIFS(K118:K617,F118:F617,Table8[[#This Row],[Category]],N118:N617,Table8[[#This Row],[Region_Code]])</f>
        <v>410.62833333333333</v>
      </c>
    </row>
    <row r="119" spans="1:18" x14ac:dyDescent="0.3">
      <c r="A119" t="s">
        <v>370</v>
      </c>
      <c r="B119" t="s">
        <v>371</v>
      </c>
      <c r="C119" t="s">
        <v>372</v>
      </c>
      <c r="D119" t="s">
        <v>116</v>
      </c>
      <c r="E119" t="s">
        <v>81</v>
      </c>
      <c r="F119" t="s">
        <v>68</v>
      </c>
      <c r="G119">
        <v>15</v>
      </c>
      <c r="H119">
        <v>19.53</v>
      </c>
      <c r="I119">
        <v>292.95</v>
      </c>
      <c r="J119">
        <v>7.15</v>
      </c>
      <c r="K119">
        <v>53.3</v>
      </c>
      <c r="L119" t="s">
        <v>48</v>
      </c>
      <c r="M119" t="s">
        <v>34</v>
      </c>
      <c r="N119" t="s">
        <v>76</v>
      </c>
      <c r="O119">
        <f>SUMIFS(I119:I618,F119:F618,Table8[[#This Row],[Category]],N119:N618,Table8[[#This Row],[Region_Code]])</f>
        <v>40708.810000000012</v>
      </c>
      <c r="P119" s="13">
        <f>SUMIFS(K119:K618,F119:F618,Table8[[#This Row],[Category]],N119:N618,Table8[[#This Row],[Region_Code]])</f>
        <v>11194.029999999997</v>
      </c>
      <c r="Q119">
        <f>AVERAGEIFS(I119:I618,F119:F618,Table8[[#This Row],[Category]],N119:N618,Table8[[#This Row],[Region_Code]])</f>
        <v>866.14489361702158</v>
      </c>
      <c r="R119">
        <f>AVERAGEIFS(K119:K618,F119:F618,Table8[[#This Row],[Category]],N119:N618,Table8[[#This Row],[Region_Code]])</f>
        <v>238.17085106382973</v>
      </c>
    </row>
    <row r="120" spans="1:18" x14ac:dyDescent="0.3">
      <c r="A120" t="s">
        <v>373</v>
      </c>
      <c r="B120" t="s">
        <v>325</v>
      </c>
      <c r="C120" t="s">
        <v>182</v>
      </c>
      <c r="D120" t="s">
        <v>241</v>
      </c>
      <c r="E120" t="s">
        <v>63</v>
      </c>
      <c r="F120" t="s">
        <v>47</v>
      </c>
      <c r="G120">
        <v>36</v>
      </c>
      <c r="H120">
        <v>26.05</v>
      </c>
      <c r="I120">
        <v>937.8</v>
      </c>
      <c r="J120">
        <v>32.799999999999997</v>
      </c>
      <c r="K120">
        <v>185</v>
      </c>
      <c r="L120" t="s">
        <v>24</v>
      </c>
      <c r="M120" t="s">
        <v>41</v>
      </c>
      <c r="N120" t="s">
        <v>35</v>
      </c>
      <c r="O120">
        <f>SUMIFS(I120:I619,F120:F619,Table8[[#This Row],[Category]],N120:N619,Table8[[#This Row],[Region_Code]])</f>
        <v>22983.98</v>
      </c>
      <c r="P120" s="13">
        <f>SUMIFS(K120:K619,F120:F619,Table8[[#This Row],[Category]],N120:N619,Table8[[#This Row],[Region_Code]])</f>
        <v>6926.7300000000005</v>
      </c>
      <c r="Q120">
        <f>AVERAGEIFS(I120:I619,F120:F619,Table8[[#This Row],[Category]],N120:N619,Table8[[#This Row],[Region_Code]])</f>
        <v>718.24937499999999</v>
      </c>
      <c r="R120">
        <f>AVERAGEIFS(K120:K619,F120:F619,Table8[[#This Row],[Category]],N120:N619,Table8[[#This Row],[Region_Code]])</f>
        <v>216.46031250000001</v>
      </c>
    </row>
    <row r="121" spans="1:18" x14ac:dyDescent="0.3">
      <c r="A121" t="s">
        <v>374</v>
      </c>
      <c r="B121" t="s">
        <v>375</v>
      </c>
      <c r="C121" t="s">
        <v>73</v>
      </c>
      <c r="D121" t="s">
        <v>141</v>
      </c>
      <c r="E121" t="s">
        <v>46</v>
      </c>
      <c r="F121" t="s">
        <v>47</v>
      </c>
      <c r="G121">
        <v>26</v>
      </c>
      <c r="H121">
        <v>47.52</v>
      </c>
      <c r="I121">
        <v>1235.52</v>
      </c>
      <c r="J121">
        <v>31.41</v>
      </c>
      <c r="K121">
        <v>372.11</v>
      </c>
      <c r="L121" t="s">
        <v>33</v>
      </c>
      <c r="M121" t="s">
        <v>25</v>
      </c>
      <c r="N121" t="s">
        <v>142</v>
      </c>
      <c r="O121">
        <f>SUMIFS(I121:I620,F121:F620,Table8[[#This Row],[Category]],N121:N620,Table8[[#This Row],[Region_Code]])</f>
        <v>6019.84</v>
      </c>
      <c r="P121" s="13">
        <f>SUMIFS(K121:K620,F121:F620,Table8[[#This Row],[Category]],N121:N620,Table8[[#This Row],[Region_Code]])</f>
        <v>1860.4900000000002</v>
      </c>
      <c r="Q121">
        <f>AVERAGEIFS(I121:I620,F121:F620,Table8[[#This Row],[Category]],N121:N620,Table8[[#This Row],[Region_Code]])</f>
        <v>752.48</v>
      </c>
      <c r="R121">
        <f>AVERAGEIFS(K121:K620,F121:F620,Table8[[#This Row],[Category]],N121:N620,Table8[[#This Row],[Region_Code]])</f>
        <v>232.56125000000003</v>
      </c>
    </row>
    <row r="122" spans="1:18" x14ac:dyDescent="0.3">
      <c r="A122" t="s">
        <v>376</v>
      </c>
      <c r="B122" t="s">
        <v>131</v>
      </c>
      <c r="C122" t="s">
        <v>334</v>
      </c>
      <c r="D122" t="s">
        <v>171</v>
      </c>
      <c r="E122" t="s">
        <v>32</v>
      </c>
      <c r="F122" t="s">
        <v>23</v>
      </c>
      <c r="G122">
        <v>38</v>
      </c>
      <c r="H122">
        <v>26.38</v>
      </c>
      <c r="I122">
        <v>1002.44</v>
      </c>
      <c r="J122">
        <v>33.049999999999997</v>
      </c>
      <c r="K122">
        <v>285.39</v>
      </c>
      <c r="L122" t="s">
        <v>33</v>
      </c>
      <c r="M122" t="s">
        <v>25</v>
      </c>
      <c r="N122" t="s">
        <v>35</v>
      </c>
      <c r="O122">
        <f>SUMIFS(I122:I621,F122:F621,Table8[[#This Row],[Category]],N122:N621,Table8[[#This Row],[Region_Code]])</f>
        <v>22708.309999999998</v>
      </c>
      <c r="P122" s="13">
        <f>SUMIFS(K122:K621,F122:F621,Table8[[#This Row],[Category]],N122:N621,Table8[[#This Row],[Region_Code]])</f>
        <v>5956.15</v>
      </c>
      <c r="Q122">
        <f>AVERAGEIFS(I122:I621,F122:F621,Table8[[#This Row],[Category]],N122:N621,Table8[[#This Row],[Region_Code]])</f>
        <v>1081.3480952380951</v>
      </c>
      <c r="R122">
        <f>AVERAGEIFS(K122:K621,F122:F621,Table8[[#This Row],[Category]],N122:N621,Table8[[#This Row],[Region_Code]])</f>
        <v>283.62619047619046</v>
      </c>
    </row>
    <row r="123" spans="1:18" x14ac:dyDescent="0.3">
      <c r="A123" t="s">
        <v>377</v>
      </c>
      <c r="B123" t="s">
        <v>327</v>
      </c>
      <c r="C123" t="s">
        <v>222</v>
      </c>
      <c r="D123" t="s">
        <v>127</v>
      </c>
      <c r="E123" t="s">
        <v>86</v>
      </c>
      <c r="F123" t="s">
        <v>47</v>
      </c>
      <c r="G123">
        <v>7</v>
      </c>
      <c r="H123">
        <v>17.66</v>
      </c>
      <c r="I123">
        <v>123.62</v>
      </c>
      <c r="J123">
        <v>6.95</v>
      </c>
      <c r="K123">
        <v>27.42</v>
      </c>
      <c r="L123" t="s">
        <v>24</v>
      </c>
      <c r="M123" t="s">
        <v>25</v>
      </c>
      <c r="N123" t="s">
        <v>76</v>
      </c>
      <c r="O123">
        <f>SUMIFS(I123:I622,F123:F622,Table8[[#This Row],[Category]],N123:N622,Table8[[#This Row],[Region_Code]])</f>
        <v>25940.04</v>
      </c>
      <c r="P123" s="13">
        <f>SUMIFS(K123:K622,F123:F622,Table8[[#This Row],[Category]],N123:N622,Table8[[#This Row],[Region_Code]])</f>
        <v>7142.6600000000008</v>
      </c>
      <c r="Q123">
        <f>AVERAGEIFS(I123:I622,F123:F622,Table8[[#This Row],[Category]],N123:N622,Table8[[#This Row],[Region_Code]])</f>
        <v>810.62625000000003</v>
      </c>
      <c r="R123">
        <f>AVERAGEIFS(K123:K622,F123:F622,Table8[[#This Row],[Category]],N123:N622,Table8[[#This Row],[Region_Code]])</f>
        <v>223.20812500000002</v>
      </c>
    </row>
    <row r="124" spans="1:18" x14ac:dyDescent="0.3">
      <c r="A124" t="s">
        <v>378</v>
      </c>
      <c r="B124" t="s">
        <v>309</v>
      </c>
      <c r="C124" t="s">
        <v>227</v>
      </c>
      <c r="D124" t="s">
        <v>206</v>
      </c>
      <c r="E124" t="s">
        <v>22</v>
      </c>
      <c r="F124" t="s">
        <v>23</v>
      </c>
      <c r="G124">
        <v>26</v>
      </c>
      <c r="H124">
        <v>51.5</v>
      </c>
      <c r="I124">
        <v>1339</v>
      </c>
      <c r="J124">
        <v>92.09</v>
      </c>
      <c r="K124">
        <v>336.91</v>
      </c>
      <c r="L124" t="s">
        <v>33</v>
      </c>
      <c r="M124" t="s">
        <v>34</v>
      </c>
      <c r="N124" t="s">
        <v>207</v>
      </c>
      <c r="O124">
        <f>SUMIFS(I124:I623,F124:F623,Table8[[#This Row],[Category]],N124:N623,Table8[[#This Row],[Region_Code]])</f>
        <v>4908.6000000000004</v>
      </c>
      <c r="P124" s="13">
        <f>SUMIFS(K124:K623,F124:F623,Table8[[#This Row],[Category]],N124:N623,Table8[[#This Row],[Region_Code]])</f>
        <v>1107.3499999999999</v>
      </c>
      <c r="Q124">
        <f>AVERAGEIFS(I124:I623,F124:F623,Table8[[#This Row],[Category]],N124:N623,Table8[[#This Row],[Region_Code]])</f>
        <v>1227.1500000000001</v>
      </c>
      <c r="R124">
        <f>AVERAGEIFS(K124:K623,F124:F623,Table8[[#This Row],[Category]],N124:N623,Table8[[#This Row],[Region_Code]])</f>
        <v>276.83749999999998</v>
      </c>
    </row>
    <row r="125" spans="1:18" x14ac:dyDescent="0.3">
      <c r="A125" t="s">
        <v>379</v>
      </c>
      <c r="B125" t="s">
        <v>380</v>
      </c>
      <c r="C125" t="s">
        <v>381</v>
      </c>
      <c r="D125" t="s">
        <v>21</v>
      </c>
      <c r="E125" t="s">
        <v>81</v>
      </c>
      <c r="F125" t="s">
        <v>68</v>
      </c>
      <c r="G125">
        <v>27</v>
      </c>
      <c r="H125">
        <v>25</v>
      </c>
      <c r="I125">
        <v>675</v>
      </c>
      <c r="J125">
        <v>15.49</v>
      </c>
      <c r="K125">
        <v>241.01</v>
      </c>
      <c r="L125" t="s">
        <v>33</v>
      </c>
      <c r="M125" t="s">
        <v>34</v>
      </c>
      <c r="N125" t="s">
        <v>98</v>
      </c>
      <c r="O125">
        <f>SUMIFS(I125:I624,F125:F624,Table8[[#This Row],[Category]],N125:N624,Table8[[#This Row],[Region_Code]])</f>
        <v>24688.610000000004</v>
      </c>
      <c r="P125" s="13">
        <f>SUMIFS(K125:K624,F125:F624,Table8[[#This Row],[Category]],N125:N624,Table8[[#This Row],[Region_Code]])</f>
        <v>7292.3300000000017</v>
      </c>
      <c r="Q125">
        <f>AVERAGEIFS(I125:I624,F125:F624,Table8[[#This Row],[Category]],N125:N624,Table8[[#This Row],[Region_Code]])</f>
        <v>987.54440000000022</v>
      </c>
      <c r="R125">
        <f>AVERAGEIFS(K125:K624,F125:F624,Table8[[#This Row],[Category]],N125:N624,Table8[[#This Row],[Region_Code]])</f>
        <v>291.69320000000005</v>
      </c>
    </row>
    <row r="126" spans="1:18" x14ac:dyDescent="0.3">
      <c r="A126" t="s">
        <v>382</v>
      </c>
      <c r="B126" t="s">
        <v>383</v>
      </c>
      <c r="C126" t="s">
        <v>61</v>
      </c>
      <c r="D126" t="s">
        <v>141</v>
      </c>
      <c r="E126" t="s">
        <v>86</v>
      </c>
      <c r="F126" t="s">
        <v>47</v>
      </c>
      <c r="G126">
        <v>4</v>
      </c>
      <c r="H126">
        <v>19</v>
      </c>
      <c r="I126">
        <v>76</v>
      </c>
      <c r="J126">
        <v>3.78</v>
      </c>
      <c r="K126">
        <v>21.22</v>
      </c>
      <c r="L126" t="s">
        <v>33</v>
      </c>
      <c r="M126" t="s">
        <v>41</v>
      </c>
      <c r="N126" t="s">
        <v>142</v>
      </c>
      <c r="O126">
        <f>SUMIFS(I126:I625,F126:F625,Table8[[#This Row],[Category]],N126:N625,Table8[[#This Row],[Region_Code]])</f>
        <v>4784.3200000000006</v>
      </c>
      <c r="P126" s="13">
        <f>SUMIFS(K126:K625,F126:F625,Table8[[#This Row],[Category]],N126:N625,Table8[[#This Row],[Region_Code]])</f>
        <v>1488.38</v>
      </c>
      <c r="Q126">
        <f>AVERAGEIFS(I126:I625,F126:F625,Table8[[#This Row],[Category]],N126:N625,Table8[[#This Row],[Region_Code]])</f>
        <v>683.47428571428577</v>
      </c>
      <c r="R126">
        <f>AVERAGEIFS(K126:K625,F126:F625,Table8[[#This Row],[Category]],N126:N625,Table8[[#This Row],[Region_Code]])</f>
        <v>212.62571428571431</v>
      </c>
    </row>
    <row r="127" spans="1:18" x14ac:dyDescent="0.3">
      <c r="A127" t="s">
        <v>384</v>
      </c>
      <c r="B127" t="s">
        <v>147</v>
      </c>
      <c r="C127" t="s">
        <v>307</v>
      </c>
      <c r="D127" t="s">
        <v>55</v>
      </c>
      <c r="E127" t="s">
        <v>81</v>
      </c>
      <c r="F127" t="s">
        <v>68</v>
      </c>
      <c r="G127">
        <v>24</v>
      </c>
      <c r="H127">
        <v>26.63</v>
      </c>
      <c r="I127">
        <v>639.12</v>
      </c>
      <c r="J127">
        <v>31.92</v>
      </c>
      <c r="K127">
        <v>235.2</v>
      </c>
      <c r="L127" t="s">
        <v>48</v>
      </c>
      <c r="M127" t="s">
        <v>41</v>
      </c>
      <c r="N127" t="s">
        <v>98</v>
      </c>
      <c r="O127">
        <f>SUMIFS(I127:I626,F127:F626,Table8[[#This Row],[Category]],N127:N626,Table8[[#This Row],[Region_Code]])</f>
        <v>24013.610000000004</v>
      </c>
      <c r="P127" s="13">
        <f>SUMIFS(K127:K626,F127:F626,Table8[[#This Row],[Category]],N127:N626,Table8[[#This Row],[Region_Code]])</f>
        <v>7051.3200000000006</v>
      </c>
      <c r="Q127">
        <f>AVERAGEIFS(I127:I626,F127:F626,Table8[[#This Row],[Category]],N127:N626,Table8[[#This Row],[Region_Code]])</f>
        <v>1000.5670833333335</v>
      </c>
      <c r="R127">
        <f>AVERAGEIFS(K127:K626,F127:F626,Table8[[#This Row],[Category]],N127:N626,Table8[[#This Row],[Region_Code]])</f>
        <v>293.80500000000001</v>
      </c>
    </row>
    <row r="128" spans="1:18" x14ac:dyDescent="0.3">
      <c r="A128" t="s">
        <v>385</v>
      </c>
      <c r="B128" t="s">
        <v>386</v>
      </c>
      <c r="C128" t="s">
        <v>134</v>
      </c>
      <c r="D128" t="s">
        <v>116</v>
      </c>
      <c r="E128" t="s">
        <v>74</v>
      </c>
      <c r="F128" t="s">
        <v>75</v>
      </c>
      <c r="G128">
        <v>26</v>
      </c>
      <c r="H128">
        <v>43.14</v>
      </c>
      <c r="I128">
        <v>1121.6400000000001</v>
      </c>
      <c r="J128">
        <v>48.08</v>
      </c>
      <c r="K128">
        <v>423.56</v>
      </c>
      <c r="L128" t="s">
        <v>24</v>
      </c>
      <c r="M128" t="s">
        <v>34</v>
      </c>
      <c r="N128" t="s">
        <v>76</v>
      </c>
      <c r="O128">
        <f>SUMIFS(I128:I627,F128:F627,Table8[[#This Row],[Category]],N128:N627,Table8[[#This Row],[Region_Code]])</f>
        <v>18605.03</v>
      </c>
      <c r="P128" s="13">
        <f>SUMIFS(K128:K627,F128:F627,Table8[[#This Row],[Category]],N128:N627,Table8[[#This Row],[Region_Code]])</f>
        <v>5070.7300000000005</v>
      </c>
      <c r="Q128">
        <f>AVERAGEIFS(I128:I627,F128:F627,Table8[[#This Row],[Category]],N128:N627,Table8[[#This Row],[Region_Code]])</f>
        <v>885.95380952380947</v>
      </c>
      <c r="R128">
        <f>AVERAGEIFS(K128:K627,F128:F627,Table8[[#This Row],[Category]],N128:N627,Table8[[#This Row],[Region_Code]])</f>
        <v>241.46333333333337</v>
      </c>
    </row>
    <row r="129" spans="1:18" x14ac:dyDescent="0.3">
      <c r="A129" t="s">
        <v>387</v>
      </c>
      <c r="B129" t="s">
        <v>388</v>
      </c>
      <c r="C129" t="s">
        <v>317</v>
      </c>
      <c r="D129" t="s">
        <v>55</v>
      </c>
      <c r="E129" t="s">
        <v>74</v>
      </c>
      <c r="F129" t="s">
        <v>75</v>
      </c>
      <c r="G129">
        <v>39</v>
      </c>
      <c r="H129">
        <v>30.01</v>
      </c>
      <c r="I129">
        <v>1170.3900000000001</v>
      </c>
      <c r="J129">
        <v>60.43</v>
      </c>
      <c r="K129">
        <v>134.96</v>
      </c>
      <c r="L129" t="s">
        <v>33</v>
      </c>
      <c r="M129" t="s">
        <v>25</v>
      </c>
      <c r="N129" t="s">
        <v>98</v>
      </c>
      <c r="O129">
        <f>SUMIFS(I129:I628,F129:F628,Table8[[#This Row],[Category]],N129:N628,Table8[[#This Row],[Region_Code]])</f>
        <v>3678.6200000000003</v>
      </c>
      <c r="P129" s="13">
        <f>SUMIFS(K129:K628,F129:F628,Table8[[#This Row],[Category]],N129:N628,Table8[[#This Row],[Region_Code]])</f>
        <v>795.24</v>
      </c>
      <c r="Q129">
        <f>AVERAGEIFS(I129:I628,F129:F628,Table8[[#This Row],[Category]],N129:N628,Table8[[#This Row],[Region_Code]])</f>
        <v>735.72400000000005</v>
      </c>
      <c r="R129">
        <f>AVERAGEIFS(K129:K628,F129:F628,Table8[[#This Row],[Category]],N129:N628,Table8[[#This Row],[Region_Code]])</f>
        <v>159.048</v>
      </c>
    </row>
    <row r="130" spans="1:18" x14ac:dyDescent="0.3">
      <c r="A130" t="s">
        <v>389</v>
      </c>
      <c r="B130" t="s">
        <v>390</v>
      </c>
      <c r="C130" t="s">
        <v>391</v>
      </c>
      <c r="D130" t="s">
        <v>241</v>
      </c>
      <c r="E130" t="s">
        <v>67</v>
      </c>
      <c r="F130" t="s">
        <v>68</v>
      </c>
      <c r="G130">
        <v>5</v>
      </c>
      <c r="H130">
        <v>31.31</v>
      </c>
      <c r="I130">
        <v>156.55000000000001</v>
      </c>
      <c r="J130">
        <v>4.04</v>
      </c>
      <c r="K130">
        <v>40.01</v>
      </c>
      <c r="L130" t="s">
        <v>48</v>
      </c>
      <c r="M130" t="s">
        <v>41</v>
      </c>
      <c r="N130" t="s">
        <v>35</v>
      </c>
      <c r="O130">
        <f>SUMIFS(I130:I629,F130:F629,Table8[[#This Row],[Category]],N130:N629,Table8[[#This Row],[Region_Code]])</f>
        <v>22649.469999999998</v>
      </c>
      <c r="P130" s="13">
        <f>SUMIFS(K130:K629,F130:F629,Table8[[#This Row],[Category]],N130:N629,Table8[[#This Row],[Region_Code]])</f>
        <v>6307.3199999999988</v>
      </c>
      <c r="Q130">
        <f>AVERAGEIFS(I130:I629,F130:F629,Table8[[#This Row],[Category]],N130:N629,Table8[[#This Row],[Region_Code]])</f>
        <v>808.90964285714279</v>
      </c>
      <c r="R130">
        <f>AVERAGEIFS(K130:K629,F130:F629,Table8[[#This Row],[Category]],N130:N629,Table8[[#This Row],[Region_Code]])</f>
        <v>225.26142857142852</v>
      </c>
    </row>
    <row r="131" spans="1:18" x14ac:dyDescent="0.3">
      <c r="A131" t="s">
        <v>392</v>
      </c>
      <c r="B131" t="s">
        <v>393</v>
      </c>
      <c r="C131" t="s">
        <v>290</v>
      </c>
      <c r="D131" t="s">
        <v>21</v>
      </c>
      <c r="E131" t="s">
        <v>137</v>
      </c>
      <c r="F131" t="s">
        <v>68</v>
      </c>
      <c r="G131">
        <v>42</v>
      </c>
      <c r="H131">
        <v>36.950000000000003</v>
      </c>
      <c r="I131">
        <v>1551.9</v>
      </c>
      <c r="J131">
        <v>74.260000000000005</v>
      </c>
      <c r="K131">
        <v>301.64</v>
      </c>
      <c r="L131" t="s">
        <v>33</v>
      </c>
      <c r="M131" t="s">
        <v>34</v>
      </c>
      <c r="N131" t="s">
        <v>98</v>
      </c>
      <c r="O131">
        <f>SUMIFS(I131:I630,F131:F630,Table8[[#This Row],[Category]],N131:N630,Table8[[#This Row],[Region_Code]])</f>
        <v>23374.49</v>
      </c>
      <c r="P131" s="13">
        <f>SUMIFS(K131:K630,F131:F630,Table8[[#This Row],[Category]],N131:N630,Table8[[#This Row],[Region_Code]])</f>
        <v>6816.1200000000008</v>
      </c>
      <c r="Q131">
        <f>AVERAGEIFS(I131:I630,F131:F630,Table8[[#This Row],[Category]],N131:N630,Table8[[#This Row],[Region_Code]])</f>
        <v>1016.2821739130435</v>
      </c>
      <c r="R131">
        <f>AVERAGEIFS(K131:K630,F131:F630,Table8[[#This Row],[Category]],N131:N630,Table8[[#This Row],[Region_Code]])</f>
        <v>296.35304347826093</v>
      </c>
    </row>
    <row r="132" spans="1:18" x14ac:dyDescent="0.3">
      <c r="A132" t="s">
        <v>394</v>
      </c>
      <c r="B132" t="s">
        <v>395</v>
      </c>
      <c r="C132" t="s">
        <v>396</v>
      </c>
      <c r="D132" t="s">
        <v>116</v>
      </c>
      <c r="E132" t="s">
        <v>56</v>
      </c>
      <c r="F132" t="s">
        <v>57</v>
      </c>
      <c r="G132">
        <v>36</v>
      </c>
      <c r="H132">
        <v>57.37</v>
      </c>
      <c r="I132">
        <v>2065.3200000000002</v>
      </c>
      <c r="J132">
        <v>94.34</v>
      </c>
      <c r="K132">
        <v>530.98</v>
      </c>
      <c r="L132" t="s">
        <v>48</v>
      </c>
      <c r="M132" t="s">
        <v>25</v>
      </c>
      <c r="N132" t="s">
        <v>76</v>
      </c>
      <c r="O132">
        <f>SUMIFS(I132:I631,F132:F631,Table8[[#This Row],[Category]],N132:N631,Table8[[#This Row],[Region_Code]])</f>
        <v>20687.719999999998</v>
      </c>
      <c r="P132" s="13">
        <f>SUMIFS(K132:K631,F132:F631,Table8[[#This Row],[Category]],N132:N631,Table8[[#This Row],[Region_Code]])</f>
        <v>5672.6900000000005</v>
      </c>
      <c r="Q132">
        <f>AVERAGEIFS(I132:I631,F132:F631,Table8[[#This Row],[Category]],N132:N631,Table8[[#This Row],[Region_Code]])</f>
        <v>1292.9824999999998</v>
      </c>
      <c r="R132">
        <f>AVERAGEIFS(K132:K631,F132:F631,Table8[[#This Row],[Category]],N132:N631,Table8[[#This Row],[Region_Code]])</f>
        <v>354.54312500000003</v>
      </c>
    </row>
    <row r="133" spans="1:18" x14ac:dyDescent="0.3">
      <c r="A133" t="s">
        <v>397</v>
      </c>
      <c r="B133" t="s">
        <v>398</v>
      </c>
      <c r="C133" t="s">
        <v>44</v>
      </c>
      <c r="D133" t="s">
        <v>123</v>
      </c>
      <c r="E133" t="s">
        <v>137</v>
      </c>
      <c r="F133" t="s">
        <v>68</v>
      </c>
      <c r="G133">
        <v>13</v>
      </c>
      <c r="H133">
        <v>40.18</v>
      </c>
      <c r="I133">
        <v>522.34</v>
      </c>
      <c r="J133">
        <v>37.369999999999997</v>
      </c>
      <c r="K133">
        <v>120.97</v>
      </c>
      <c r="L133" t="s">
        <v>33</v>
      </c>
      <c r="M133" t="s">
        <v>41</v>
      </c>
      <c r="N133" t="s">
        <v>76</v>
      </c>
      <c r="O133">
        <f>SUMIFS(I133:I632,F133:F632,Table8[[#This Row],[Category]],N133:N632,Table8[[#This Row],[Region_Code]])</f>
        <v>40415.860000000015</v>
      </c>
      <c r="P133" s="13">
        <f>SUMIFS(K133:K632,F133:F632,Table8[[#This Row],[Category]],N133:N632,Table8[[#This Row],[Region_Code]])</f>
        <v>11140.729999999998</v>
      </c>
      <c r="Q133">
        <f>AVERAGEIFS(I133:I632,F133:F632,Table8[[#This Row],[Category]],N133:N632,Table8[[#This Row],[Region_Code]])</f>
        <v>878.60565217391343</v>
      </c>
      <c r="R133">
        <f>AVERAGEIFS(K133:K632,F133:F632,Table8[[#This Row],[Category]],N133:N632,Table8[[#This Row],[Region_Code]])</f>
        <v>242.18978260869559</v>
      </c>
    </row>
    <row r="134" spans="1:18" x14ac:dyDescent="0.3">
      <c r="A134" t="s">
        <v>399</v>
      </c>
      <c r="B134" t="s">
        <v>400</v>
      </c>
      <c r="C134" t="s">
        <v>328</v>
      </c>
      <c r="D134" t="s">
        <v>127</v>
      </c>
      <c r="E134" t="s">
        <v>46</v>
      </c>
      <c r="F134" t="s">
        <v>47</v>
      </c>
      <c r="G134">
        <v>37</v>
      </c>
      <c r="H134">
        <v>39.299999999999997</v>
      </c>
      <c r="I134">
        <v>1454.1</v>
      </c>
      <c r="J134">
        <v>67.08</v>
      </c>
      <c r="K134">
        <v>203.02</v>
      </c>
      <c r="L134" t="s">
        <v>48</v>
      </c>
      <c r="M134" t="s">
        <v>25</v>
      </c>
      <c r="N134" t="s">
        <v>76</v>
      </c>
      <c r="O134">
        <f>SUMIFS(I134:I633,F134:F633,Table8[[#This Row],[Category]],N134:N633,Table8[[#This Row],[Region_Code]])</f>
        <v>25816.420000000002</v>
      </c>
      <c r="P134" s="13">
        <f>SUMIFS(K134:K633,F134:F633,Table8[[#This Row],[Category]],N134:N633,Table8[[#This Row],[Region_Code]])</f>
        <v>7115.2400000000007</v>
      </c>
      <c r="Q134">
        <f>AVERAGEIFS(I134:I633,F134:F633,Table8[[#This Row],[Category]],N134:N633,Table8[[#This Row],[Region_Code]])</f>
        <v>832.78774193548395</v>
      </c>
      <c r="R134">
        <f>AVERAGEIFS(K134:K633,F134:F633,Table8[[#This Row],[Category]],N134:N633,Table8[[#This Row],[Region_Code]])</f>
        <v>229.52387096774197</v>
      </c>
    </row>
    <row r="135" spans="1:18" x14ac:dyDescent="0.3">
      <c r="A135" t="s">
        <v>401</v>
      </c>
      <c r="B135" t="s">
        <v>402</v>
      </c>
      <c r="C135" t="s">
        <v>307</v>
      </c>
      <c r="D135" t="s">
        <v>55</v>
      </c>
      <c r="E135" t="s">
        <v>46</v>
      </c>
      <c r="F135" t="s">
        <v>47</v>
      </c>
      <c r="G135">
        <v>17</v>
      </c>
      <c r="H135">
        <v>43.28</v>
      </c>
      <c r="I135">
        <v>735.76</v>
      </c>
      <c r="J135">
        <v>50.96</v>
      </c>
      <c r="K135">
        <v>140.80000000000001</v>
      </c>
      <c r="L135" t="s">
        <v>33</v>
      </c>
      <c r="M135" t="s">
        <v>34</v>
      </c>
      <c r="N135" t="s">
        <v>98</v>
      </c>
      <c r="O135">
        <f>SUMIFS(I135:I634,F135:F634,Table8[[#This Row],[Category]],N135:N634,Table8[[#This Row],[Region_Code]])</f>
        <v>18661.000000000004</v>
      </c>
      <c r="P135" s="13">
        <f>SUMIFS(K135:K634,F135:F634,Table8[[#This Row],[Category]],N135:N634,Table8[[#This Row],[Region_Code]])</f>
        <v>4590.6299999999992</v>
      </c>
      <c r="Q135">
        <f>AVERAGEIFS(I135:I634,F135:F634,Table8[[#This Row],[Category]],N135:N634,Table8[[#This Row],[Region_Code]])</f>
        <v>811.34782608695673</v>
      </c>
      <c r="R135">
        <f>AVERAGEIFS(K135:K634,F135:F634,Table8[[#This Row],[Category]],N135:N634,Table8[[#This Row],[Region_Code]])</f>
        <v>199.59260869565213</v>
      </c>
    </row>
    <row r="136" spans="1:18" x14ac:dyDescent="0.3">
      <c r="A136" t="s">
        <v>403</v>
      </c>
      <c r="B136" t="s">
        <v>404</v>
      </c>
      <c r="C136" t="s">
        <v>20</v>
      </c>
      <c r="D136" t="s">
        <v>123</v>
      </c>
      <c r="E136" t="s">
        <v>22</v>
      </c>
      <c r="F136" t="s">
        <v>23</v>
      </c>
      <c r="G136">
        <v>22</v>
      </c>
      <c r="H136">
        <v>62.79</v>
      </c>
      <c r="I136">
        <v>1381.38</v>
      </c>
      <c r="J136">
        <v>75.84</v>
      </c>
      <c r="K136">
        <v>535.54</v>
      </c>
      <c r="L136" t="s">
        <v>48</v>
      </c>
      <c r="M136" t="s">
        <v>41</v>
      </c>
      <c r="N136" t="s">
        <v>76</v>
      </c>
      <c r="O136">
        <f>SUMIFS(I136:I635,F136:F635,Table8[[#This Row],[Category]],N136:N635,Table8[[#This Row],[Region_Code]])</f>
        <v>21969.629999999997</v>
      </c>
      <c r="P136" s="13">
        <f>SUMIFS(K136:K635,F136:F635,Table8[[#This Row],[Category]],N136:N635,Table8[[#This Row],[Region_Code]])</f>
        <v>6245.07</v>
      </c>
      <c r="Q136">
        <f>AVERAGEIFS(I136:I635,F136:F635,Table8[[#This Row],[Category]],N136:N635,Table8[[#This Row],[Region_Code]])</f>
        <v>844.98576923076917</v>
      </c>
      <c r="R136">
        <f>AVERAGEIFS(K136:K635,F136:F635,Table8[[#This Row],[Category]],N136:N635,Table8[[#This Row],[Region_Code]])</f>
        <v>240.19499999999999</v>
      </c>
    </row>
    <row r="137" spans="1:18" x14ac:dyDescent="0.3">
      <c r="A137" t="s">
        <v>405</v>
      </c>
      <c r="B137" t="s">
        <v>406</v>
      </c>
      <c r="C137" t="s">
        <v>249</v>
      </c>
      <c r="D137" t="s">
        <v>241</v>
      </c>
      <c r="E137" t="s">
        <v>56</v>
      </c>
      <c r="F137" t="s">
        <v>57</v>
      </c>
      <c r="G137">
        <v>23</v>
      </c>
      <c r="H137">
        <v>56.76</v>
      </c>
      <c r="I137">
        <v>1305.48</v>
      </c>
      <c r="J137">
        <v>62.93</v>
      </c>
      <c r="K137">
        <v>322.55</v>
      </c>
      <c r="L137" t="s">
        <v>48</v>
      </c>
      <c r="M137" t="s">
        <v>41</v>
      </c>
      <c r="N137" t="s">
        <v>35</v>
      </c>
      <c r="O137">
        <f>SUMIFS(I137:I636,F137:F636,Table8[[#This Row],[Category]],N137:N636,Table8[[#This Row],[Region_Code]])</f>
        <v>6520.63</v>
      </c>
      <c r="P137" s="13">
        <f>SUMIFS(K137:K636,F137:F636,Table8[[#This Row],[Category]],N137:N636,Table8[[#This Row],[Region_Code]])</f>
        <v>2135.09</v>
      </c>
      <c r="Q137">
        <f>AVERAGEIFS(I137:I636,F137:F636,Table8[[#This Row],[Category]],N137:N636,Table8[[#This Row],[Region_Code]])</f>
        <v>1304.126</v>
      </c>
      <c r="R137">
        <f>AVERAGEIFS(K137:K636,F137:F636,Table8[[#This Row],[Category]],N137:N636,Table8[[#This Row],[Region_Code]])</f>
        <v>427.01800000000003</v>
      </c>
    </row>
    <row r="138" spans="1:18" x14ac:dyDescent="0.3">
      <c r="A138" t="s">
        <v>407</v>
      </c>
      <c r="B138" t="s">
        <v>408</v>
      </c>
      <c r="C138" t="s">
        <v>40</v>
      </c>
      <c r="D138" t="s">
        <v>31</v>
      </c>
      <c r="E138" t="s">
        <v>56</v>
      </c>
      <c r="F138" t="s">
        <v>57</v>
      </c>
      <c r="G138">
        <v>22</v>
      </c>
      <c r="H138">
        <v>60.13</v>
      </c>
      <c r="I138">
        <v>1322.86</v>
      </c>
      <c r="J138">
        <v>54.06</v>
      </c>
      <c r="K138">
        <v>388.8</v>
      </c>
      <c r="L138" t="s">
        <v>48</v>
      </c>
      <c r="M138" t="s">
        <v>34</v>
      </c>
      <c r="N138" t="s">
        <v>35</v>
      </c>
      <c r="O138">
        <f>SUMIFS(I138:I637,F138:F637,Table8[[#This Row],[Category]],N138:N637,Table8[[#This Row],[Region_Code]])</f>
        <v>5215.1500000000005</v>
      </c>
      <c r="P138" s="13">
        <f>SUMIFS(K138:K637,F138:F637,Table8[[#This Row],[Category]],N138:N637,Table8[[#This Row],[Region_Code]])</f>
        <v>1812.5399999999997</v>
      </c>
      <c r="Q138">
        <f>AVERAGEIFS(I138:I637,F138:F637,Table8[[#This Row],[Category]],N138:N637,Table8[[#This Row],[Region_Code]])</f>
        <v>1303.7875000000001</v>
      </c>
      <c r="R138">
        <f>AVERAGEIFS(K138:K637,F138:F637,Table8[[#This Row],[Category]],N138:N637,Table8[[#This Row],[Region_Code]])</f>
        <v>453.13499999999993</v>
      </c>
    </row>
    <row r="139" spans="1:18" x14ac:dyDescent="0.3">
      <c r="A139" t="s">
        <v>409</v>
      </c>
      <c r="B139" t="s">
        <v>386</v>
      </c>
      <c r="C139" t="s">
        <v>410</v>
      </c>
      <c r="D139" t="s">
        <v>116</v>
      </c>
      <c r="E139" t="s">
        <v>74</v>
      </c>
      <c r="F139" t="s">
        <v>75</v>
      </c>
      <c r="G139">
        <v>21</v>
      </c>
      <c r="H139">
        <v>40.98</v>
      </c>
      <c r="I139">
        <v>860.58</v>
      </c>
      <c r="J139">
        <v>37.01</v>
      </c>
      <c r="K139">
        <v>298.57</v>
      </c>
      <c r="L139" t="s">
        <v>24</v>
      </c>
      <c r="M139" t="s">
        <v>41</v>
      </c>
      <c r="N139" t="s">
        <v>76</v>
      </c>
      <c r="O139">
        <f>SUMIFS(I139:I638,F139:F638,Table8[[#This Row],[Category]],N139:N638,Table8[[#This Row],[Region_Code]])</f>
        <v>17483.39</v>
      </c>
      <c r="P139" s="13">
        <f>SUMIFS(K139:K638,F139:F638,Table8[[#This Row],[Category]],N139:N638,Table8[[#This Row],[Region_Code]])</f>
        <v>4647.17</v>
      </c>
      <c r="Q139">
        <f>AVERAGEIFS(I139:I638,F139:F638,Table8[[#This Row],[Category]],N139:N638,Table8[[#This Row],[Region_Code]])</f>
        <v>874.16949999999997</v>
      </c>
      <c r="R139">
        <f>AVERAGEIFS(K139:K638,F139:F638,Table8[[#This Row],[Category]],N139:N638,Table8[[#This Row],[Region_Code]])</f>
        <v>232.35849999999999</v>
      </c>
    </row>
    <row r="140" spans="1:18" x14ac:dyDescent="0.3">
      <c r="A140" t="s">
        <v>411</v>
      </c>
      <c r="B140" t="s">
        <v>412</v>
      </c>
      <c r="C140" t="s">
        <v>188</v>
      </c>
      <c r="D140" t="s">
        <v>45</v>
      </c>
      <c r="E140" t="s">
        <v>56</v>
      </c>
      <c r="F140" t="s">
        <v>57</v>
      </c>
      <c r="G140">
        <v>36</v>
      </c>
      <c r="H140">
        <v>54.6</v>
      </c>
      <c r="I140">
        <v>1965.6</v>
      </c>
      <c r="J140">
        <v>150.34</v>
      </c>
      <c r="K140">
        <v>375.26</v>
      </c>
      <c r="L140" t="s">
        <v>33</v>
      </c>
      <c r="M140" t="s">
        <v>25</v>
      </c>
      <c r="N140" t="s">
        <v>49</v>
      </c>
      <c r="O140">
        <f>SUMIFS(I140:I639,F140:F639,Table8[[#This Row],[Category]],N140:N639,Table8[[#This Row],[Region_Code]])</f>
        <v>1965.6</v>
      </c>
      <c r="P140" s="13">
        <f>SUMIFS(K140:K639,F140:F639,Table8[[#This Row],[Category]],N140:N639,Table8[[#This Row],[Region_Code]])</f>
        <v>375.26</v>
      </c>
      <c r="Q140">
        <f>AVERAGEIFS(I140:I639,F140:F639,Table8[[#This Row],[Category]],N140:N639,Table8[[#This Row],[Region_Code]])</f>
        <v>1965.6</v>
      </c>
      <c r="R140">
        <f>AVERAGEIFS(K140:K639,F140:F639,Table8[[#This Row],[Category]],N140:N639,Table8[[#This Row],[Region_Code]])</f>
        <v>375.26</v>
      </c>
    </row>
    <row r="141" spans="1:18" x14ac:dyDescent="0.3">
      <c r="A141" t="s">
        <v>413</v>
      </c>
      <c r="B141" t="s">
        <v>414</v>
      </c>
      <c r="C141" t="s">
        <v>360</v>
      </c>
      <c r="D141" t="s">
        <v>37</v>
      </c>
      <c r="E141" t="s">
        <v>81</v>
      </c>
      <c r="F141" t="s">
        <v>68</v>
      </c>
      <c r="G141">
        <v>1</v>
      </c>
      <c r="H141">
        <v>27.49</v>
      </c>
      <c r="I141">
        <v>27.49</v>
      </c>
      <c r="J141">
        <v>0.63</v>
      </c>
      <c r="K141">
        <v>11.36</v>
      </c>
      <c r="L141" t="s">
        <v>33</v>
      </c>
      <c r="M141" t="s">
        <v>41</v>
      </c>
      <c r="N141" t="s">
        <v>35</v>
      </c>
      <c r="O141">
        <f>SUMIFS(I141:I640,F141:F640,Table8[[#This Row],[Category]],N141:N640,Table8[[#This Row],[Region_Code]])</f>
        <v>22492.92</v>
      </c>
      <c r="P141" s="13">
        <f>SUMIFS(K141:K640,F141:F640,Table8[[#This Row],[Category]],N141:N640,Table8[[#This Row],[Region_Code]])</f>
        <v>6267.3099999999986</v>
      </c>
      <c r="Q141">
        <f>AVERAGEIFS(I141:I640,F141:F640,Table8[[#This Row],[Category]],N141:N640,Table8[[#This Row],[Region_Code]])</f>
        <v>833.07111111111101</v>
      </c>
      <c r="R141">
        <f>AVERAGEIFS(K141:K640,F141:F640,Table8[[#This Row],[Category]],N141:N640,Table8[[#This Row],[Region_Code]])</f>
        <v>232.12259259259255</v>
      </c>
    </row>
    <row r="142" spans="1:18" x14ac:dyDescent="0.3">
      <c r="A142" t="s">
        <v>415</v>
      </c>
      <c r="B142" t="s">
        <v>416</v>
      </c>
      <c r="C142" t="s">
        <v>417</v>
      </c>
      <c r="D142" t="s">
        <v>116</v>
      </c>
      <c r="E142" t="s">
        <v>46</v>
      </c>
      <c r="F142" t="s">
        <v>47</v>
      </c>
      <c r="G142">
        <v>50</v>
      </c>
      <c r="H142">
        <v>41.11</v>
      </c>
      <c r="I142">
        <v>2055.5</v>
      </c>
      <c r="J142">
        <v>95.61</v>
      </c>
      <c r="K142">
        <v>359.89</v>
      </c>
      <c r="L142" t="s">
        <v>48</v>
      </c>
      <c r="M142" t="s">
        <v>34</v>
      </c>
      <c r="N142" t="s">
        <v>76</v>
      </c>
      <c r="O142">
        <f>SUMIFS(I142:I641,F142:F641,Table8[[#This Row],[Category]],N142:N641,Table8[[#This Row],[Region_Code]])</f>
        <v>24362.320000000003</v>
      </c>
      <c r="P142" s="13">
        <f>SUMIFS(K142:K641,F142:F641,Table8[[#This Row],[Category]],N142:N641,Table8[[#This Row],[Region_Code]])</f>
        <v>6912.2200000000012</v>
      </c>
      <c r="Q142">
        <f>AVERAGEIFS(I142:I641,F142:F641,Table8[[#This Row],[Category]],N142:N641,Table8[[#This Row],[Region_Code]])</f>
        <v>812.0773333333334</v>
      </c>
      <c r="R142">
        <f>AVERAGEIFS(K142:K641,F142:F641,Table8[[#This Row],[Category]],N142:N641,Table8[[#This Row],[Region_Code]])</f>
        <v>230.40733333333338</v>
      </c>
    </row>
    <row r="143" spans="1:18" x14ac:dyDescent="0.3">
      <c r="A143" t="s">
        <v>418</v>
      </c>
      <c r="B143" t="s">
        <v>419</v>
      </c>
      <c r="C143" t="s">
        <v>191</v>
      </c>
      <c r="D143" t="s">
        <v>51</v>
      </c>
      <c r="E143" t="s">
        <v>81</v>
      </c>
      <c r="F143" t="s">
        <v>68</v>
      </c>
      <c r="G143">
        <v>18</v>
      </c>
      <c r="H143">
        <v>25.54</v>
      </c>
      <c r="I143">
        <v>459.72</v>
      </c>
      <c r="J143">
        <v>27.02</v>
      </c>
      <c r="K143">
        <v>153.69999999999999</v>
      </c>
      <c r="L143" t="s">
        <v>33</v>
      </c>
      <c r="M143" t="s">
        <v>25</v>
      </c>
      <c r="N143" t="s">
        <v>76</v>
      </c>
      <c r="O143">
        <f>SUMIFS(I143:I642,F143:F642,Table8[[#This Row],[Category]],N143:N642,Table8[[#This Row],[Region_Code]])</f>
        <v>39893.520000000019</v>
      </c>
      <c r="P143" s="13">
        <f>SUMIFS(K143:K642,F143:F642,Table8[[#This Row],[Category]],N143:N642,Table8[[#This Row],[Region_Code]])</f>
        <v>11019.759999999998</v>
      </c>
      <c r="Q143">
        <f>AVERAGEIFS(I143:I642,F143:F642,Table8[[#This Row],[Category]],N143:N642,Table8[[#This Row],[Region_Code]])</f>
        <v>886.52266666666708</v>
      </c>
      <c r="R143">
        <f>AVERAGEIFS(K143:K642,F143:F642,Table8[[#This Row],[Category]],N143:N642,Table8[[#This Row],[Region_Code]])</f>
        <v>244.88355555555552</v>
      </c>
    </row>
    <row r="144" spans="1:18" x14ac:dyDescent="0.3">
      <c r="A144" t="s">
        <v>420</v>
      </c>
      <c r="B144" t="s">
        <v>421</v>
      </c>
      <c r="C144" t="s">
        <v>369</v>
      </c>
      <c r="D144" t="s">
        <v>127</v>
      </c>
      <c r="E144" t="s">
        <v>137</v>
      </c>
      <c r="F144" t="s">
        <v>68</v>
      </c>
      <c r="G144">
        <v>4</v>
      </c>
      <c r="H144">
        <v>47.52</v>
      </c>
      <c r="I144">
        <v>190.08</v>
      </c>
      <c r="J144">
        <v>10.23</v>
      </c>
      <c r="K144">
        <v>67.849999999999994</v>
      </c>
      <c r="L144" t="s">
        <v>24</v>
      </c>
      <c r="M144" t="s">
        <v>25</v>
      </c>
      <c r="N144" t="s">
        <v>76</v>
      </c>
      <c r="O144">
        <f>SUMIFS(I144:I643,F144:F643,Table8[[#This Row],[Category]],N144:N643,Table8[[#This Row],[Region_Code]])</f>
        <v>39433.800000000017</v>
      </c>
      <c r="P144" s="13">
        <f>SUMIFS(K144:K643,F144:F643,Table8[[#This Row],[Category]],N144:N643,Table8[[#This Row],[Region_Code]])</f>
        <v>10866.06</v>
      </c>
      <c r="Q144">
        <f>AVERAGEIFS(I144:I643,F144:F643,Table8[[#This Row],[Category]],N144:N643,Table8[[#This Row],[Region_Code]])</f>
        <v>896.22272727272764</v>
      </c>
      <c r="R144">
        <f>AVERAGEIFS(K144:K643,F144:F643,Table8[[#This Row],[Category]],N144:N643,Table8[[#This Row],[Region_Code]])</f>
        <v>246.95590909090907</v>
      </c>
    </row>
    <row r="145" spans="1:18" x14ac:dyDescent="0.3">
      <c r="A145" t="s">
        <v>422</v>
      </c>
      <c r="B145" t="s">
        <v>423</v>
      </c>
      <c r="C145" t="s">
        <v>272</v>
      </c>
      <c r="D145" t="s">
        <v>37</v>
      </c>
      <c r="E145" t="s">
        <v>74</v>
      </c>
      <c r="F145" t="s">
        <v>75</v>
      </c>
      <c r="G145">
        <v>29</v>
      </c>
      <c r="H145">
        <v>30.48</v>
      </c>
      <c r="I145">
        <v>883.92</v>
      </c>
      <c r="J145">
        <v>33.15</v>
      </c>
      <c r="K145">
        <v>125.77</v>
      </c>
      <c r="L145" t="s">
        <v>48</v>
      </c>
      <c r="M145" t="s">
        <v>25</v>
      </c>
      <c r="N145" t="s">
        <v>35</v>
      </c>
      <c r="O145">
        <f>SUMIFS(I145:I644,F145:F644,Table8[[#This Row],[Category]],N145:N644,Table8[[#This Row],[Region_Code]])</f>
        <v>10142.56</v>
      </c>
      <c r="P145" s="13">
        <f>SUMIFS(K145:K644,F145:F644,Table8[[#This Row],[Category]],N145:N644,Table8[[#This Row],[Region_Code]])</f>
        <v>2662.79</v>
      </c>
      <c r="Q145">
        <f>AVERAGEIFS(I145:I644,F145:F644,Table8[[#This Row],[Category]],N145:N644,Table8[[#This Row],[Region_Code]])</f>
        <v>922.05090909090904</v>
      </c>
      <c r="R145">
        <f>AVERAGEIFS(K145:K644,F145:F644,Table8[[#This Row],[Category]],N145:N644,Table8[[#This Row],[Region_Code]])</f>
        <v>242.07181818181817</v>
      </c>
    </row>
    <row r="146" spans="1:18" x14ac:dyDescent="0.3">
      <c r="A146" t="s">
        <v>424</v>
      </c>
      <c r="B146" t="s">
        <v>256</v>
      </c>
      <c r="C146" t="s">
        <v>269</v>
      </c>
      <c r="D146" t="s">
        <v>141</v>
      </c>
      <c r="E146" t="s">
        <v>56</v>
      </c>
      <c r="F146" t="s">
        <v>57</v>
      </c>
      <c r="G146">
        <v>27</v>
      </c>
      <c r="H146">
        <v>50.39</v>
      </c>
      <c r="I146">
        <v>1360.53</v>
      </c>
      <c r="J146">
        <v>106.4</v>
      </c>
      <c r="K146">
        <v>174.13</v>
      </c>
      <c r="L146" t="s">
        <v>33</v>
      </c>
      <c r="M146" t="s">
        <v>34</v>
      </c>
      <c r="N146" t="s">
        <v>142</v>
      </c>
      <c r="O146">
        <f>SUMIFS(I146:I645,F146:F645,Table8[[#This Row],[Category]],N146:N645,Table8[[#This Row],[Region_Code]])</f>
        <v>3846.2299999999996</v>
      </c>
      <c r="P146" s="13">
        <f>SUMIFS(K146:K645,F146:F645,Table8[[#This Row],[Category]],N146:N645,Table8[[#This Row],[Region_Code]])</f>
        <v>1122.6100000000001</v>
      </c>
      <c r="Q146">
        <f>AVERAGEIFS(I146:I645,F146:F645,Table8[[#This Row],[Category]],N146:N645,Table8[[#This Row],[Region_Code]])</f>
        <v>1923.1149999999998</v>
      </c>
      <c r="R146">
        <f>AVERAGEIFS(K146:K645,F146:F645,Table8[[#This Row],[Category]],N146:N645,Table8[[#This Row],[Region_Code]])</f>
        <v>561.30500000000006</v>
      </c>
    </row>
    <row r="147" spans="1:18" x14ac:dyDescent="0.3">
      <c r="A147" t="s">
        <v>425</v>
      </c>
      <c r="B147" t="s">
        <v>426</v>
      </c>
      <c r="C147" t="s">
        <v>232</v>
      </c>
      <c r="D147" t="s">
        <v>241</v>
      </c>
      <c r="E147" t="s">
        <v>74</v>
      </c>
      <c r="F147" t="s">
        <v>75</v>
      </c>
      <c r="G147">
        <v>34</v>
      </c>
      <c r="H147">
        <v>37.68</v>
      </c>
      <c r="I147">
        <v>1281.1199999999999</v>
      </c>
      <c r="J147">
        <v>54.86</v>
      </c>
      <c r="K147">
        <v>376.26</v>
      </c>
      <c r="L147" t="s">
        <v>48</v>
      </c>
      <c r="M147" t="s">
        <v>25</v>
      </c>
      <c r="N147" t="s">
        <v>35</v>
      </c>
      <c r="O147">
        <f>SUMIFS(I147:I646,F147:F646,Table8[[#This Row],[Category]],N147:N646,Table8[[#This Row],[Region_Code]])</f>
        <v>9258.64</v>
      </c>
      <c r="P147" s="13">
        <f>SUMIFS(K147:K646,F147:F646,Table8[[#This Row],[Category]],N147:N646,Table8[[#This Row],[Region_Code]])</f>
        <v>2537.02</v>
      </c>
      <c r="Q147">
        <f>AVERAGEIFS(I147:I646,F147:F646,Table8[[#This Row],[Category]],N147:N646,Table8[[#This Row],[Region_Code]])</f>
        <v>925.86399999999992</v>
      </c>
      <c r="R147">
        <f>AVERAGEIFS(K147:K646,F147:F646,Table8[[#This Row],[Category]],N147:N646,Table8[[#This Row],[Region_Code]])</f>
        <v>253.702</v>
      </c>
    </row>
    <row r="148" spans="1:18" x14ac:dyDescent="0.3">
      <c r="A148" t="s">
        <v>427</v>
      </c>
      <c r="B148" t="s">
        <v>109</v>
      </c>
      <c r="C148" t="s">
        <v>428</v>
      </c>
      <c r="D148" t="s">
        <v>127</v>
      </c>
      <c r="E148" t="s">
        <v>74</v>
      </c>
      <c r="F148" t="s">
        <v>75</v>
      </c>
      <c r="G148">
        <v>3</v>
      </c>
      <c r="H148">
        <v>39.32</v>
      </c>
      <c r="I148">
        <v>117.96</v>
      </c>
      <c r="J148">
        <v>6.97</v>
      </c>
      <c r="K148">
        <v>35.99</v>
      </c>
      <c r="L148" t="s">
        <v>33</v>
      </c>
      <c r="M148" t="s">
        <v>34</v>
      </c>
      <c r="N148" t="s">
        <v>76</v>
      </c>
      <c r="O148">
        <f>SUMIFS(I148:I647,F148:F647,Table8[[#This Row],[Category]],N148:N647,Table8[[#This Row],[Region_Code]])</f>
        <v>16622.810000000001</v>
      </c>
      <c r="P148" s="13">
        <f>SUMIFS(K148:K647,F148:F647,Table8[[#This Row],[Category]],N148:N647,Table8[[#This Row],[Region_Code]])</f>
        <v>4348.5999999999995</v>
      </c>
      <c r="Q148">
        <f>AVERAGEIFS(I148:I647,F148:F647,Table8[[#This Row],[Category]],N148:N647,Table8[[#This Row],[Region_Code]])</f>
        <v>874.88473684210533</v>
      </c>
      <c r="R148">
        <f>AVERAGEIFS(K148:K647,F148:F647,Table8[[#This Row],[Category]],N148:N647,Table8[[#This Row],[Region_Code]])</f>
        <v>228.87368421052628</v>
      </c>
    </row>
    <row r="149" spans="1:18" x14ac:dyDescent="0.3">
      <c r="A149" t="s">
        <v>429</v>
      </c>
      <c r="B149" t="s">
        <v>390</v>
      </c>
      <c r="C149" t="s">
        <v>372</v>
      </c>
      <c r="D149" t="s">
        <v>55</v>
      </c>
      <c r="E149" t="s">
        <v>86</v>
      </c>
      <c r="F149" t="s">
        <v>47</v>
      </c>
      <c r="G149">
        <v>24</v>
      </c>
      <c r="H149">
        <v>18</v>
      </c>
      <c r="I149">
        <v>432</v>
      </c>
      <c r="J149">
        <v>22.68</v>
      </c>
      <c r="K149">
        <v>103.32</v>
      </c>
      <c r="L149" t="s">
        <v>24</v>
      </c>
      <c r="M149" t="s">
        <v>41</v>
      </c>
      <c r="N149" t="s">
        <v>98</v>
      </c>
      <c r="O149">
        <f>SUMIFS(I149:I648,F149:F648,Table8[[#This Row],[Category]],N149:N648,Table8[[#This Row],[Region_Code]])</f>
        <v>17925.240000000002</v>
      </c>
      <c r="P149" s="13">
        <f>SUMIFS(K149:K648,F149:F648,Table8[[#This Row],[Category]],N149:N648,Table8[[#This Row],[Region_Code]])</f>
        <v>4449.829999999999</v>
      </c>
      <c r="Q149">
        <f>AVERAGEIFS(I149:I648,F149:F648,Table8[[#This Row],[Category]],N149:N648,Table8[[#This Row],[Region_Code]])</f>
        <v>814.78363636363645</v>
      </c>
      <c r="R149">
        <f>AVERAGEIFS(K149:K648,F149:F648,Table8[[#This Row],[Category]],N149:N648,Table8[[#This Row],[Region_Code]])</f>
        <v>202.26499999999996</v>
      </c>
    </row>
    <row r="150" spans="1:18" x14ac:dyDescent="0.3">
      <c r="A150" t="s">
        <v>430</v>
      </c>
      <c r="B150" t="s">
        <v>431</v>
      </c>
      <c r="C150" t="s">
        <v>162</v>
      </c>
      <c r="D150" t="s">
        <v>31</v>
      </c>
      <c r="E150" t="s">
        <v>67</v>
      </c>
      <c r="F150" t="s">
        <v>68</v>
      </c>
      <c r="G150">
        <v>5</v>
      </c>
      <c r="H150">
        <v>36.43</v>
      </c>
      <c r="I150">
        <v>182.15</v>
      </c>
      <c r="J150">
        <v>7.82</v>
      </c>
      <c r="K150">
        <v>61.83</v>
      </c>
      <c r="L150" t="s">
        <v>24</v>
      </c>
      <c r="M150" t="s">
        <v>41</v>
      </c>
      <c r="N150" t="s">
        <v>35</v>
      </c>
      <c r="O150">
        <f>SUMIFS(I150:I649,F150:F649,Table8[[#This Row],[Category]],N150:N649,Table8[[#This Row],[Region_Code]])</f>
        <v>22465.429999999997</v>
      </c>
      <c r="P150" s="13">
        <f>SUMIFS(K150:K649,F150:F649,Table8[[#This Row],[Category]],N150:N649,Table8[[#This Row],[Region_Code]])</f>
        <v>6255.9499999999989</v>
      </c>
      <c r="Q150">
        <f>AVERAGEIFS(I150:I649,F150:F649,Table8[[#This Row],[Category]],N150:N649,Table8[[#This Row],[Region_Code]])</f>
        <v>864.05499999999984</v>
      </c>
      <c r="R150">
        <f>AVERAGEIFS(K150:K649,F150:F649,Table8[[#This Row],[Category]],N150:N649,Table8[[#This Row],[Region_Code]])</f>
        <v>240.61346153846151</v>
      </c>
    </row>
    <row r="151" spans="1:18" x14ac:dyDescent="0.3">
      <c r="A151" t="s">
        <v>432</v>
      </c>
      <c r="B151" t="s">
        <v>433</v>
      </c>
      <c r="C151" t="s">
        <v>170</v>
      </c>
      <c r="D151" t="s">
        <v>51</v>
      </c>
      <c r="E151" t="s">
        <v>67</v>
      </c>
      <c r="F151" t="s">
        <v>68</v>
      </c>
      <c r="G151">
        <v>27</v>
      </c>
      <c r="H151">
        <v>38.39</v>
      </c>
      <c r="I151">
        <v>1036.53</v>
      </c>
      <c r="J151">
        <v>28.6</v>
      </c>
      <c r="K151">
        <v>400.43</v>
      </c>
      <c r="L151" t="s">
        <v>33</v>
      </c>
      <c r="M151" t="s">
        <v>25</v>
      </c>
      <c r="N151" t="s">
        <v>76</v>
      </c>
      <c r="O151">
        <f>SUMIFS(I151:I650,F151:F650,Table8[[#This Row],[Category]],N151:N650,Table8[[#This Row],[Region_Code]])</f>
        <v>39243.720000000016</v>
      </c>
      <c r="P151" s="13">
        <f>SUMIFS(K151:K650,F151:F650,Table8[[#This Row],[Category]],N151:N650,Table8[[#This Row],[Region_Code]])</f>
        <v>10798.21</v>
      </c>
      <c r="Q151">
        <f>AVERAGEIFS(I151:I650,F151:F650,Table8[[#This Row],[Category]],N151:N650,Table8[[#This Row],[Region_Code]])</f>
        <v>912.64465116279109</v>
      </c>
      <c r="R151">
        <f>AVERAGEIFS(K151:K650,F151:F650,Table8[[#This Row],[Category]],N151:N650,Table8[[#This Row],[Region_Code]])</f>
        <v>251.12116279069767</v>
      </c>
    </row>
    <row r="152" spans="1:18" x14ac:dyDescent="0.3">
      <c r="A152" t="s">
        <v>434</v>
      </c>
      <c r="B152" t="s">
        <v>435</v>
      </c>
      <c r="C152" t="s">
        <v>219</v>
      </c>
      <c r="D152" t="s">
        <v>45</v>
      </c>
      <c r="E152" t="s">
        <v>137</v>
      </c>
      <c r="F152" t="s">
        <v>68</v>
      </c>
      <c r="G152">
        <v>10</v>
      </c>
      <c r="H152">
        <v>47.5</v>
      </c>
      <c r="I152">
        <v>475</v>
      </c>
      <c r="J152">
        <v>15.95</v>
      </c>
      <c r="K152">
        <v>179.05</v>
      </c>
      <c r="L152" t="s">
        <v>24</v>
      </c>
      <c r="M152" t="s">
        <v>25</v>
      </c>
      <c r="N152" t="s">
        <v>49</v>
      </c>
      <c r="O152">
        <f>SUMIFS(I152:I651,F152:F651,Table8[[#This Row],[Category]],N152:N651,Table8[[#This Row],[Region_Code]])</f>
        <v>2088.92</v>
      </c>
      <c r="P152" s="13">
        <f>SUMIFS(K152:K651,F152:F651,Table8[[#This Row],[Category]],N152:N651,Table8[[#This Row],[Region_Code]])</f>
        <v>451.49</v>
      </c>
      <c r="Q152">
        <f>AVERAGEIFS(I152:I651,F152:F651,Table8[[#This Row],[Category]],N152:N651,Table8[[#This Row],[Region_Code]])</f>
        <v>522.23</v>
      </c>
      <c r="R152">
        <f>AVERAGEIFS(K152:K651,F152:F651,Table8[[#This Row],[Category]],N152:N651,Table8[[#This Row],[Region_Code]])</f>
        <v>112.8725</v>
      </c>
    </row>
    <row r="153" spans="1:18" x14ac:dyDescent="0.3">
      <c r="A153" t="s">
        <v>436</v>
      </c>
      <c r="B153" t="s">
        <v>274</v>
      </c>
      <c r="C153" t="s">
        <v>437</v>
      </c>
      <c r="D153" t="s">
        <v>123</v>
      </c>
      <c r="E153" t="s">
        <v>46</v>
      </c>
      <c r="F153" t="s">
        <v>47</v>
      </c>
      <c r="G153">
        <v>47</v>
      </c>
      <c r="H153">
        <v>50.13</v>
      </c>
      <c r="I153">
        <v>2356.11</v>
      </c>
      <c r="J153">
        <v>166.22</v>
      </c>
      <c r="K153">
        <v>685.89</v>
      </c>
      <c r="L153" t="s">
        <v>24</v>
      </c>
      <c r="M153" t="s">
        <v>25</v>
      </c>
      <c r="N153" t="s">
        <v>76</v>
      </c>
      <c r="O153">
        <f>SUMIFS(I153:I652,F153:F652,Table8[[#This Row],[Category]],N153:N652,Table8[[#This Row],[Region_Code]])</f>
        <v>22306.820000000003</v>
      </c>
      <c r="P153" s="13">
        <f>SUMIFS(K153:K652,F153:F652,Table8[[#This Row],[Category]],N153:N652,Table8[[#This Row],[Region_Code]])</f>
        <v>6552.3300000000017</v>
      </c>
      <c r="Q153">
        <f>AVERAGEIFS(I153:I652,F153:F652,Table8[[#This Row],[Category]],N153:N652,Table8[[#This Row],[Region_Code]])</f>
        <v>769.20068965517248</v>
      </c>
      <c r="R153">
        <f>AVERAGEIFS(K153:K652,F153:F652,Table8[[#This Row],[Category]],N153:N652,Table8[[#This Row],[Region_Code]])</f>
        <v>225.9424137931035</v>
      </c>
    </row>
    <row r="154" spans="1:18" x14ac:dyDescent="0.3">
      <c r="A154" t="s">
        <v>438</v>
      </c>
      <c r="B154" t="s">
        <v>439</v>
      </c>
      <c r="C154" t="s">
        <v>440</v>
      </c>
      <c r="D154" t="s">
        <v>62</v>
      </c>
      <c r="E154" t="s">
        <v>137</v>
      </c>
      <c r="F154" t="s">
        <v>68</v>
      </c>
      <c r="G154">
        <v>47</v>
      </c>
      <c r="H154">
        <v>42.25</v>
      </c>
      <c r="I154">
        <v>1985.75</v>
      </c>
      <c r="J154">
        <v>116.75</v>
      </c>
      <c r="K154">
        <v>553</v>
      </c>
      <c r="L154" t="s">
        <v>33</v>
      </c>
      <c r="M154" t="s">
        <v>25</v>
      </c>
      <c r="N154" t="s">
        <v>98</v>
      </c>
      <c r="O154">
        <f>SUMIFS(I154:I653,F154:F653,Table8[[#This Row],[Category]],N154:N653,Table8[[#This Row],[Region_Code]])</f>
        <v>21822.59</v>
      </c>
      <c r="P154" s="13">
        <f>SUMIFS(K154:K653,F154:F653,Table8[[#This Row],[Category]],N154:N653,Table8[[#This Row],[Region_Code]])</f>
        <v>6514.4800000000005</v>
      </c>
      <c r="Q154">
        <f>AVERAGEIFS(I154:I653,F154:F653,Table8[[#This Row],[Category]],N154:N653,Table8[[#This Row],[Region_Code]])</f>
        <v>991.93590909090915</v>
      </c>
      <c r="R154">
        <f>AVERAGEIFS(K154:K653,F154:F653,Table8[[#This Row],[Category]],N154:N653,Table8[[#This Row],[Region_Code]])</f>
        <v>296.11272727272728</v>
      </c>
    </row>
    <row r="155" spans="1:18" x14ac:dyDescent="0.3">
      <c r="A155" t="s">
        <v>441</v>
      </c>
      <c r="B155" t="s">
        <v>121</v>
      </c>
      <c r="C155" t="s">
        <v>442</v>
      </c>
      <c r="D155" t="s">
        <v>51</v>
      </c>
      <c r="E155" t="s">
        <v>74</v>
      </c>
      <c r="F155" t="s">
        <v>75</v>
      </c>
      <c r="G155">
        <v>18</v>
      </c>
      <c r="H155">
        <v>38.26</v>
      </c>
      <c r="I155">
        <v>688.68</v>
      </c>
      <c r="J155">
        <v>18.78</v>
      </c>
      <c r="K155">
        <v>219.9</v>
      </c>
      <c r="L155" t="s">
        <v>33</v>
      </c>
      <c r="M155" t="s">
        <v>25</v>
      </c>
      <c r="N155" t="s">
        <v>76</v>
      </c>
      <c r="O155">
        <f>SUMIFS(I155:I654,F155:F654,Table8[[#This Row],[Category]],N155:N654,Table8[[#This Row],[Region_Code]])</f>
        <v>16504.849999999999</v>
      </c>
      <c r="P155" s="13">
        <f>SUMIFS(K155:K654,F155:F654,Table8[[#This Row],[Category]],N155:N654,Table8[[#This Row],[Region_Code]])</f>
        <v>4312.6099999999997</v>
      </c>
      <c r="Q155">
        <f>AVERAGEIFS(I155:I654,F155:F654,Table8[[#This Row],[Category]],N155:N654,Table8[[#This Row],[Region_Code]])</f>
        <v>916.93611111111102</v>
      </c>
      <c r="R155">
        <f>AVERAGEIFS(K155:K654,F155:F654,Table8[[#This Row],[Category]],N155:N654,Table8[[#This Row],[Region_Code]])</f>
        <v>239.58944444444444</v>
      </c>
    </row>
    <row r="156" spans="1:18" x14ac:dyDescent="0.3">
      <c r="A156" t="s">
        <v>443</v>
      </c>
      <c r="B156" t="s">
        <v>444</v>
      </c>
      <c r="C156" t="s">
        <v>140</v>
      </c>
      <c r="D156" t="s">
        <v>116</v>
      </c>
      <c r="E156" t="s">
        <v>137</v>
      </c>
      <c r="F156" t="s">
        <v>68</v>
      </c>
      <c r="G156">
        <v>31</v>
      </c>
      <c r="H156">
        <v>46.66</v>
      </c>
      <c r="I156">
        <v>1446.46</v>
      </c>
      <c r="J156">
        <v>109.24</v>
      </c>
      <c r="K156">
        <v>469.22</v>
      </c>
      <c r="L156" t="s">
        <v>24</v>
      </c>
      <c r="M156" t="s">
        <v>41</v>
      </c>
      <c r="N156" t="s">
        <v>76</v>
      </c>
      <c r="O156">
        <f>SUMIFS(I156:I655,F156:F655,Table8[[#This Row],[Category]],N156:N655,Table8[[#This Row],[Region_Code]])</f>
        <v>38207.19000000001</v>
      </c>
      <c r="P156" s="13">
        <f>SUMIFS(K156:K655,F156:F655,Table8[[#This Row],[Category]],N156:N655,Table8[[#This Row],[Region_Code]])</f>
        <v>10397.779999999999</v>
      </c>
      <c r="Q156">
        <f>AVERAGEIFS(I156:I655,F156:F655,Table8[[#This Row],[Category]],N156:N655,Table8[[#This Row],[Region_Code]])</f>
        <v>909.69500000000028</v>
      </c>
      <c r="R156">
        <f>AVERAGEIFS(K156:K655,F156:F655,Table8[[#This Row],[Category]],N156:N655,Table8[[#This Row],[Region_Code]])</f>
        <v>247.56619047619046</v>
      </c>
    </row>
    <row r="157" spans="1:18" x14ac:dyDescent="0.3">
      <c r="A157" t="s">
        <v>445</v>
      </c>
      <c r="B157" t="s">
        <v>446</v>
      </c>
      <c r="C157" t="s">
        <v>447</v>
      </c>
      <c r="D157" t="s">
        <v>141</v>
      </c>
      <c r="E157" t="s">
        <v>46</v>
      </c>
      <c r="F157" t="s">
        <v>47</v>
      </c>
      <c r="G157">
        <v>41</v>
      </c>
      <c r="H157">
        <v>52.65</v>
      </c>
      <c r="I157">
        <v>2158.65</v>
      </c>
      <c r="J157">
        <v>110.1</v>
      </c>
      <c r="K157">
        <v>736.55</v>
      </c>
      <c r="L157" t="s">
        <v>33</v>
      </c>
      <c r="M157" t="s">
        <v>41</v>
      </c>
      <c r="N157" t="s">
        <v>142</v>
      </c>
      <c r="O157">
        <f>SUMIFS(I157:I656,F157:F656,Table8[[#This Row],[Category]],N157:N656,Table8[[#This Row],[Region_Code]])</f>
        <v>4708.3200000000006</v>
      </c>
      <c r="P157" s="13">
        <f>SUMIFS(K157:K656,F157:F656,Table8[[#This Row],[Category]],N157:N656,Table8[[#This Row],[Region_Code]])</f>
        <v>1467.1599999999999</v>
      </c>
      <c r="Q157">
        <f>AVERAGEIFS(I157:I656,F157:F656,Table8[[#This Row],[Category]],N157:N656,Table8[[#This Row],[Region_Code]])</f>
        <v>784.72000000000014</v>
      </c>
      <c r="R157">
        <f>AVERAGEIFS(K157:K656,F157:F656,Table8[[#This Row],[Category]],N157:N656,Table8[[#This Row],[Region_Code]])</f>
        <v>244.52666666666664</v>
      </c>
    </row>
    <row r="158" spans="1:18" x14ac:dyDescent="0.3">
      <c r="A158" t="s">
        <v>448</v>
      </c>
      <c r="B158" t="s">
        <v>449</v>
      </c>
      <c r="C158" t="s">
        <v>185</v>
      </c>
      <c r="D158" t="s">
        <v>127</v>
      </c>
      <c r="E158" t="s">
        <v>32</v>
      </c>
      <c r="F158" t="s">
        <v>23</v>
      </c>
      <c r="G158">
        <v>28</v>
      </c>
      <c r="H158">
        <v>22.66</v>
      </c>
      <c r="I158">
        <v>634.48</v>
      </c>
      <c r="J158">
        <v>15.55</v>
      </c>
      <c r="K158">
        <v>114.93</v>
      </c>
      <c r="L158" t="s">
        <v>48</v>
      </c>
      <c r="M158" t="s">
        <v>25</v>
      </c>
      <c r="N158" t="s">
        <v>76</v>
      </c>
      <c r="O158">
        <f>SUMIFS(I158:I657,F158:F657,Table8[[#This Row],[Category]],N158:N657,Table8[[#This Row],[Region_Code]])</f>
        <v>20588.249999999996</v>
      </c>
      <c r="P158" s="13">
        <f>SUMIFS(K158:K657,F158:F657,Table8[[#This Row],[Category]],N158:N657,Table8[[#This Row],[Region_Code]])</f>
        <v>5709.5299999999988</v>
      </c>
      <c r="Q158">
        <f>AVERAGEIFS(I158:I657,F158:F657,Table8[[#This Row],[Category]],N158:N657,Table8[[#This Row],[Region_Code]])</f>
        <v>823.52999999999986</v>
      </c>
      <c r="R158">
        <f>AVERAGEIFS(K158:K657,F158:F657,Table8[[#This Row],[Category]],N158:N657,Table8[[#This Row],[Region_Code]])</f>
        <v>228.38119999999995</v>
      </c>
    </row>
    <row r="159" spans="1:18" x14ac:dyDescent="0.3">
      <c r="A159" t="s">
        <v>450</v>
      </c>
      <c r="B159" t="s">
        <v>451</v>
      </c>
      <c r="C159" t="s">
        <v>428</v>
      </c>
      <c r="D159" t="s">
        <v>62</v>
      </c>
      <c r="E159" t="s">
        <v>81</v>
      </c>
      <c r="F159" t="s">
        <v>68</v>
      </c>
      <c r="G159">
        <v>48</v>
      </c>
      <c r="H159">
        <v>25.07</v>
      </c>
      <c r="I159">
        <v>1203.3599999999999</v>
      </c>
      <c r="J159">
        <v>29.93</v>
      </c>
      <c r="K159">
        <v>429.43</v>
      </c>
      <c r="L159" t="s">
        <v>33</v>
      </c>
      <c r="M159" t="s">
        <v>34</v>
      </c>
      <c r="N159" t="s">
        <v>98</v>
      </c>
      <c r="O159">
        <f>SUMIFS(I159:I658,F159:F658,Table8[[#This Row],[Category]],N159:N658,Table8[[#This Row],[Region_Code]])</f>
        <v>19836.84</v>
      </c>
      <c r="P159" s="13">
        <f>SUMIFS(K159:K658,F159:F658,Table8[[#This Row],[Category]],N159:N658,Table8[[#This Row],[Region_Code]])</f>
        <v>5961.4800000000014</v>
      </c>
      <c r="Q159">
        <f>AVERAGEIFS(I159:I658,F159:F658,Table8[[#This Row],[Category]],N159:N658,Table8[[#This Row],[Region_Code]])</f>
        <v>944.61142857142863</v>
      </c>
      <c r="R159">
        <f>AVERAGEIFS(K159:K658,F159:F658,Table8[[#This Row],[Category]],N159:N658,Table8[[#This Row],[Region_Code]])</f>
        <v>283.88000000000005</v>
      </c>
    </row>
    <row r="160" spans="1:18" x14ac:dyDescent="0.3">
      <c r="A160" t="s">
        <v>452</v>
      </c>
      <c r="B160" t="s">
        <v>240</v>
      </c>
      <c r="C160" t="s">
        <v>44</v>
      </c>
      <c r="D160" t="s">
        <v>45</v>
      </c>
      <c r="E160" t="s">
        <v>32</v>
      </c>
      <c r="F160" t="s">
        <v>23</v>
      </c>
      <c r="G160">
        <v>31</v>
      </c>
      <c r="H160">
        <v>30.53</v>
      </c>
      <c r="I160">
        <v>946.43</v>
      </c>
      <c r="J160">
        <v>72.150000000000006</v>
      </c>
      <c r="K160">
        <v>316.27999999999997</v>
      </c>
      <c r="L160" t="s">
        <v>48</v>
      </c>
      <c r="M160" t="s">
        <v>34</v>
      </c>
      <c r="N160" t="s">
        <v>49</v>
      </c>
      <c r="O160">
        <f>SUMIFS(I160:I659,F160:F659,Table8[[#This Row],[Category]],N160:N659,Table8[[#This Row],[Region_Code]])</f>
        <v>8480.99</v>
      </c>
      <c r="P160" s="13">
        <f>SUMIFS(K160:K659,F160:F659,Table8[[#This Row],[Category]],N160:N659,Table8[[#This Row],[Region_Code]])</f>
        <v>2878.44</v>
      </c>
      <c r="Q160">
        <f>AVERAGEIFS(I160:I659,F160:F659,Table8[[#This Row],[Category]],N160:N659,Table8[[#This Row],[Region_Code]])</f>
        <v>1696.1979999999999</v>
      </c>
      <c r="R160">
        <f>AVERAGEIFS(K160:K659,F160:F659,Table8[[#This Row],[Category]],N160:N659,Table8[[#This Row],[Region_Code]])</f>
        <v>575.68799999999999</v>
      </c>
    </row>
    <row r="161" spans="1:18" x14ac:dyDescent="0.3">
      <c r="A161" t="s">
        <v>453</v>
      </c>
      <c r="B161" t="s">
        <v>454</v>
      </c>
      <c r="C161" t="s">
        <v>455</v>
      </c>
      <c r="D161" t="s">
        <v>141</v>
      </c>
      <c r="E161" t="s">
        <v>67</v>
      </c>
      <c r="F161" t="s">
        <v>68</v>
      </c>
      <c r="G161">
        <v>33</v>
      </c>
      <c r="H161">
        <v>31</v>
      </c>
      <c r="I161">
        <v>1023</v>
      </c>
      <c r="J161">
        <v>63.94</v>
      </c>
      <c r="K161">
        <v>216.56</v>
      </c>
      <c r="L161" t="s">
        <v>33</v>
      </c>
      <c r="M161" t="s">
        <v>25</v>
      </c>
      <c r="N161" t="s">
        <v>142</v>
      </c>
      <c r="O161">
        <f>SUMIFS(I161:I660,F161:F660,Table8[[#This Row],[Category]],N161:N660,Table8[[#This Row],[Region_Code]])</f>
        <v>6354.18</v>
      </c>
      <c r="P161" s="13">
        <f>SUMIFS(K161:K660,F161:F660,Table8[[#This Row],[Category]],N161:N660,Table8[[#This Row],[Region_Code]])</f>
        <v>1890.6200000000001</v>
      </c>
      <c r="Q161">
        <f>AVERAGEIFS(I161:I660,F161:F660,Table8[[#This Row],[Category]],N161:N660,Table8[[#This Row],[Region_Code]])</f>
        <v>907.74</v>
      </c>
      <c r="R161">
        <f>AVERAGEIFS(K161:K660,F161:F660,Table8[[#This Row],[Category]],N161:N660,Table8[[#This Row],[Region_Code]])</f>
        <v>270.08857142857147</v>
      </c>
    </row>
    <row r="162" spans="1:18" x14ac:dyDescent="0.3">
      <c r="A162" t="s">
        <v>456</v>
      </c>
      <c r="B162" t="s">
        <v>457</v>
      </c>
      <c r="C162" t="s">
        <v>191</v>
      </c>
      <c r="D162" t="s">
        <v>31</v>
      </c>
      <c r="E162" t="s">
        <v>81</v>
      </c>
      <c r="F162" t="s">
        <v>68</v>
      </c>
      <c r="G162">
        <v>32</v>
      </c>
      <c r="H162">
        <v>20.86</v>
      </c>
      <c r="I162">
        <v>667.52</v>
      </c>
      <c r="J162">
        <v>21.62</v>
      </c>
      <c r="K162">
        <v>149.9</v>
      </c>
      <c r="L162" t="s">
        <v>48</v>
      </c>
      <c r="M162" t="s">
        <v>41</v>
      </c>
      <c r="N162" t="s">
        <v>35</v>
      </c>
      <c r="O162">
        <f>SUMIFS(I162:I661,F162:F661,Table8[[#This Row],[Category]],N162:N661,Table8[[#This Row],[Region_Code]])</f>
        <v>22283.279999999999</v>
      </c>
      <c r="P162" s="13">
        <f>SUMIFS(K162:K661,F162:F661,Table8[[#This Row],[Category]],N162:N661,Table8[[#This Row],[Region_Code]])</f>
        <v>6194.119999999999</v>
      </c>
      <c r="Q162">
        <f>AVERAGEIFS(I162:I661,F162:F661,Table8[[#This Row],[Category]],N162:N661,Table8[[#This Row],[Region_Code]])</f>
        <v>891.33119999999997</v>
      </c>
      <c r="R162">
        <f>AVERAGEIFS(K162:K661,F162:F661,Table8[[#This Row],[Category]],N162:N661,Table8[[#This Row],[Region_Code]])</f>
        <v>247.76479999999995</v>
      </c>
    </row>
    <row r="163" spans="1:18" x14ac:dyDescent="0.3">
      <c r="A163" t="s">
        <v>458</v>
      </c>
      <c r="B163" t="s">
        <v>330</v>
      </c>
      <c r="C163" t="s">
        <v>222</v>
      </c>
      <c r="D163" t="s">
        <v>241</v>
      </c>
      <c r="E163" t="s">
        <v>63</v>
      </c>
      <c r="F163" t="s">
        <v>47</v>
      </c>
      <c r="G163">
        <v>18</v>
      </c>
      <c r="H163">
        <v>24.61</v>
      </c>
      <c r="I163">
        <v>442.98</v>
      </c>
      <c r="J163">
        <v>26.99</v>
      </c>
      <c r="K163">
        <v>55.99</v>
      </c>
      <c r="L163" t="s">
        <v>48</v>
      </c>
      <c r="M163" t="s">
        <v>25</v>
      </c>
      <c r="N163" t="s">
        <v>35</v>
      </c>
      <c r="O163">
        <f>SUMIFS(I163:I662,F163:F662,Table8[[#This Row],[Category]],N163:N662,Table8[[#This Row],[Region_Code]])</f>
        <v>22046.18</v>
      </c>
      <c r="P163" s="13">
        <f>SUMIFS(K163:K662,F163:F662,Table8[[#This Row],[Category]],N163:N662,Table8[[#This Row],[Region_Code]])</f>
        <v>6741.7300000000005</v>
      </c>
      <c r="Q163">
        <f>AVERAGEIFS(I163:I662,F163:F662,Table8[[#This Row],[Category]],N163:N662,Table8[[#This Row],[Region_Code]])</f>
        <v>711.16709677419351</v>
      </c>
      <c r="R163">
        <f>AVERAGEIFS(K163:K662,F163:F662,Table8[[#This Row],[Category]],N163:N662,Table8[[#This Row],[Region_Code]])</f>
        <v>217.4751612903226</v>
      </c>
    </row>
    <row r="164" spans="1:18" x14ac:dyDescent="0.3">
      <c r="A164" t="s">
        <v>459</v>
      </c>
      <c r="B164" t="s">
        <v>460</v>
      </c>
      <c r="C164" t="s">
        <v>154</v>
      </c>
      <c r="D164" t="s">
        <v>116</v>
      </c>
      <c r="E164" t="s">
        <v>56</v>
      </c>
      <c r="F164" t="s">
        <v>57</v>
      </c>
      <c r="G164">
        <v>18</v>
      </c>
      <c r="H164">
        <v>64.83</v>
      </c>
      <c r="I164">
        <v>1166.94</v>
      </c>
      <c r="J164">
        <v>34.28</v>
      </c>
      <c r="K164">
        <v>412.66</v>
      </c>
      <c r="L164" t="s">
        <v>48</v>
      </c>
      <c r="M164" t="s">
        <v>25</v>
      </c>
      <c r="N164" t="s">
        <v>76</v>
      </c>
      <c r="O164">
        <f>SUMIFS(I164:I663,F164:F663,Table8[[#This Row],[Category]],N164:N663,Table8[[#This Row],[Region_Code]])</f>
        <v>18622.400000000001</v>
      </c>
      <c r="P164" s="13">
        <f>SUMIFS(K164:K663,F164:F663,Table8[[#This Row],[Category]],N164:N663,Table8[[#This Row],[Region_Code]])</f>
        <v>5141.71</v>
      </c>
      <c r="Q164">
        <f>AVERAGEIFS(I164:I663,F164:F663,Table8[[#This Row],[Category]],N164:N663,Table8[[#This Row],[Region_Code]])</f>
        <v>1241.4933333333333</v>
      </c>
      <c r="R164">
        <f>AVERAGEIFS(K164:K663,F164:F663,Table8[[#This Row],[Category]],N164:N663,Table8[[#This Row],[Region_Code]])</f>
        <v>342.78066666666666</v>
      </c>
    </row>
    <row r="165" spans="1:18" x14ac:dyDescent="0.3">
      <c r="A165" t="s">
        <v>461</v>
      </c>
      <c r="B165" t="s">
        <v>133</v>
      </c>
      <c r="C165" t="s">
        <v>462</v>
      </c>
      <c r="D165" t="s">
        <v>62</v>
      </c>
      <c r="E165" t="s">
        <v>63</v>
      </c>
      <c r="F165" t="s">
        <v>47</v>
      </c>
      <c r="G165">
        <v>49</v>
      </c>
      <c r="H165">
        <v>29.52</v>
      </c>
      <c r="I165">
        <v>1446.48</v>
      </c>
      <c r="J165">
        <v>104.7</v>
      </c>
      <c r="K165">
        <v>361.78</v>
      </c>
      <c r="L165" t="s">
        <v>48</v>
      </c>
      <c r="M165" t="s">
        <v>41</v>
      </c>
      <c r="N165" t="s">
        <v>98</v>
      </c>
      <c r="O165">
        <f>SUMIFS(I165:I664,F165:F664,Table8[[#This Row],[Category]],N165:N664,Table8[[#This Row],[Region_Code]])</f>
        <v>17493.240000000002</v>
      </c>
      <c r="P165" s="13">
        <f>SUMIFS(K165:K664,F165:F664,Table8[[#This Row],[Category]],N165:N664,Table8[[#This Row],[Region_Code]])</f>
        <v>4346.5099999999993</v>
      </c>
      <c r="Q165">
        <f>AVERAGEIFS(I165:I664,F165:F664,Table8[[#This Row],[Category]],N165:N664,Table8[[#This Row],[Region_Code]])</f>
        <v>833.01142857142861</v>
      </c>
      <c r="R165">
        <f>AVERAGEIFS(K165:K664,F165:F664,Table8[[#This Row],[Category]],N165:N664,Table8[[#This Row],[Region_Code]])</f>
        <v>206.97666666666663</v>
      </c>
    </row>
    <row r="166" spans="1:18" x14ac:dyDescent="0.3">
      <c r="A166" t="s">
        <v>463</v>
      </c>
      <c r="B166" t="s">
        <v>464</v>
      </c>
      <c r="C166" t="s">
        <v>465</v>
      </c>
      <c r="D166" t="s">
        <v>141</v>
      </c>
      <c r="E166" t="s">
        <v>63</v>
      </c>
      <c r="F166" t="s">
        <v>47</v>
      </c>
      <c r="G166">
        <v>10</v>
      </c>
      <c r="H166">
        <v>26.73</v>
      </c>
      <c r="I166">
        <v>267.3</v>
      </c>
      <c r="J166">
        <v>10.210000000000001</v>
      </c>
      <c r="K166">
        <v>57.09</v>
      </c>
      <c r="L166" t="s">
        <v>48</v>
      </c>
      <c r="M166" t="s">
        <v>41</v>
      </c>
      <c r="N166" t="s">
        <v>142</v>
      </c>
      <c r="O166">
        <f>SUMIFS(I166:I665,F166:F665,Table8[[#This Row],[Category]],N166:N665,Table8[[#This Row],[Region_Code]])</f>
        <v>2549.67</v>
      </c>
      <c r="P166" s="13">
        <f>SUMIFS(K166:K665,F166:F665,Table8[[#This Row],[Category]],N166:N665,Table8[[#This Row],[Region_Code]])</f>
        <v>730.61</v>
      </c>
      <c r="Q166">
        <f>AVERAGEIFS(I166:I665,F166:F665,Table8[[#This Row],[Category]],N166:N665,Table8[[#This Row],[Region_Code]])</f>
        <v>509.93400000000003</v>
      </c>
      <c r="R166">
        <f>AVERAGEIFS(K166:K665,F166:F665,Table8[[#This Row],[Category]],N166:N665,Table8[[#This Row],[Region_Code]])</f>
        <v>146.12200000000001</v>
      </c>
    </row>
    <row r="167" spans="1:18" x14ac:dyDescent="0.3">
      <c r="A167" t="s">
        <v>466</v>
      </c>
      <c r="B167" t="s">
        <v>467</v>
      </c>
      <c r="C167" t="s">
        <v>85</v>
      </c>
      <c r="D167" t="s">
        <v>31</v>
      </c>
      <c r="E167" t="s">
        <v>46</v>
      </c>
      <c r="F167" t="s">
        <v>47</v>
      </c>
      <c r="G167">
        <v>10</v>
      </c>
      <c r="H167">
        <v>54.45</v>
      </c>
      <c r="I167">
        <v>544.5</v>
      </c>
      <c r="J167">
        <v>16.59</v>
      </c>
      <c r="K167">
        <v>207.91</v>
      </c>
      <c r="L167" t="s">
        <v>24</v>
      </c>
      <c r="M167" t="s">
        <v>25</v>
      </c>
      <c r="N167" t="s">
        <v>35</v>
      </c>
      <c r="O167">
        <f>SUMIFS(I167:I666,F167:F666,Table8[[#This Row],[Category]],N167:N666,Table8[[#This Row],[Region_Code]])</f>
        <v>21603.200000000004</v>
      </c>
      <c r="P167" s="13">
        <f>SUMIFS(K167:K666,F167:F666,Table8[[#This Row],[Category]],N167:N666,Table8[[#This Row],[Region_Code]])</f>
        <v>6685.7400000000007</v>
      </c>
      <c r="Q167">
        <f>AVERAGEIFS(I167:I666,F167:F666,Table8[[#This Row],[Category]],N167:N666,Table8[[#This Row],[Region_Code]])</f>
        <v>720.1066666666668</v>
      </c>
      <c r="R167">
        <f>AVERAGEIFS(K167:K666,F167:F666,Table8[[#This Row],[Category]],N167:N666,Table8[[#This Row],[Region_Code]])</f>
        <v>222.85800000000003</v>
      </c>
    </row>
    <row r="168" spans="1:18" x14ac:dyDescent="0.3">
      <c r="A168" t="s">
        <v>468</v>
      </c>
      <c r="B168" t="s">
        <v>469</v>
      </c>
      <c r="C168" t="s">
        <v>85</v>
      </c>
      <c r="D168" t="s">
        <v>70</v>
      </c>
      <c r="E168" t="s">
        <v>32</v>
      </c>
      <c r="F168" t="s">
        <v>23</v>
      </c>
      <c r="G168">
        <v>46</v>
      </c>
      <c r="H168">
        <v>30.06</v>
      </c>
      <c r="I168">
        <v>1382.76</v>
      </c>
      <c r="J168">
        <v>77.17</v>
      </c>
      <c r="K168">
        <v>477.59</v>
      </c>
      <c r="L168" t="s">
        <v>33</v>
      </c>
      <c r="M168" t="s">
        <v>34</v>
      </c>
      <c r="N168" t="s">
        <v>76</v>
      </c>
      <c r="O168">
        <f>SUMIFS(I168:I667,F168:F667,Table8[[#This Row],[Category]],N168:N667,Table8[[#This Row],[Region_Code]])</f>
        <v>19953.769999999997</v>
      </c>
      <c r="P168" s="13">
        <f>SUMIFS(K168:K667,F168:F667,Table8[[#This Row],[Category]],N168:N667,Table8[[#This Row],[Region_Code]])</f>
        <v>5594.5999999999985</v>
      </c>
      <c r="Q168">
        <f>AVERAGEIFS(I168:I667,F168:F667,Table8[[#This Row],[Category]],N168:N667,Table8[[#This Row],[Region_Code]])</f>
        <v>831.40708333333316</v>
      </c>
      <c r="R168">
        <f>AVERAGEIFS(K168:K667,F168:F667,Table8[[#This Row],[Category]],N168:N667,Table8[[#This Row],[Region_Code]])</f>
        <v>233.10833333333326</v>
      </c>
    </row>
    <row r="169" spans="1:18" x14ac:dyDescent="0.3">
      <c r="A169" t="s">
        <v>470</v>
      </c>
      <c r="B169" t="s">
        <v>118</v>
      </c>
      <c r="C169" t="s">
        <v>471</v>
      </c>
      <c r="D169" t="s">
        <v>62</v>
      </c>
      <c r="E169" t="s">
        <v>81</v>
      </c>
      <c r="F169" t="s">
        <v>68</v>
      </c>
      <c r="G169">
        <v>25</v>
      </c>
      <c r="H169">
        <v>21.52</v>
      </c>
      <c r="I169">
        <v>538</v>
      </c>
      <c r="J169">
        <v>26.73</v>
      </c>
      <c r="K169">
        <v>123.77</v>
      </c>
      <c r="L169" t="s">
        <v>33</v>
      </c>
      <c r="M169" t="s">
        <v>25</v>
      </c>
      <c r="N169" t="s">
        <v>98</v>
      </c>
      <c r="O169">
        <f>SUMIFS(I169:I668,F169:F668,Table8[[#This Row],[Category]],N169:N668,Table8[[#This Row],[Region_Code]])</f>
        <v>18633.480000000003</v>
      </c>
      <c r="P169" s="13">
        <f>SUMIFS(K169:K668,F169:F668,Table8[[#This Row],[Category]],N169:N668,Table8[[#This Row],[Region_Code]])</f>
        <v>5532.0500000000011</v>
      </c>
      <c r="Q169">
        <f>AVERAGEIFS(I169:I668,F169:F668,Table8[[#This Row],[Category]],N169:N668,Table8[[#This Row],[Region_Code]])</f>
        <v>931.67400000000021</v>
      </c>
      <c r="R169">
        <f>AVERAGEIFS(K169:K668,F169:F668,Table8[[#This Row],[Category]],N169:N668,Table8[[#This Row],[Region_Code]])</f>
        <v>276.60250000000008</v>
      </c>
    </row>
    <row r="170" spans="1:18" x14ac:dyDescent="0.3">
      <c r="A170" t="s">
        <v>472</v>
      </c>
      <c r="B170" t="s">
        <v>473</v>
      </c>
      <c r="C170" t="s">
        <v>334</v>
      </c>
      <c r="D170" t="s">
        <v>70</v>
      </c>
      <c r="E170" t="s">
        <v>32</v>
      </c>
      <c r="F170" t="s">
        <v>23</v>
      </c>
      <c r="G170">
        <v>5</v>
      </c>
      <c r="H170">
        <v>26.25</v>
      </c>
      <c r="I170">
        <v>131.25</v>
      </c>
      <c r="J170">
        <v>3.35</v>
      </c>
      <c r="K170">
        <v>37.9</v>
      </c>
      <c r="L170" t="s">
        <v>33</v>
      </c>
      <c r="M170" t="s">
        <v>34</v>
      </c>
      <c r="N170" t="s">
        <v>76</v>
      </c>
      <c r="O170">
        <f>SUMIFS(I170:I669,F170:F669,Table8[[#This Row],[Category]],N170:N669,Table8[[#This Row],[Region_Code]])</f>
        <v>18571.009999999998</v>
      </c>
      <c r="P170" s="13">
        <f>SUMIFS(K170:K669,F170:F669,Table8[[#This Row],[Category]],N170:N669,Table8[[#This Row],[Region_Code]])</f>
        <v>5117.01</v>
      </c>
      <c r="Q170">
        <f>AVERAGEIFS(I170:I669,F170:F669,Table8[[#This Row],[Category]],N170:N669,Table8[[#This Row],[Region_Code]])</f>
        <v>807.43521739130426</v>
      </c>
      <c r="R170">
        <f>AVERAGEIFS(K170:K669,F170:F669,Table8[[#This Row],[Category]],N170:N669,Table8[[#This Row],[Region_Code]])</f>
        <v>222.47869565217391</v>
      </c>
    </row>
    <row r="171" spans="1:18" x14ac:dyDescent="0.3">
      <c r="A171" t="s">
        <v>474</v>
      </c>
      <c r="B171" t="s">
        <v>281</v>
      </c>
      <c r="C171" t="s">
        <v>475</v>
      </c>
      <c r="D171" t="s">
        <v>31</v>
      </c>
      <c r="E171" t="s">
        <v>74</v>
      </c>
      <c r="F171" t="s">
        <v>75</v>
      </c>
      <c r="G171">
        <v>10</v>
      </c>
      <c r="H171">
        <v>31.48</v>
      </c>
      <c r="I171">
        <v>314.8</v>
      </c>
      <c r="J171">
        <v>10.23</v>
      </c>
      <c r="K171">
        <v>54.57</v>
      </c>
      <c r="L171" t="s">
        <v>48</v>
      </c>
      <c r="M171" t="s">
        <v>41</v>
      </c>
      <c r="N171" t="s">
        <v>35</v>
      </c>
      <c r="O171">
        <f>SUMIFS(I171:I670,F171:F670,Table8[[#This Row],[Category]],N171:N670,Table8[[#This Row],[Region_Code]])</f>
        <v>7977.52</v>
      </c>
      <c r="P171" s="13">
        <f>SUMIFS(K171:K670,F171:F670,Table8[[#This Row],[Category]],N171:N670,Table8[[#This Row],[Region_Code]])</f>
        <v>2160.7600000000002</v>
      </c>
      <c r="Q171">
        <f>AVERAGEIFS(I171:I670,F171:F670,Table8[[#This Row],[Category]],N171:N670,Table8[[#This Row],[Region_Code]])</f>
        <v>886.39111111111117</v>
      </c>
      <c r="R171">
        <f>AVERAGEIFS(K171:K670,F171:F670,Table8[[#This Row],[Category]],N171:N670,Table8[[#This Row],[Region_Code]])</f>
        <v>240.08444444444447</v>
      </c>
    </row>
    <row r="172" spans="1:18" x14ac:dyDescent="0.3">
      <c r="A172" t="s">
        <v>476</v>
      </c>
      <c r="B172" t="s">
        <v>477</v>
      </c>
      <c r="C172" t="s">
        <v>177</v>
      </c>
      <c r="D172" t="s">
        <v>45</v>
      </c>
      <c r="E172" t="s">
        <v>63</v>
      </c>
      <c r="F172" t="s">
        <v>47</v>
      </c>
      <c r="G172">
        <v>21</v>
      </c>
      <c r="H172">
        <v>30.91</v>
      </c>
      <c r="I172">
        <v>649.11</v>
      </c>
      <c r="J172">
        <v>38.42</v>
      </c>
      <c r="K172">
        <v>190.69</v>
      </c>
      <c r="L172" t="s">
        <v>33</v>
      </c>
      <c r="M172" t="s">
        <v>41</v>
      </c>
      <c r="N172" t="s">
        <v>49</v>
      </c>
      <c r="O172">
        <f>SUMIFS(I172:I671,F172:F671,Table8[[#This Row],[Category]],N172:N671,Table8[[#This Row],[Region_Code]])</f>
        <v>12783.79</v>
      </c>
      <c r="P172" s="13">
        <f>SUMIFS(K172:K671,F172:F671,Table8[[#This Row],[Category]],N172:N671,Table8[[#This Row],[Region_Code]])</f>
        <v>3741.2599999999998</v>
      </c>
      <c r="Q172">
        <f>AVERAGEIFS(I172:I671,F172:F671,Table8[[#This Row],[Category]],N172:N671,Table8[[#This Row],[Region_Code]])</f>
        <v>913.12785714285724</v>
      </c>
      <c r="R172">
        <f>AVERAGEIFS(K172:K671,F172:F671,Table8[[#This Row],[Category]],N172:N671,Table8[[#This Row],[Region_Code]])</f>
        <v>267.23285714285714</v>
      </c>
    </row>
    <row r="173" spans="1:18" x14ac:dyDescent="0.3">
      <c r="A173" t="s">
        <v>478</v>
      </c>
      <c r="B173" t="s">
        <v>479</v>
      </c>
      <c r="C173" t="s">
        <v>480</v>
      </c>
      <c r="D173" t="s">
        <v>116</v>
      </c>
      <c r="E173" t="s">
        <v>86</v>
      </c>
      <c r="F173" t="s">
        <v>47</v>
      </c>
      <c r="G173">
        <v>29</v>
      </c>
      <c r="H173">
        <v>18.47</v>
      </c>
      <c r="I173">
        <v>535.63</v>
      </c>
      <c r="J173">
        <v>13.21</v>
      </c>
      <c r="K173">
        <v>152.66999999999999</v>
      </c>
      <c r="L173" t="s">
        <v>24</v>
      </c>
      <c r="M173" t="s">
        <v>25</v>
      </c>
      <c r="N173" t="s">
        <v>76</v>
      </c>
      <c r="O173">
        <f>SUMIFS(I173:I672,F173:F672,Table8[[#This Row],[Category]],N173:N672,Table8[[#This Row],[Region_Code]])</f>
        <v>19950.71</v>
      </c>
      <c r="P173" s="13">
        <f>SUMIFS(K173:K672,F173:F672,Table8[[#This Row],[Category]],N173:N672,Table8[[#This Row],[Region_Code]])</f>
        <v>5866.4400000000014</v>
      </c>
      <c r="Q173">
        <f>AVERAGEIFS(I173:I672,F173:F672,Table8[[#This Row],[Category]],N173:N672,Table8[[#This Row],[Region_Code]])</f>
        <v>712.52535714285716</v>
      </c>
      <c r="R173">
        <f>AVERAGEIFS(K173:K672,F173:F672,Table8[[#This Row],[Category]],N173:N672,Table8[[#This Row],[Region_Code]])</f>
        <v>209.51571428571432</v>
      </c>
    </row>
    <row r="174" spans="1:18" x14ac:dyDescent="0.3">
      <c r="A174" t="s">
        <v>481</v>
      </c>
      <c r="B174" t="s">
        <v>482</v>
      </c>
      <c r="C174" t="s">
        <v>185</v>
      </c>
      <c r="D174" t="s">
        <v>62</v>
      </c>
      <c r="E174" t="s">
        <v>22</v>
      </c>
      <c r="F174" t="s">
        <v>23</v>
      </c>
      <c r="G174">
        <v>36</v>
      </c>
      <c r="H174">
        <v>44.79</v>
      </c>
      <c r="I174">
        <v>1612.44</v>
      </c>
      <c r="J174">
        <v>68.599999999999994</v>
      </c>
      <c r="K174">
        <v>283.83999999999997</v>
      </c>
      <c r="L174" t="s">
        <v>48</v>
      </c>
      <c r="M174" t="s">
        <v>34</v>
      </c>
      <c r="N174" t="s">
        <v>98</v>
      </c>
      <c r="O174">
        <f>SUMIFS(I174:I673,F174:F673,Table8[[#This Row],[Category]],N174:N673,Table8[[#This Row],[Region_Code]])</f>
        <v>18163.650000000001</v>
      </c>
      <c r="P174" s="13">
        <f>SUMIFS(K174:K673,F174:F673,Table8[[#This Row],[Category]],N174:N673,Table8[[#This Row],[Region_Code]])</f>
        <v>4861.6799999999994</v>
      </c>
      <c r="Q174">
        <f>AVERAGEIFS(I174:I673,F174:F673,Table8[[#This Row],[Category]],N174:N673,Table8[[#This Row],[Region_Code]])</f>
        <v>1297.4035714285715</v>
      </c>
      <c r="R174">
        <f>AVERAGEIFS(K174:K673,F174:F673,Table8[[#This Row],[Category]],N174:N673,Table8[[#This Row],[Region_Code]])</f>
        <v>347.26285714285711</v>
      </c>
    </row>
    <row r="175" spans="1:18" x14ac:dyDescent="0.3">
      <c r="A175" t="s">
        <v>483</v>
      </c>
      <c r="B175" t="s">
        <v>484</v>
      </c>
      <c r="C175" t="s">
        <v>485</v>
      </c>
      <c r="D175" t="s">
        <v>45</v>
      </c>
      <c r="E175" t="s">
        <v>81</v>
      </c>
      <c r="F175" t="s">
        <v>68</v>
      </c>
      <c r="G175">
        <v>3</v>
      </c>
      <c r="H175">
        <v>18.86</v>
      </c>
      <c r="I175">
        <v>56.58</v>
      </c>
      <c r="J175">
        <v>2.61</v>
      </c>
      <c r="K175">
        <v>7.47</v>
      </c>
      <c r="L175" t="s">
        <v>33</v>
      </c>
      <c r="M175" t="s">
        <v>41</v>
      </c>
      <c r="N175" t="s">
        <v>49</v>
      </c>
      <c r="O175">
        <f>SUMIFS(I175:I674,F175:F674,Table8[[#This Row],[Category]],N175:N674,Table8[[#This Row],[Region_Code]])</f>
        <v>1613.92</v>
      </c>
      <c r="P175" s="13">
        <f>SUMIFS(K175:K674,F175:F674,Table8[[#This Row],[Category]],N175:N674,Table8[[#This Row],[Region_Code]])</f>
        <v>272.44</v>
      </c>
      <c r="Q175">
        <f>AVERAGEIFS(I175:I674,F175:F674,Table8[[#This Row],[Category]],N175:N674,Table8[[#This Row],[Region_Code]])</f>
        <v>537.97333333333336</v>
      </c>
      <c r="R175">
        <f>AVERAGEIFS(K175:K674,F175:F674,Table8[[#This Row],[Category]],N175:N674,Table8[[#This Row],[Region_Code]])</f>
        <v>90.813333333333333</v>
      </c>
    </row>
    <row r="176" spans="1:18" x14ac:dyDescent="0.3">
      <c r="A176" t="s">
        <v>486</v>
      </c>
      <c r="B176" t="s">
        <v>311</v>
      </c>
      <c r="C176" t="s">
        <v>66</v>
      </c>
      <c r="D176" t="s">
        <v>51</v>
      </c>
      <c r="E176" t="s">
        <v>137</v>
      </c>
      <c r="F176" t="s">
        <v>68</v>
      </c>
      <c r="G176">
        <v>10</v>
      </c>
      <c r="H176">
        <v>45.86</v>
      </c>
      <c r="I176">
        <v>458.6</v>
      </c>
      <c r="J176">
        <v>14.4</v>
      </c>
      <c r="K176">
        <v>164.2</v>
      </c>
      <c r="L176" t="s">
        <v>48</v>
      </c>
      <c r="M176" t="s">
        <v>25</v>
      </c>
      <c r="N176" t="s">
        <v>76</v>
      </c>
      <c r="O176">
        <f>SUMIFS(I176:I675,F176:F675,Table8[[#This Row],[Category]],N176:N675,Table8[[#This Row],[Region_Code]])</f>
        <v>36760.73000000001</v>
      </c>
      <c r="P176" s="13">
        <f>SUMIFS(K176:K675,F176:F675,Table8[[#This Row],[Category]],N176:N675,Table8[[#This Row],[Region_Code]])</f>
        <v>9928.56</v>
      </c>
      <c r="Q176">
        <f>AVERAGEIFS(I176:I675,F176:F675,Table8[[#This Row],[Category]],N176:N675,Table8[[#This Row],[Region_Code]])</f>
        <v>896.60317073170756</v>
      </c>
      <c r="R176">
        <f>AVERAGEIFS(K176:K675,F176:F675,Table8[[#This Row],[Category]],N176:N675,Table8[[#This Row],[Region_Code]])</f>
        <v>242.16</v>
      </c>
    </row>
    <row r="177" spans="1:18" x14ac:dyDescent="0.3">
      <c r="A177" t="s">
        <v>487</v>
      </c>
      <c r="B177" t="s">
        <v>488</v>
      </c>
      <c r="C177" t="s">
        <v>485</v>
      </c>
      <c r="D177" t="s">
        <v>37</v>
      </c>
      <c r="E177" t="s">
        <v>32</v>
      </c>
      <c r="F177" t="s">
        <v>23</v>
      </c>
      <c r="G177">
        <v>1</v>
      </c>
      <c r="H177">
        <v>24.64</v>
      </c>
      <c r="I177">
        <v>24.64</v>
      </c>
      <c r="J177">
        <v>0.65</v>
      </c>
      <c r="K177">
        <v>5.99</v>
      </c>
      <c r="L177" t="s">
        <v>48</v>
      </c>
      <c r="M177" t="s">
        <v>34</v>
      </c>
      <c r="N177" t="s">
        <v>35</v>
      </c>
      <c r="O177">
        <f>SUMIFS(I177:I676,F177:F676,Table8[[#This Row],[Category]],N177:N676,Table8[[#This Row],[Region_Code]])</f>
        <v>21705.869999999995</v>
      </c>
      <c r="P177" s="13">
        <f>SUMIFS(K177:K676,F177:F676,Table8[[#This Row],[Category]],N177:N676,Table8[[#This Row],[Region_Code]])</f>
        <v>5670.76</v>
      </c>
      <c r="Q177">
        <f>AVERAGEIFS(I177:I676,F177:F676,Table8[[#This Row],[Category]],N177:N676,Table8[[#This Row],[Region_Code]])</f>
        <v>1085.2934999999998</v>
      </c>
      <c r="R177">
        <f>AVERAGEIFS(K177:K676,F177:F676,Table8[[#This Row],[Category]],N177:N676,Table8[[#This Row],[Region_Code]])</f>
        <v>283.53800000000001</v>
      </c>
    </row>
    <row r="178" spans="1:18" x14ac:dyDescent="0.3">
      <c r="A178" t="s">
        <v>489</v>
      </c>
      <c r="B178" t="s">
        <v>347</v>
      </c>
      <c r="C178" t="s">
        <v>246</v>
      </c>
      <c r="D178" t="s">
        <v>37</v>
      </c>
      <c r="E178" t="s">
        <v>81</v>
      </c>
      <c r="F178" t="s">
        <v>68</v>
      </c>
      <c r="G178">
        <v>49</v>
      </c>
      <c r="H178">
        <v>22.8</v>
      </c>
      <c r="I178">
        <v>1117.2</v>
      </c>
      <c r="J178">
        <v>51.06</v>
      </c>
      <c r="K178">
        <v>306.64</v>
      </c>
      <c r="L178" t="s">
        <v>24</v>
      </c>
      <c r="M178" t="s">
        <v>34</v>
      </c>
      <c r="N178" t="s">
        <v>35</v>
      </c>
      <c r="O178">
        <f>SUMIFS(I178:I677,F178:F677,Table8[[#This Row],[Category]],N178:N677,Table8[[#This Row],[Region_Code]])</f>
        <v>21615.759999999998</v>
      </c>
      <c r="P178" s="13">
        <f>SUMIFS(K178:K677,F178:F677,Table8[[#This Row],[Category]],N178:N677,Table8[[#This Row],[Region_Code]])</f>
        <v>6044.2199999999984</v>
      </c>
      <c r="Q178">
        <f>AVERAGEIFS(I178:I677,F178:F677,Table8[[#This Row],[Category]],N178:N677,Table8[[#This Row],[Region_Code]])</f>
        <v>900.65666666666664</v>
      </c>
      <c r="R178">
        <f>AVERAGEIFS(K178:K677,F178:F677,Table8[[#This Row],[Category]],N178:N677,Table8[[#This Row],[Region_Code]])</f>
        <v>251.84249999999994</v>
      </c>
    </row>
    <row r="179" spans="1:18" x14ac:dyDescent="0.3">
      <c r="A179" t="s">
        <v>490</v>
      </c>
      <c r="B179" t="s">
        <v>491</v>
      </c>
      <c r="C179" t="s">
        <v>307</v>
      </c>
      <c r="D179" t="s">
        <v>62</v>
      </c>
      <c r="E179" t="s">
        <v>22</v>
      </c>
      <c r="F179" t="s">
        <v>23</v>
      </c>
      <c r="G179">
        <v>32</v>
      </c>
      <c r="H179">
        <v>44.5</v>
      </c>
      <c r="I179">
        <v>1424</v>
      </c>
      <c r="J179">
        <v>43.92</v>
      </c>
      <c r="K179">
        <v>260.08</v>
      </c>
      <c r="L179" t="s">
        <v>48</v>
      </c>
      <c r="M179" t="s">
        <v>34</v>
      </c>
      <c r="N179" t="s">
        <v>98</v>
      </c>
      <c r="O179">
        <f>SUMIFS(I179:I678,F179:F678,Table8[[#This Row],[Category]],N179:N678,Table8[[#This Row],[Region_Code]])</f>
        <v>16551.210000000003</v>
      </c>
      <c r="P179" s="13">
        <f>SUMIFS(K179:K678,F179:F678,Table8[[#This Row],[Category]],N179:N678,Table8[[#This Row],[Region_Code]])</f>
        <v>4577.84</v>
      </c>
      <c r="Q179">
        <f>AVERAGEIFS(I179:I678,F179:F678,Table8[[#This Row],[Category]],N179:N678,Table8[[#This Row],[Region_Code]])</f>
        <v>1273.1700000000003</v>
      </c>
      <c r="R179">
        <f>AVERAGEIFS(K179:K678,F179:F678,Table8[[#This Row],[Category]],N179:N678,Table8[[#This Row],[Region_Code]])</f>
        <v>352.14153846153846</v>
      </c>
    </row>
    <row r="180" spans="1:18" x14ac:dyDescent="0.3">
      <c r="A180" t="s">
        <v>492</v>
      </c>
      <c r="B180" t="s">
        <v>493</v>
      </c>
      <c r="C180" t="s">
        <v>331</v>
      </c>
      <c r="D180" t="s">
        <v>45</v>
      </c>
      <c r="E180" t="s">
        <v>22</v>
      </c>
      <c r="F180" t="s">
        <v>23</v>
      </c>
      <c r="G180">
        <v>43</v>
      </c>
      <c r="H180">
        <v>55.74</v>
      </c>
      <c r="I180">
        <v>2396.8200000000002</v>
      </c>
      <c r="J180">
        <v>63.85</v>
      </c>
      <c r="K180">
        <v>827.97</v>
      </c>
      <c r="L180" t="s">
        <v>33</v>
      </c>
      <c r="M180" t="s">
        <v>41</v>
      </c>
      <c r="N180" t="s">
        <v>49</v>
      </c>
      <c r="O180">
        <f>SUMIFS(I180:I679,F180:F679,Table8[[#This Row],[Category]],N180:N679,Table8[[#This Row],[Region_Code]])</f>
        <v>7534.56</v>
      </c>
      <c r="P180" s="13">
        <f>SUMIFS(K180:K679,F180:F679,Table8[[#This Row],[Category]],N180:N679,Table8[[#This Row],[Region_Code]])</f>
        <v>2562.16</v>
      </c>
      <c r="Q180">
        <f>AVERAGEIFS(I180:I679,F180:F679,Table8[[#This Row],[Category]],N180:N679,Table8[[#This Row],[Region_Code]])</f>
        <v>1883.64</v>
      </c>
      <c r="R180">
        <f>AVERAGEIFS(K180:K679,F180:F679,Table8[[#This Row],[Category]],N180:N679,Table8[[#This Row],[Region_Code]])</f>
        <v>640.54</v>
      </c>
    </row>
    <row r="181" spans="1:18" x14ac:dyDescent="0.3">
      <c r="A181" t="s">
        <v>494</v>
      </c>
      <c r="B181" t="s">
        <v>495</v>
      </c>
      <c r="C181" t="s">
        <v>170</v>
      </c>
      <c r="D181" t="s">
        <v>116</v>
      </c>
      <c r="E181" t="s">
        <v>81</v>
      </c>
      <c r="F181" t="s">
        <v>68</v>
      </c>
      <c r="G181">
        <v>19</v>
      </c>
      <c r="H181">
        <v>25.78</v>
      </c>
      <c r="I181">
        <v>489.82</v>
      </c>
      <c r="J181">
        <v>28.4</v>
      </c>
      <c r="K181">
        <v>166.92</v>
      </c>
      <c r="L181" t="s">
        <v>48</v>
      </c>
      <c r="M181" t="s">
        <v>34</v>
      </c>
      <c r="N181" t="s">
        <v>76</v>
      </c>
      <c r="O181">
        <f>SUMIFS(I181:I680,F181:F680,Table8[[#This Row],[Category]],N181:N680,Table8[[#This Row],[Region_Code]])</f>
        <v>36302.130000000005</v>
      </c>
      <c r="P181" s="13">
        <f>SUMIFS(K181:K680,F181:F680,Table8[[#This Row],[Category]],N181:N680,Table8[[#This Row],[Region_Code]])</f>
        <v>9764.3599999999988</v>
      </c>
      <c r="Q181">
        <f>AVERAGEIFS(I181:I680,F181:F680,Table8[[#This Row],[Category]],N181:N680,Table8[[#This Row],[Region_Code]])</f>
        <v>907.55325000000016</v>
      </c>
      <c r="R181">
        <f>AVERAGEIFS(K181:K680,F181:F680,Table8[[#This Row],[Category]],N181:N680,Table8[[#This Row],[Region_Code]])</f>
        <v>244.10899999999998</v>
      </c>
    </row>
    <row r="182" spans="1:18" x14ac:dyDescent="0.3">
      <c r="A182" t="s">
        <v>496</v>
      </c>
      <c r="B182" t="s">
        <v>497</v>
      </c>
      <c r="C182" t="s">
        <v>391</v>
      </c>
      <c r="D182" t="s">
        <v>62</v>
      </c>
      <c r="E182" t="s">
        <v>32</v>
      </c>
      <c r="F182" t="s">
        <v>23</v>
      </c>
      <c r="G182">
        <v>43</v>
      </c>
      <c r="H182">
        <v>30.43</v>
      </c>
      <c r="I182">
        <v>1308.49</v>
      </c>
      <c r="J182">
        <v>35.340000000000003</v>
      </c>
      <c r="K182">
        <v>499.15</v>
      </c>
      <c r="L182" t="s">
        <v>33</v>
      </c>
      <c r="M182" t="s">
        <v>34</v>
      </c>
      <c r="N182" t="s">
        <v>98</v>
      </c>
      <c r="O182">
        <f>SUMIFS(I182:I681,F182:F681,Table8[[#This Row],[Category]],N182:N681,Table8[[#This Row],[Region_Code]])</f>
        <v>15127.210000000001</v>
      </c>
      <c r="P182" s="13">
        <f>SUMIFS(K182:K681,F182:F681,Table8[[#This Row],[Category]],N182:N681,Table8[[#This Row],[Region_Code]])</f>
        <v>4317.7599999999993</v>
      </c>
      <c r="Q182">
        <f>AVERAGEIFS(I182:I681,F182:F681,Table8[[#This Row],[Category]],N182:N681,Table8[[#This Row],[Region_Code]])</f>
        <v>1260.6008333333334</v>
      </c>
      <c r="R182">
        <f>AVERAGEIFS(K182:K681,F182:F681,Table8[[#This Row],[Category]],N182:N681,Table8[[#This Row],[Region_Code]])</f>
        <v>359.81333333333328</v>
      </c>
    </row>
    <row r="183" spans="1:18" x14ac:dyDescent="0.3">
      <c r="A183" t="s">
        <v>498</v>
      </c>
      <c r="B183" t="s">
        <v>454</v>
      </c>
      <c r="C183" t="s">
        <v>499</v>
      </c>
      <c r="D183" t="s">
        <v>171</v>
      </c>
      <c r="E183" t="s">
        <v>81</v>
      </c>
      <c r="F183" t="s">
        <v>68</v>
      </c>
      <c r="G183">
        <v>17</v>
      </c>
      <c r="H183">
        <v>18.71</v>
      </c>
      <c r="I183">
        <v>318.07</v>
      </c>
      <c r="J183">
        <v>22.03</v>
      </c>
      <c r="K183">
        <v>32.54</v>
      </c>
      <c r="L183" t="s">
        <v>48</v>
      </c>
      <c r="M183" t="s">
        <v>25</v>
      </c>
      <c r="N183" t="s">
        <v>35</v>
      </c>
      <c r="O183">
        <f>SUMIFS(I183:I682,F183:F682,Table8[[#This Row],[Category]],N183:N682,Table8[[#This Row],[Region_Code]])</f>
        <v>20498.559999999998</v>
      </c>
      <c r="P183" s="13">
        <f>SUMIFS(K183:K682,F183:F682,Table8[[#This Row],[Category]],N183:N682,Table8[[#This Row],[Region_Code]])</f>
        <v>5737.579999999999</v>
      </c>
      <c r="Q183">
        <f>AVERAGEIFS(I183:I682,F183:F682,Table8[[#This Row],[Category]],N183:N682,Table8[[#This Row],[Region_Code]])</f>
        <v>891.24173913043467</v>
      </c>
      <c r="R183">
        <f>AVERAGEIFS(K183:K682,F183:F682,Table8[[#This Row],[Category]],N183:N682,Table8[[#This Row],[Region_Code]])</f>
        <v>249.45999999999995</v>
      </c>
    </row>
    <row r="184" spans="1:18" x14ac:dyDescent="0.3">
      <c r="A184" t="s">
        <v>500</v>
      </c>
      <c r="B184" t="s">
        <v>268</v>
      </c>
      <c r="C184" t="s">
        <v>54</v>
      </c>
      <c r="D184" t="s">
        <v>51</v>
      </c>
      <c r="E184" t="s">
        <v>81</v>
      </c>
      <c r="F184" t="s">
        <v>68</v>
      </c>
      <c r="G184">
        <v>44</v>
      </c>
      <c r="H184">
        <v>23.87</v>
      </c>
      <c r="I184">
        <v>1050.28</v>
      </c>
      <c r="J184">
        <v>33.51</v>
      </c>
      <c r="K184">
        <v>334.77</v>
      </c>
      <c r="L184" t="s">
        <v>24</v>
      </c>
      <c r="M184" t="s">
        <v>34</v>
      </c>
      <c r="N184" t="s">
        <v>76</v>
      </c>
      <c r="O184">
        <f>SUMIFS(I184:I683,F184:F683,Table8[[#This Row],[Category]],N184:N683,Table8[[#This Row],[Region_Code]])</f>
        <v>35812.310000000005</v>
      </c>
      <c r="P184" s="13">
        <f>SUMIFS(K184:K683,F184:F683,Table8[[#This Row],[Category]],N184:N683,Table8[[#This Row],[Region_Code]])</f>
        <v>9597.4399999999969</v>
      </c>
      <c r="Q184">
        <f>AVERAGEIFS(I184:I683,F184:F683,Table8[[#This Row],[Category]],N184:N683,Table8[[#This Row],[Region_Code]])</f>
        <v>918.26435897435908</v>
      </c>
      <c r="R184">
        <f>AVERAGEIFS(K184:K683,F184:F683,Table8[[#This Row],[Category]],N184:N683,Table8[[#This Row],[Region_Code]])</f>
        <v>246.08820512820506</v>
      </c>
    </row>
    <row r="185" spans="1:18" x14ac:dyDescent="0.3">
      <c r="A185" t="s">
        <v>501</v>
      </c>
      <c r="B185" t="s">
        <v>502</v>
      </c>
      <c r="C185" t="s">
        <v>194</v>
      </c>
      <c r="D185" t="s">
        <v>206</v>
      </c>
      <c r="E185" t="s">
        <v>46</v>
      </c>
      <c r="F185" t="s">
        <v>47</v>
      </c>
      <c r="G185">
        <v>12</v>
      </c>
      <c r="H185">
        <v>42.91</v>
      </c>
      <c r="I185">
        <v>514.91999999999996</v>
      </c>
      <c r="J185">
        <v>15.18</v>
      </c>
      <c r="K185">
        <v>115.74</v>
      </c>
      <c r="L185" t="s">
        <v>48</v>
      </c>
      <c r="M185" t="s">
        <v>41</v>
      </c>
      <c r="N185" t="s">
        <v>207</v>
      </c>
      <c r="O185">
        <f>SUMIFS(I185:I684,F185:F684,Table8[[#This Row],[Category]],N185:N684,Table8[[#This Row],[Region_Code]])</f>
        <v>7218.73</v>
      </c>
      <c r="P185" s="13">
        <f>SUMIFS(K185:K684,F185:F684,Table8[[#This Row],[Category]],N185:N684,Table8[[#This Row],[Region_Code]])</f>
        <v>1930.0000000000002</v>
      </c>
      <c r="Q185">
        <f>AVERAGEIFS(I185:I684,F185:F684,Table8[[#This Row],[Category]],N185:N684,Table8[[#This Row],[Region_Code]])</f>
        <v>802.08111111111111</v>
      </c>
      <c r="R185">
        <f>AVERAGEIFS(K185:K684,F185:F684,Table8[[#This Row],[Category]],N185:N684,Table8[[#This Row],[Region_Code]])</f>
        <v>214.44444444444446</v>
      </c>
    </row>
    <row r="186" spans="1:18" x14ac:dyDescent="0.3">
      <c r="A186" t="s">
        <v>503</v>
      </c>
      <c r="B186" t="s">
        <v>504</v>
      </c>
      <c r="C186" t="s">
        <v>505</v>
      </c>
      <c r="D186" t="s">
        <v>70</v>
      </c>
      <c r="E186" t="s">
        <v>56</v>
      </c>
      <c r="F186" t="s">
        <v>57</v>
      </c>
      <c r="G186">
        <v>21</v>
      </c>
      <c r="H186">
        <v>50.49</v>
      </c>
      <c r="I186">
        <v>1060.29</v>
      </c>
      <c r="J186">
        <v>32.340000000000003</v>
      </c>
      <c r="K186">
        <v>187.95</v>
      </c>
      <c r="L186" t="s">
        <v>48</v>
      </c>
      <c r="M186" t="s">
        <v>25</v>
      </c>
      <c r="N186" t="s">
        <v>76</v>
      </c>
      <c r="O186">
        <f>SUMIFS(I186:I685,F186:F685,Table8[[#This Row],[Category]],N186:N685,Table8[[#This Row],[Region_Code]])</f>
        <v>17455.46</v>
      </c>
      <c r="P186" s="13">
        <f>SUMIFS(K186:K685,F186:F685,Table8[[#This Row],[Category]],N186:N685,Table8[[#This Row],[Region_Code]])</f>
        <v>4729.05</v>
      </c>
      <c r="Q186">
        <f>AVERAGEIFS(I186:I685,F186:F685,Table8[[#This Row],[Category]],N186:N685,Table8[[#This Row],[Region_Code]])</f>
        <v>1246.8185714285714</v>
      </c>
      <c r="R186">
        <f>AVERAGEIFS(K186:K685,F186:F685,Table8[[#This Row],[Category]],N186:N685,Table8[[#This Row],[Region_Code]])</f>
        <v>337.78928571428571</v>
      </c>
    </row>
    <row r="187" spans="1:18" x14ac:dyDescent="0.3">
      <c r="A187" t="s">
        <v>506</v>
      </c>
      <c r="B187" t="s">
        <v>454</v>
      </c>
      <c r="C187" t="s">
        <v>307</v>
      </c>
      <c r="D187" t="s">
        <v>37</v>
      </c>
      <c r="E187" t="s">
        <v>22</v>
      </c>
      <c r="F187" t="s">
        <v>23</v>
      </c>
      <c r="G187">
        <v>41</v>
      </c>
      <c r="H187">
        <v>43.18</v>
      </c>
      <c r="I187">
        <v>1770.38</v>
      </c>
      <c r="J187">
        <v>128.4</v>
      </c>
      <c r="K187">
        <v>206.98</v>
      </c>
      <c r="L187" t="s">
        <v>33</v>
      </c>
      <c r="M187" t="s">
        <v>41</v>
      </c>
      <c r="N187" t="s">
        <v>35</v>
      </c>
      <c r="O187">
        <f>SUMIFS(I187:I686,F187:F686,Table8[[#This Row],[Category]],N187:N686,Table8[[#This Row],[Region_Code]])</f>
        <v>21681.229999999996</v>
      </c>
      <c r="P187" s="13">
        <f>SUMIFS(K187:K686,F187:F686,Table8[[#This Row],[Category]],N187:N686,Table8[[#This Row],[Region_Code]])</f>
        <v>5664.7699999999986</v>
      </c>
      <c r="Q187">
        <f>AVERAGEIFS(I187:I686,F187:F686,Table8[[#This Row],[Category]],N187:N686,Table8[[#This Row],[Region_Code]])</f>
        <v>1141.1173684210523</v>
      </c>
      <c r="R187">
        <f>AVERAGEIFS(K187:K686,F187:F686,Table8[[#This Row],[Category]],N187:N686,Table8[[#This Row],[Region_Code]])</f>
        <v>298.14578947368415</v>
      </c>
    </row>
    <row r="188" spans="1:18" x14ac:dyDescent="0.3">
      <c r="A188" t="s">
        <v>507</v>
      </c>
      <c r="B188" t="s">
        <v>508</v>
      </c>
      <c r="C188" t="s">
        <v>162</v>
      </c>
      <c r="D188" t="s">
        <v>206</v>
      </c>
      <c r="E188" t="s">
        <v>86</v>
      </c>
      <c r="F188" t="s">
        <v>47</v>
      </c>
      <c r="G188">
        <v>37</v>
      </c>
      <c r="H188">
        <v>19.8</v>
      </c>
      <c r="I188">
        <v>732.6</v>
      </c>
      <c r="J188">
        <v>54.68</v>
      </c>
      <c r="K188">
        <v>206.17</v>
      </c>
      <c r="L188" t="s">
        <v>24</v>
      </c>
      <c r="M188" t="s">
        <v>34</v>
      </c>
      <c r="N188" t="s">
        <v>207</v>
      </c>
      <c r="O188">
        <f>SUMIFS(I188:I687,F188:F687,Table8[[#This Row],[Category]],N188:N687,Table8[[#This Row],[Region_Code]])</f>
        <v>6703.8099999999995</v>
      </c>
      <c r="P188" s="13">
        <f>SUMIFS(K188:K687,F188:F687,Table8[[#This Row],[Category]],N188:N687,Table8[[#This Row],[Region_Code]])</f>
        <v>1814.26</v>
      </c>
      <c r="Q188">
        <f>AVERAGEIFS(I188:I687,F188:F687,Table8[[#This Row],[Category]],N188:N687,Table8[[#This Row],[Region_Code]])</f>
        <v>837.97624999999994</v>
      </c>
      <c r="R188">
        <f>AVERAGEIFS(K188:K687,F188:F687,Table8[[#This Row],[Category]],N188:N687,Table8[[#This Row],[Region_Code]])</f>
        <v>226.7825</v>
      </c>
    </row>
    <row r="189" spans="1:18" x14ac:dyDescent="0.3">
      <c r="A189" t="s">
        <v>509</v>
      </c>
      <c r="B189" t="s">
        <v>510</v>
      </c>
      <c r="C189" t="s">
        <v>511</v>
      </c>
      <c r="D189" t="s">
        <v>62</v>
      </c>
      <c r="E189" t="s">
        <v>86</v>
      </c>
      <c r="F189" t="s">
        <v>47</v>
      </c>
      <c r="G189">
        <v>4</v>
      </c>
      <c r="H189">
        <v>18.059999999999999</v>
      </c>
      <c r="I189">
        <v>72.239999999999995</v>
      </c>
      <c r="J189">
        <v>4.66</v>
      </c>
      <c r="K189">
        <v>16.579999999999998</v>
      </c>
      <c r="L189" t="s">
        <v>24</v>
      </c>
      <c r="M189" t="s">
        <v>25</v>
      </c>
      <c r="N189" t="s">
        <v>98</v>
      </c>
      <c r="O189">
        <f>SUMIFS(I189:I688,F189:F688,Table8[[#This Row],[Category]],N189:N688,Table8[[#This Row],[Region_Code]])</f>
        <v>16046.759999999998</v>
      </c>
      <c r="P189" s="13">
        <f>SUMIFS(K189:K688,F189:F688,Table8[[#This Row],[Category]],N189:N688,Table8[[#This Row],[Region_Code]])</f>
        <v>3984.7299999999996</v>
      </c>
      <c r="Q189">
        <f>AVERAGEIFS(I189:I688,F189:F688,Table8[[#This Row],[Category]],N189:N688,Table8[[#This Row],[Region_Code]])</f>
        <v>802.33799999999997</v>
      </c>
      <c r="R189">
        <f>AVERAGEIFS(K189:K688,F189:F688,Table8[[#This Row],[Category]],N189:N688,Table8[[#This Row],[Region_Code]])</f>
        <v>199.23649999999998</v>
      </c>
    </row>
    <row r="190" spans="1:18" x14ac:dyDescent="0.3">
      <c r="A190" t="s">
        <v>512</v>
      </c>
      <c r="B190" t="s">
        <v>412</v>
      </c>
      <c r="C190" t="s">
        <v>391</v>
      </c>
      <c r="D190" t="s">
        <v>21</v>
      </c>
      <c r="E190" t="s">
        <v>22</v>
      </c>
      <c r="F190" t="s">
        <v>23</v>
      </c>
      <c r="G190">
        <v>40</v>
      </c>
      <c r="H190">
        <v>55.59</v>
      </c>
      <c r="I190">
        <v>2223.6</v>
      </c>
      <c r="J190">
        <v>74.569999999999993</v>
      </c>
      <c r="K190">
        <v>749.03</v>
      </c>
      <c r="L190" t="s">
        <v>24</v>
      </c>
      <c r="M190" t="s">
        <v>25</v>
      </c>
      <c r="N190" t="s">
        <v>98</v>
      </c>
      <c r="O190">
        <f>SUMIFS(I190:I689,F190:F689,Table8[[#This Row],[Category]],N190:N689,Table8[[#This Row],[Region_Code]])</f>
        <v>13818.72</v>
      </c>
      <c r="P190" s="13">
        <f>SUMIFS(K190:K689,F190:F689,Table8[[#This Row],[Category]],N190:N689,Table8[[#This Row],[Region_Code]])</f>
        <v>3818.61</v>
      </c>
      <c r="Q190">
        <f>AVERAGEIFS(I190:I689,F190:F689,Table8[[#This Row],[Category]],N190:N689,Table8[[#This Row],[Region_Code]])</f>
        <v>1256.2472727272727</v>
      </c>
      <c r="R190">
        <f>AVERAGEIFS(K190:K689,F190:F689,Table8[[#This Row],[Category]],N190:N689,Table8[[#This Row],[Region_Code]])</f>
        <v>347.14636363636367</v>
      </c>
    </row>
    <row r="191" spans="1:18" x14ac:dyDescent="0.3">
      <c r="A191" t="s">
        <v>513</v>
      </c>
      <c r="B191" t="s">
        <v>327</v>
      </c>
      <c r="C191" t="s">
        <v>20</v>
      </c>
      <c r="D191" t="s">
        <v>127</v>
      </c>
      <c r="E191" t="s">
        <v>74</v>
      </c>
      <c r="F191" t="s">
        <v>75</v>
      </c>
      <c r="G191">
        <v>5</v>
      </c>
      <c r="H191">
        <v>31.58</v>
      </c>
      <c r="I191">
        <v>157.9</v>
      </c>
      <c r="J191">
        <v>3.73</v>
      </c>
      <c r="K191">
        <v>29.17</v>
      </c>
      <c r="L191" t="s">
        <v>24</v>
      </c>
      <c r="M191" t="s">
        <v>34</v>
      </c>
      <c r="N191" t="s">
        <v>76</v>
      </c>
      <c r="O191">
        <f>SUMIFS(I191:I690,F191:F690,Table8[[#This Row],[Category]],N191:N690,Table8[[#This Row],[Region_Code]])</f>
        <v>15816.17</v>
      </c>
      <c r="P191" s="13">
        <f>SUMIFS(K191:K690,F191:F690,Table8[[#This Row],[Category]],N191:N690,Table8[[#This Row],[Region_Code]])</f>
        <v>4092.71</v>
      </c>
      <c r="Q191">
        <f>AVERAGEIFS(I191:I690,F191:F690,Table8[[#This Row],[Category]],N191:N690,Table8[[#This Row],[Region_Code]])</f>
        <v>930.3629411764706</v>
      </c>
      <c r="R191">
        <f>AVERAGEIFS(K191:K690,F191:F690,Table8[[#This Row],[Category]],N191:N690,Table8[[#This Row],[Region_Code]])</f>
        <v>240.74764705882353</v>
      </c>
    </row>
    <row r="192" spans="1:18" x14ac:dyDescent="0.3">
      <c r="A192" t="s">
        <v>514</v>
      </c>
      <c r="B192" t="s">
        <v>515</v>
      </c>
      <c r="C192" t="s">
        <v>188</v>
      </c>
      <c r="D192" t="s">
        <v>55</v>
      </c>
      <c r="E192" t="s">
        <v>32</v>
      </c>
      <c r="F192" t="s">
        <v>23</v>
      </c>
      <c r="G192">
        <v>50</v>
      </c>
      <c r="H192">
        <v>26.67</v>
      </c>
      <c r="I192">
        <v>1333.5</v>
      </c>
      <c r="J192">
        <v>80.150000000000006</v>
      </c>
      <c r="K192">
        <v>353.35</v>
      </c>
      <c r="L192" t="s">
        <v>48</v>
      </c>
      <c r="M192" t="s">
        <v>25</v>
      </c>
      <c r="N192" t="s">
        <v>98</v>
      </c>
      <c r="O192">
        <f>SUMIFS(I192:I691,F192:F691,Table8[[#This Row],[Category]],N192:N691,Table8[[#This Row],[Region_Code]])</f>
        <v>11595.12</v>
      </c>
      <c r="P192" s="13">
        <f>SUMIFS(K192:K691,F192:F691,Table8[[#This Row],[Category]],N192:N691,Table8[[#This Row],[Region_Code]])</f>
        <v>3069.58</v>
      </c>
      <c r="Q192">
        <f>AVERAGEIFS(I192:I691,F192:F691,Table8[[#This Row],[Category]],N192:N691,Table8[[#This Row],[Region_Code]])</f>
        <v>1159.5120000000002</v>
      </c>
      <c r="R192">
        <f>AVERAGEIFS(K192:K691,F192:F691,Table8[[#This Row],[Category]],N192:N691,Table8[[#This Row],[Region_Code]])</f>
        <v>306.95799999999997</v>
      </c>
    </row>
    <row r="193" spans="1:18" x14ac:dyDescent="0.3">
      <c r="A193" t="s">
        <v>516</v>
      </c>
      <c r="B193" t="s">
        <v>517</v>
      </c>
      <c r="C193" t="s">
        <v>352</v>
      </c>
      <c r="D193" t="s">
        <v>116</v>
      </c>
      <c r="E193" t="s">
        <v>81</v>
      </c>
      <c r="F193" t="s">
        <v>68</v>
      </c>
      <c r="G193">
        <v>17</v>
      </c>
      <c r="H193">
        <v>20.68</v>
      </c>
      <c r="I193">
        <v>351.56</v>
      </c>
      <c r="J193">
        <v>18.47</v>
      </c>
      <c r="K193">
        <v>69.59</v>
      </c>
      <c r="L193" t="s">
        <v>48</v>
      </c>
      <c r="M193" t="s">
        <v>34</v>
      </c>
      <c r="N193" t="s">
        <v>76</v>
      </c>
      <c r="O193">
        <f>SUMIFS(I193:I692,F193:F692,Table8[[#This Row],[Category]],N193:N692,Table8[[#This Row],[Region_Code]])</f>
        <v>34762.030000000006</v>
      </c>
      <c r="P193" s="13">
        <f>SUMIFS(K193:K692,F193:F692,Table8[[#This Row],[Category]],N193:N692,Table8[[#This Row],[Region_Code]])</f>
        <v>9262.67</v>
      </c>
      <c r="Q193">
        <f>AVERAGEIFS(I193:I692,F193:F692,Table8[[#This Row],[Category]],N193:N692,Table8[[#This Row],[Region_Code]])</f>
        <v>914.79026315789486</v>
      </c>
      <c r="R193">
        <f>AVERAGEIFS(K193:K692,F193:F692,Table8[[#This Row],[Category]],N193:N692,Table8[[#This Row],[Region_Code]])</f>
        <v>243.75447368421052</v>
      </c>
    </row>
    <row r="194" spans="1:18" x14ac:dyDescent="0.3">
      <c r="A194" t="s">
        <v>518</v>
      </c>
      <c r="B194" t="s">
        <v>259</v>
      </c>
      <c r="C194" t="s">
        <v>440</v>
      </c>
      <c r="D194" t="s">
        <v>141</v>
      </c>
      <c r="E194" t="s">
        <v>22</v>
      </c>
      <c r="F194" t="s">
        <v>23</v>
      </c>
      <c r="G194">
        <v>29</v>
      </c>
      <c r="H194">
        <v>55.19</v>
      </c>
      <c r="I194">
        <v>1600.51</v>
      </c>
      <c r="J194">
        <v>103.06</v>
      </c>
      <c r="K194">
        <v>482.45</v>
      </c>
      <c r="L194" t="s">
        <v>24</v>
      </c>
      <c r="M194" t="s">
        <v>41</v>
      </c>
      <c r="N194" t="s">
        <v>142</v>
      </c>
      <c r="O194">
        <f>SUMIFS(I194:I693,F194:F693,Table8[[#This Row],[Category]],N194:N693,Table8[[#This Row],[Region_Code]])</f>
        <v>6956.41</v>
      </c>
      <c r="P194" s="13">
        <f>SUMIFS(K194:K693,F194:F693,Table8[[#This Row],[Category]],N194:N693,Table8[[#This Row],[Region_Code]])</f>
        <v>1989.71</v>
      </c>
      <c r="Q194">
        <f>AVERAGEIFS(I194:I693,F194:F693,Table8[[#This Row],[Category]],N194:N693,Table8[[#This Row],[Region_Code]])</f>
        <v>869.55124999999998</v>
      </c>
      <c r="R194">
        <f>AVERAGEIFS(K194:K693,F194:F693,Table8[[#This Row],[Category]],N194:N693,Table8[[#This Row],[Region_Code]])</f>
        <v>248.71375</v>
      </c>
    </row>
    <row r="195" spans="1:18" x14ac:dyDescent="0.3">
      <c r="A195" t="s">
        <v>519</v>
      </c>
      <c r="B195" t="s">
        <v>520</v>
      </c>
      <c r="C195" t="s">
        <v>521</v>
      </c>
      <c r="D195" t="s">
        <v>116</v>
      </c>
      <c r="E195" t="s">
        <v>22</v>
      </c>
      <c r="F195" t="s">
        <v>23</v>
      </c>
      <c r="G195">
        <v>34</v>
      </c>
      <c r="H195">
        <v>61.62</v>
      </c>
      <c r="I195">
        <v>2095.08</v>
      </c>
      <c r="J195">
        <v>80.13</v>
      </c>
      <c r="K195">
        <v>824.95</v>
      </c>
      <c r="L195" t="s">
        <v>33</v>
      </c>
      <c r="M195" t="s">
        <v>25</v>
      </c>
      <c r="N195" t="s">
        <v>76</v>
      </c>
      <c r="O195">
        <f>SUMIFS(I195:I694,F195:F694,Table8[[#This Row],[Category]],N195:N694,Table8[[#This Row],[Region_Code]])</f>
        <v>18439.759999999998</v>
      </c>
      <c r="P195" s="13">
        <f>SUMIFS(K195:K694,F195:F694,Table8[[#This Row],[Category]],N195:N694,Table8[[#This Row],[Region_Code]])</f>
        <v>5079.1100000000006</v>
      </c>
      <c r="Q195">
        <f>AVERAGEIFS(I195:I694,F195:F694,Table8[[#This Row],[Category]],N195:N694,Table8[[#This Row],[Region_Code]])</f>
        <v>838.17090909090905</v>
      </c>
      <c r="R195">
        <f>AVERAGEIFS(K195:K694,F195:F694,Table8[[#This Row],[Category]],N195:N694,Table8[[#This Row],[Region_Code]])</f>
        <v>230.8686363636364</v>
      </c>
    </row>
    <row r="196" spans="1:18" x14ac:dyDescent="0.3">
      <c r="A196" t="s">
        <v>522</v>
      </c>
      <c r="B196" t="s">
        <v>306</v>
      </c>
      <c r="C196" t="s">
        <v>277</v>
      </c>
      <c r="D196" t="s">
        <v>62</v>
      </c>
      <c r="E196" t="s">
        <v>67</v>
      </c>
      <c r="F196" t="s">
        <v>68</v>
      </c>
      <c r="G196">
        <v>10</v>
      </c>
      <c r="H196">
        <v>40.03</v>
      </c>
      <c r="I196">
        <v>400.3</v>
      </c>
      <c r="J196">
        <v>25.8</v>
      </c>
      <c r="K196">
        <v>149.5</v>
      </c>
      <c r="L196" t="s">
        <v>48</v>
      </c>
      <c r="M196" t="s">
        <v>25</v>
      </c>
      <c r="N196" t="s">
        <v>98</v>
      </c>
      <c r="O196">
        <f>SUMIFS(I196:I695,F196:F695,Table8[[#This Row],[Category]],N196:N695,Table8[[#This Row],[Region_Code]])</f>
        <v>18095.480000000003</v>
      </c>
      <c r="P196" s="13">
        <f>SUMIFS(K196:K695,F196:F695,Table8[[#This Row],[Category]],N196:N695,Table8[[#This Row],[Region_Code]])</f>
        <v>5408.2800000000016</v>
      </c>
      <c r="Q196">
        <f>AVERAGEIFS(I196:I695,F196:F695,Table8[[#This Row],[Category]],N196:N695,Table8[[#This Row],[Region_Code]])</f>
        <v>952.39368421052643</v>
      </c>
      <c r="R196">
        <f>AVERAGEIFS(K196:K695,F196:F695,Table8[[#This Row],[Category]],N196:N695,Table8[[#This Row],[Region_Code]])</f>
        <v>284.64631578947376</v>
      </c>
    </row>
    <row r="197" spans="1:18" x14ac:dyDescent="0.3">
      <c r="A197" t="s">
        <v>523</v>
      </c>
      <c r="B197" t="s">
        <v>524</v>
      </c>
      <c r="C197" t="s">
        <v>134</v>
      </c>
      <c r="D197" t="s">
        <v>123</v>
      </c>
      <c r="E197" t="s">
        <v>63</v>
      </c>
      <c r="F197" t="s">
        <v>47</v>
      </c>
      <c r="G197">
        <v>23</v>
      </c>
      <c r="H197">
        <v>31.3</v>
      </c>
      <c r="I197">
        <v>719.9</v>
      </c>
      <c r="J197">
        <v>47.88</v>
      </c>
      <c r="K197">
        <v>212.02</v>
      </c>
      <c r="L197" t="s">
        <v>33</v>
      </c>
      <c r="M197" t="s">
        <v>34</v>
      </c>
      <c r="N197" t="s">
        <v>76</v>
      </c>
      <c r="O197">
        <f>SUMIFS(I197:I696,F197:F696,Table8[[#This Row],[Category]],N197:N696,Table8[[#This Row],[Region_Code]])</f>
        <v>19415.079999999998</v>
      </c>
      <c r="P197" s="13">
        <f>SUMIFS(K197:K696,F197:F696,Table8[[#This Row],[Category]],N197:N696,Table8[[#This Row],[Region_Code]])</f>
        <v>5713.7700000000013</v>
      </c>
      <c r="Q197">
        <f>AVERAGEIFS(I197:I696,F197:F696,Table8[[#This Row],[Category]],N197:N696,Table8[[#This Row],[Region_Code]])</f>
        <v>719.07703703703692</v>
      </c>
      <c r="R197">
        <f>AVERAGEIFS(K197:K696,F197:F696,Table8[[#This Row],[Category]],N197:N696,Table8[[#This Row],[Region_Code]])</f>
        <v>211.62111111111116</v>
      </c>
    </row>
    <row r="198" spans="1:18" x14ac:dyDescent="0.3">
      <c r="A198" t="s">
        <v>525</v>
      </c>
      <c r="B198" t="s">
        <v>105</v>
      </c>
      <c r="C198" t="s">
        <v>148</v>
      </c>
      <c r="D198" t="s">
        <v>62</v>
      </c>
      <c r="E198" t="s">
        <v>22</v>
      </c>
      <c r="F198" t="s">
        <v>23</v>
      </c>
      <c r="G198">
        <v>37</v>
      </c>
      <c r="H198">
        <v>50.39</v>
      </c>
      <c r="I198">
        <v>1864.43</v>
      </c>
      <c r="J198">
        <v>60.06</v>
      </c>
      <c r="K198">
        <v>509.37</v>
      </c>
      <c r="L198" t="s">
        <v>33</v>
      </c>
      <c r="M198" t="s">
        <v>34</v>
      </c>
      <c r="N198" t="s">
        <v>98</v>
      </c>
      <c r="O198">
        <f>SUMIFS(I198:I697,F198:F697,Table8[[#This Row],[Category]],N198:N697,Table8[[#This Row],[Region_Code]])</f>
        <v>10261.620000000001</v>
      </c>
      <c r="P198" s="13">
        <f>SUMIFS(K198:K697,F198:F697,Table8[[#This Row],[Category]],N198:N697,Table8[[#This Row],[Region_Code]])</f>
        <v>2716.23</v>
      </c>
      <c r="Q198">
        <f>AVERAGEIFS(I198:I697,F198:F697,Table8[[#This Row],[Category]],N198:N697,Table8[[#This Row],[Region_Code]])</f>
        <v>1140.18</v>
      </c>
      <c r="R198">
        <f>AVERAGEIFS(K198:K697,F198:F697,Table8[[#This Row],[Category]],N198:N697,Table8[[#This Row],[Region_Code]])</f>
        <v>301.80333333333334</v>
      </c>
    </row>
    <row r="199" spans="1:18" x14ac:dyDescent="0.3">
      <c r="A199" t="s">
        <v>526</v>
      </c>
      <c r="B199" t="s">
        <v>527</v>
      </c>
      <c r="C199" t="s">
        <v>442</v>
      </c>
      <c r="D199" t="s">
        <v>21</v>
      </c>
      <c r="E199" t="s">
        <v>86</v>
      </c>
      <c r="F199" t="s">
        <v>47</v>
      </c>
      <c r="G199">
        <v>38</v>
      </c>
      <c r="H199">
        <v>16.97</v>
      </c>
      <c r="I199">
        <v>644.86</v>
      </c>
      <c r="J199">
        <v>40</v>
      </c>
      <c r="K199">
        <v>120.36</v>
      </c>
      <c r="L199" t="s">
        <v>48</v>
      </c>
      <c r="M199" t="s">
        <v>25</v>
      </c>
      <c r="N199" t="s">
        <v>98</v>
      </c>
      <c r="O199">
        <f>SUMIFS(I199:I698,F199:F698,Table8[[#This Row],[Category]],N199:N698,Table8[[#This Row],[Region_Code]])</f>
        <v>15974.519999999999</v>
      </c>
      <c r="P199" s="13">
        <f>SUMIFS(K199:K698,F199:F698,Table8[[#This Row],[Category]],N199:N698,Table8[[#This Row],[Region_Code]])</f>
        <v>3968.1499999999996</v>
      </c>
      <c r="Q199">
        <f>AVERAGEIFS(I199:I698,F199:F698,Table8[[#This Row],[Category]],N199:N698,Table8[[#This Row],[Region_Code]])</f>
        <v>840.76421052631576</v>
      </c>
      <c r="R199">
        <f>AVERAGEIFS(K199:K698,F199:F698,Table8[[#This Row],[Category]],N199:N698,Table8[[#This Row],[Region_Code]])</f>
        <v>208.85</v>
      </c>
    </row>
    <row r="200" spans="1:18" x14ac:dyDescent="0.3">
      <c r="A200" t="s">
        <v>528</v>
      </c>
      <c r="B200" t="s">
        <v>408</v>
      </c>
      <c r="C200" t="s">
        <v>328</v>
      </c>
      <c r="D200" t="s">
        <v>141</v>
      </c>
      <c r="E200" t="s">
        <v>63</v>
      </c>
      <c r="F200" t="s">
        <v>47</v>
      </c>
      <c r="G200">
        <v>2</v>
      </c>
      <c r="H200">
        <v>35.92</v>
      </c>
      <c r="I200">
        <v>71.84</v>
      </c>
      <c r="J200">
        <v>2.34</v>
      </c>
      <c r="K200">
        <v>29.5</v>
      </c>
      <c r="L200" t="s">
        <v>48</v>
      </c>
      <c r="M200" t="s">
        <v>34</v>
      </c>
      <c r="N200" t="s">
        <v>142</v>
      </c>
      <c r="O200">
        <f>SUMIFS(I200:I699,F200:F699,Table8[[#This Row],[Category]],N200:N699,Table8[[#This Row],[Region_Code]])</f>
        <v>2282.37</v>
      </c>
      <c r="P200" s="13">
        <f>SUMIFS(K200:K699,F200:F699,Table8[[#This Row],[Category]],N200:N699,Table8[[#This Row],[Region_Code]])</f>
        <v>673.52</v>
      </c>
      <c r="Q200">
        <f>AVERAGEIFS(I200:I699,F200:F699,Table8[[#This Row],[Category]],N200:N699,Table8[[#This Row],[Region_Code]])</f>
        <v>570.59249999999997</v>
      </c>
      <c r="R200">
        <f>AVERAGEIFS(K200:K699,F200:F699,Table8[[#This Row],[Category]],N200:N699,Table8[[#This Row],[Region_Code]])</f>
        <v>168.38</v>
      </c>
    </row>
    <row r="201" spans="1:18" x14ac:dyDescent="0.3">
      <c r="A201" t="s">
        <v>529</v>
      </c>
      <c r="B201" t="s">
        <v>530</v>
      </c>
      <c r="C201" t="s">
        <v>85</v>
      </c>
      <c r="D201" t="s">
        <v>45</v>
      </c>
      <c r="E201" t="s">
        <v>63</v>
      </c>
      <c r="F201" t="s">
        <v>47</v>
      </c>
      <c r="G201">
        <v>48</v>
      </c>
      <c r="H201">
        <v>31.87</v>
      </c>
      <c r="I201">
        <v>1529.76</v>
      </c>
      <c r="J201">
        <v>89.85</v>
      </c>
      <c r="K201">
        <v>479.91</v>
      </c>
      <c r="L201" t="s">
        <v>48</v>
      </c>
      <c r="M201" t="s">
        <v>25</v>
      </c>
      <c r="N201" t="s">
        <v>49</v>
      </c>
      <c r="O201">
        <f>SUMIFS(I201:I700,F201:F700,Table8[[#This Row],[Category]],N201:N700,Table8[[#This Row],[Region_Code]])</f>
        <v>12134.68</v>
      </c>
      <c r="P201" s="13">
        <f>SUMIFS(K201:K700,F201:F700,Table8[[#This Row],[Category]],N201:N700,Table8[[#This Row],[Region_Code]])</f>
        <v>3550.5699999999997</v>
      </c>
      <c r="Q201">
        <f>AVERAGEIFS(I201:I700,F201:F700,Table8[[#This Row],[Category]],N201:N700,Table8[[#This Row],[Region_Code]])</f>
        <v>933.43692307692311</v>
      </c>
      <c r="R201">
        <f>AVERAGEIFS(K201:K700,F201:F700,Table8[[#This Row],[Category]],N201:N700,Table8[[#This Row],[Region_Code]])</f>
        <v>273.12076923076921</v>
      </c>
    </row>
    <row r="202" spans="1:18" x14ac:dyDescent="0.3">
      <c r="A202" t="s">
        <v>531</v>
      </c>
      <c r="B202" t="s">
        <v>532</v>
      </c>
      <c r="C202" t="s">
        <v>352</v>
      </c>
      <c r="D202" t="s">
        <v>206</v>
      </c>
      <c r="E202" t="s">
        <v>56</v>
      </c>
      <c r="F202" t="s">
        <v>57</v>
      </c>
      <c r="G202">
        <v>46</v>
      </c>
      <c r="H202">
        <v>70</v>
      </c>
      <c r="I202">
        <v>3220</v>
      </c>
      <c r="J202">
        <v>160.11000000000001</v>
      </c>
      <c r="K202">
        <v>1219.8900000000001</v>
      </c>
      <c r="L202" t="s">
        <v>33</v>
      </c>
      <c r="M202" t="s">
        <v>34</v>
      </c>
      <c r="N202" t="s">
        <v>207</v>
      </c>
      <c r="O202">
        <f>SUMIFS(I202:I701,F202:F701,Table8[[#This Row],[Category]],N202:N701,Table8[[#This Row],[Region_Code]])</f>
        <v>9673.74</v>
      </c>
      <c r="P202" s="13">
        <f>SUMIFS(K202:K701,F202:F701,Table8[[#This Row],[Category]],N202:N701,Table8[[#This Row],[Region_Code]])</f>
        <v>2722.99</v>
      </c>
      <c r="Q202">
        <f>AVERAGEIFS(I202:I701,F202:F701,Table8[[#This Row],[Category]],N202:N701,Table8[[#This Row],[Region_Code]])</f>
        <v>2418.4349999999999</v>
      </c>
      <c r="R202">
        <f>AVERAGEIFS(K202:K701,F202:F701,Table8[[#This Row],[Category]],N202:N701,Table8[[#This Row],[Region_Code]])</f>
        <v>680.74749999999995</v>
      </c>
    </row>
    <row r="203" spans="1:18" x14ac:dyDescent="0.3">
      <c r="A203" t="s">
        <v>533</v>
      </c>
      <c r="B203" t="s">
        <v>534</v>
      </c>
      <c r="C203" t="s">
        <v>480</v>
      </c>
      <c r="D203" t="s">
        <v>116</v>
      </c>
      <c r="E203" t="s">
        <v>22</v>
      </c>
      <c r="F203" t="s">
        <v>23</v>
      </c>
      <c r="G203">
        <v>45</v>
      </c>
      <c r="H203">
        <v>57.7</v>
      </c>
      <c r="I203">
        <v>2596.5</v>
      </c>
      <c r="J203">
        <v>102.52</v>
      </c>
      <c r="K203">
        <v>918.98</v>
      </c>
      <c r="L203" t="s">
        <v>33</v>
      </c>
      <c r="M203" t="s">
        <v>25</v>
      </c>
      <c r="N203" t="s">
        <v>76</v>
      </c>
      <c r="O203">
        <f>SUMIFS(I203:I702,F203:F702,Table8[[#This Row],[Category]],N203:N702,Table8[[#This Row],[Region_Code]])</f>
        <v>16344.679999999997</v>
      </c>
      <c r="P203" s="13">
        <f>SUMIFS(K203:K702,F203:F702,Table8[[#This Row],[Category]],N203:N702,Table8[[#This Row],[Region_Code]])</f>
        <v>4254.16</v>
      </c>
      <c r="Q203">
        <f>AVERAGEIFS(I203:I702,F203:F702,Table8[[#This Row],[Category]],N203:N702,Table8[[#This Row],[Region_Code]])</f>
        <v>778.31809523809511</v>
      </c>
      <c r="R203">
        <f>AVERAGEIFS(K203:K702,F203:F702,Table8[[#This Row],[Category]],N203:N702,Table8[[#This Row],[Region_Code]])</f>
        <v>202.5790476190476</v>
      </c>
    </row>
    <row r="204" spans="1:18" x14ac:dyDescent="0.3">
      <c r="A204" t="s">
        <v>535</v>
      </c>
      <c r="B204" t="s">
        <v>536</v>
      </c>
      <c r="C204" t="s">
        <v>191</v>
      </c>
      <c r="D204" t="s">
        <v>127</v>
      </c>
      <c r="E204" t="s">
        <v>86</v>
      </c>
      <c r="F204" t="s">
        <v>47</v>
      </c>
      <c r="G204">
        <v>23</v>
      </c>
      <c r="H204">
        <v>20.23</v>
      </c>
      <c r="I204">
        <v>465.29</v>
      </c>
      <c r="J204">
        <v>17.29</v>
      </c>
      <c r="K204">
        <v>154.75</v>
      </c>
      <c r="L204" t="s">
        <v>48</v>
      </c>
      <c r="M204" t="s">
        <v>25</v>
      </c>
      <c r="N204" t="s">
        <v>76</v>
      </c>
      <c r="O204">
        <f>SUMIFS(I204:I703,F204:F703,Table8[[#This Row],[Category]],N204:N703,Table8[[#This Row],[Region_Code]])</f>
        <v>18695.18</v>
      </c>
      <c r="P204" s="13">
        <f>SUMIFS(K204:K703,F204:F703,Table8[[#This Row],[Category]],N204:N703,Table8[[#This Row],[Region_Code]])</f>
        <v>5501.7500000000009</v>
      </c>
      <c r="Q204">
        <f>AVERAGEIFS(I204:I703,F204:F703,Table8[[#This Row],[Category]],N204:N703,Table8[[#This Row],[Region_Code]])</f>
        <v>719.04538461538459</v>
      </c>
      <c r="R204">
        <f>AVERAGEIFS(K204:K703,F204:F703,Table8[[#This Row],[Category]],N204:N703,Table8[[#This Row],[Region_Code]])</f>
        <v>211.60576923076925</v>
      </c>
    </row>
    <row r="205" spans="1:18" x14ac:dyDescent="0.3">
      <c r="A205" t="s">
        <v>537</v>
      </c>
      <c r="B205" t="s">
        <v>224</v>
      </c>
      <c r="C205" t="s">
        <v>194</v>
      </c>
      <c r="D205" t="s">
        <v>37</v>
      </c>
      <c r="E205" t="s">
        <v>32</v>
      </c>
      <c r="F205" t="s">
        <v>23</v>
      </c>
      <c r="G205">
        <v>10</v>
      </c>
      <c r="H205">
        <v>22.96</v>
      </c>
      <c r="I205">
        <v>229.6</v>
      </c>
      <c r="J205">
        <v>18.260000000000002</v>
      </c>
      <c r="K205">
        <v>31.34</v>
      </c>
      <c r="L205" t="s">
        <v>24</v>
      </c>
      <c r="M205" t="s">
        <v>41</v>
      </c>
      <c r="N205" t="s">
        <v>35</v>
      </c>
      <c r="O205">
        <f>SUMIFS(I205:I704,F205:F704,Table8[[#This Row],[Category]],N205:N704,Table8[[#This Row],[Region_Code]])</f>
        <v>19910.849999999999</v>
      </c>
      <c r="P205" s="13">
        <f>SUMIFS(K205:K704,F205:F704,Table8[[#This Row],[Category]],N205:N704,Table8[[#This Row],[Region_Code]])</f>
        <v>5457.7899999999991</v>
      </c>
      <c r="Q205">
        <f>AVERAGEIFS(I205:I704,F205:F704,Table8[[#This Row],[Category]],N205:N704,Table8[[#This Row],[Region_Code]])</f>
        <v>1106.1583333333333</v>
      </c>
      <c r="R205">
        <f>AVERAGEIFS(K205:K704,F205:F704,Table8[[#This Row],[Category]],N205:N704,Table8[[#This Row],[Region_Code]])</f>
        <v>303.21055555555552</v>
      </c>
    </row>
    <row r="206" spans="1:18" x14ac:dyDescent="0.3">
      <c r="A206" t="s">
        <v>538</v>
      </c>
      <c r="B206" t="s">
        <v>493</v>
      </c>
      <c r="C206" t="s">
        <v>539</v>
      </c>
      <c r="D206" t="s">
        <v>45</v>
      </c>
      <c r="E206" t="s">
        <v>22</v>
      </c>
      <c r="F206" t="s">
        <v>23</v>
      </c>
      <c r="G206">
        <v>40</v>
      </c>
      <c r="H206">
        <v>54.84</v>
      </c>
      <c r="I206">
        <v>2193.6</v>
      </c>
      <c r="J206">
        <v>89.26</v>
      </c>
      <c r="K206">
        <v>704.34</v>
      </c>
      <c r="L206" t="s">
        <v>33</v>
      </c>
      <c r="M206" t="s">
        <v>25</v>
      </c>
      <c r="N206" t="s">
        <v>49</v>
      </c>
      <c r="O206">
        <f>SUMIFS(I206:I705,F206:F705,Table8[[#This Row],[Category]],N206:N705,Table8[[#This Row],[Region_Code]])</f>
        <v>5137.74</v>
      </c>
      <c r="P206" s="13">
        <f>SUMIFS(K206:K705,F206:F705,Table8[[#This Row],[Category]],N206:N705,Table8[[#This Row],[Region_Code]])</f>
        <v>1734.19</v>
      </c>
      <c r="Q206">
        <f>AVERAGEIFS(I206:I705,F206:F705,Table8[[#This Row],[Category]],N206:N705,Table8[[#This Row],[Region_Code]])</f>
        <v>1712.58</v>
      </c>
      <c r="R206">
        <f>AVERAGEIFS(K206:K705,F206:F705,Table8[[#This Row],[Category]],N206:N705,Table8[[#This Row],[Region_Code]])</f>
        <v>578.06333333333339</v>
      </c>
    </row>
    <row r="207" spans="1:18" x14ac:dyDescent="0.3">
      <c r="A207" t="s">
        <v>540</v>
      </c>
      <c r="B207" t="s">
        <v>541</v>
      </c>
      <c r="C207" t="s">
        <v>266</v>
      </c>
      <c r="D207" t="s">
        <v>116</v>
      </c>
      <c r="E207" t="s">
        <v>74</v>
      </c>
      <c r="F207" t="s">
        <v>75</v>
      </c>
      <c r="G207">
        <v>7</v>
      </c>
      <c r="H207">
        <v>36.43</v>
      </c>
      <c r="I207">
        <v>255.01</v>
      </c>
      <c r="J207">
        <v>6.3</v>
      </c>
      <c r="K207">
        <v>73.709999999999994</v>
      </c>
      <c r="L207" t="s">
        <v>24</v>
      </c>
      <c r="M207" t="s">
        <v>34</v>
      </c>
      <c r="N207" t="s">
        <v>76</v>
      </c>
      <c r="O207">
        <f>SUMIFS(I207:I706,F207:F706,Table8[[#This Row],[Category]],N207:N706,Table8[[#This Row],[Region_Code]])</f>
        <v>15658.270000000002</v>
      </c>
      <c r="P207" s="13">
        <f>SUMIFS(K207:K706,F207:F706,Table8[[#This Row],[Category]],N207:N706,Table8[[#This Row],[Region_Code]])</f>
        <v>4063.54</v>
      </c>
      <c r="Q207">
        <f>AVERAGEIFS(I207:I706,F207:F706,Table8[[#This Row],[Category]],N207:N706,Table8[[#This Row],[Region_Code]])</f>
        <v>978.64187500000014</v>
      </c>
      <c r="R207">
        <f>AVERAGEIFS(K207:K706,F207:F706,Table8[[#This Row],[Category]],N207:N706,Table8[[#This Row],[Region_Code]])</f>
        <v>253.97125</v>
      </c>
    </row>
    <row r="208" spans="1:18" x14ac:dyDescent="0.3">
      <c r="A208" t="s">
        <v>542</v>
      </c>
      <c r="B208" t="s">
        <v>543</v>
      </c>
      <c r="C208" t="s">
        <v>328</v>
      </c>
      <c r="D208" t="s">
        <v>62</v>
      </c>
      <c r="E208" t="s">
        <v>86</v>
      </c>
      <c r="F208" t="s">
        <v>47</v>
      </c>
      <c r="G208">
        <v>39</v>
      </c>
      <c r="H208">
        <v>19.48</v>
      </c>
      <c r="I208">
        <v>759.72</v>
      </c>
      <c r="J208">
        <v>40.090000000000003</v>
      </c>
      <c r="K208">
        <v>222.38</v>
      </c>
      <c r="L208" t="s">
        <v>48</v>
      </c>
      <c r="M208" t="s">
        <v>34</v>
      </c>
      <c r="N208" t="s">
        <v>98</v>
      </c>
      <c r="O208">
        <f>SUMIFS(I208:I707,F208:F707,Table8[[#This Row],[Category]],N208:N707,Table8[[#This Row],[Region_Code]])</f>
        <v>15329.66</v>
      </c>
      <c r="P208" s="13">
        <f>SUMIFS(K208:K707,F208:F707,Table8[[#This Row],[Category]],N208:N707,Table8[[#This Row],[Region_Code]])</f>
        <v>3847.79</v>
      </c>
      <c r="Q208">
        <f>AVERAGEIFS(I208:I707,F208:F707,Table8[[#This Row],[Category]],N208:N707,Table8[[#This Row],[Region_Code]])</f>
        <v>851.64777777777772</v>
      </c>
      <c r="R208">
        <f>AVERAGEIFS(K208:K707,F208:F707,Table8[[#This Row],[Category]],N208:N707,Table8[[#This Row],[Region_Code]])</f>
        <v>213.76611111111112</v>
      </c>
    </row>
    <row r="209" spans="1:18" x14ac:dyDescent="0.3">
      <c r="A209" t="s">
        <v>544</v>
      </c>
      <c r="B209" t="s">
        <v>444</v>
      </c>
      <c r="C209" t="s">
        <v>428</v>
      </c>
      <c r="D209" t="s">
        <v>141</v>
      </c>
      <c r="E209" t="s">
        <v>67</v>
      </c>
      <c r="F209" t="s">
        <v>68</v>
      </c>
      <c r="G209">
        <v>35</v>
      </c>
      <c r="H209">
        <v>38.83</v>
      </c>
      <c r="I209">
        <v>1359.05</v>
      </c>
      <c r="J209">
        <v>93.92</v>
      </c>
      <c r="K209">
        <v>477.63</v>
      </c>
      <c r="L209" t="s">
        <v>48</v>
      </c>
      <c r="M209" t="s">
        <v>34</v>
      </c>
      <c r="N209" t="s">
        <v>142</v>
      </c>
      <c r="O209">
        <f>SUMIFS(I209:I708,F209:F708,Table8[[#This Row],[Category]],N209:N708,Table8[[#This Row],[Region_Code]])</f>
        <v>5331.18</v>
      </c>
      <c r="P209" s="13">
        <f>SUMIFS(K209:K708,F209:F708,Table8[[#This Row],[Category]],N209:N708,Table8[[#This Row],[Region_Code]])</f>
        <v>1674.0600000000002</v>
      </c>
      <c r="Q209">
        <f>AVERAGEIFS(I209:I708,F209:F708,Table8[[#This Row],[Category]],N209:N708,Table8[[#This Row],[Region_Code]])</f>
        <v>888.53000000000009</v>
      </c>
      <c r="R209">
        <f>AVERAGEIFS(K209:K708,F209:F708,Table8[[#This Row],[Category]],N209:N708,Table8[[#This Row],[Region_Code]])</f>
        <v>279.01000000000005</v>
      </c>
    </row>
    <row r="210" spans="1:18" x14ac:dyDescent="0.3">
      <c r="A210" t="s">
        <v>545</v>
      </c>
      <c r="B210" t="s">
        <v>404</v>
      </c>
      <c r="C210" t="s">
        <v>232</v>
      </c>
      <c r="D210" t="s">
        <v>51</v>
      </c>
      <c r="E210" t="s">
        <v>63</v>
      </c>
      <c r="F210" t="s">
        <v>47</v>
      </c>
      <c r="G210">
        <v>39</v>
      </c>
      <c r="H210">
        <v>32.76</v>
      </c>
      <c r="I210">
        <v>1277.6400000000001</v>
      </c>
      <c r="J210">
        <v>35.81</v>
      </c>
      <c r="K210">
        <v>461.83</v>
      </c>
      <c r="L210" t="s">
        <v>33</v>
      </c>
      <c r="M210" t="s">
        <v>41</v>
      </c>
      <c r="N210" t="s">
        <v>76</v>
      </c>
      <c r="O210">
        <f>SUMIFS(I210:I709,F210:F709,Table8[[#This Row],[Category]],N210:N709,Table8[[#This Row],[Region_Code]])</f>
        <v>18229.89</v>
      </c>
      <c r="P210" s="13">
        <f>SUMIFS(K210:K709,F210:F709,Table8[[#This Row],[Category]],N210:N709,Table8[[#This Row],[Region_Code]])</f>
        <v>5347</v>
      </c>
      <c r="Q210">
        <f>AVERAGEIFS(I210:I709,F210:F709,Table8[[#This Row],[Category]],N210:N709,Table8[[#This Row],[Region_Code]])</f>
        <v>729.19560000000001</v>
      </c>
      <c r="R210">
        <f>AVERAGEIFS(K210:K709,F210:F709,Table8[[#This Row],[Category]],N210:N709,Table8[[#This Row],[Region_Code]])</f>
        <v>213.88</v>
      </c>
    </row>
    <row r="211" spans="1:18" x14ac:dyDescent="0.3">
      <c r="A211" t="s">
        <v>546</v>
      </c>
      <c r="B211" t="s">
        <v>547</v>
      </c>
      <c r="C211" t="s">
        <v>301</v>
      </c>
      <c r="D211" t="s">
        <v>21</v>
      </c>
      <c r="E211" t="s">
        <v>46</v>
      </c>
      <c r="F211" t="s">
        <v>47</v>
      </c>
      <c r="G211">
        <v>8</v>
      </c>
      <c r="H211">
        <v>39.869999999999997</v>
      </c>
      <c r="I211">
        <v>318.95999999999998</v>
      </c>
      <c r="J211">
        <v>15.95</v>
      </c>
      <c r="K211">
        <v>47.01</v>
      </c>
      <c r="L211" t="s">
        <v>48</v>
      </c>
      <c r="M211" t="s">
        <v>41</v>
      </c>
      <c r="N211" t="s">
        <v>98</v>
      </c>
      <c r="O211">
        <f>SUMIFS(I211:I710,F211:F710,Table8[[#This Row],[Category]],N211:N710,Table8[[#This Row],[Region_Code]])</f>
        <v>14569.939999999999</v>
      </c>
      <c r="P211" s="13">
        <f>SUMIFS(K211:K710,F211:F710,Table8[[#This Row],[Category]],N211:N710,Table8[[#This Row],[Region_Code]])</f>
        <v>3625.41</v>
      </c>
      <c r="Q211">
        <f>AVERAGEIFS(I211:I710,F211:F710,Table8[[#This Row],[Category]],N211:N710,Table8[[#This Row],[Region_Code]])</f>
        <v>857.05529411764701</v>
      </c>
      <c r="R211">
        <f>AVERAGEIFS(K211:K710,F211:F710,Table8[[#This Row],[Category]],N211:N710,Table8[[#This Row],[Region_Code]])</f>
        <v>213.25941176470587</v>
      </c>
    </row>
    <row r="212" spans="1:18" x14ac:dyDescent="0.3">
      <c r="A212" t="s">
        <v>548</v>
      </c>
      <c r="B212" t="s">
        <v>153</v>
      </c>
      <c r="C212" t="s">
        <v>417</v>
      </c>
      <c r="D212" t="s">
        <v>123</v>
      </c>
      <c r="E212" t="s">
        <v>56</v>
      </c>
      <c r="F212" t="s">
        <v>57</v>
      </c>
      <c r="G212">
        <v>10</v>
      </c>
      <c r="H212">
        <v>63.1</v>
      </c>
      <c r="I212">
        <v>631</v>
      </c>
      <c r="J212">
        <v>26.93</v>
      </c>
      <c r="K212">
        <v>204.07</v>
      </c>
      <c r="L212" t="s">
        <v>33</v>
      </c>
      <c r="M212" t="s">
        <v>34</v>
      </c>
      <c r="N212" t="s">
        <v>76</v>
      </c>
      <c r="O212">
        <f>SUMIFS(I212:I711,F212:F711,Table8[[#This Row],[Category]],N212:N711,Table8[[#This Row],[Region_Code]])</f>
        <v>16395.170000000002</v>
      </c>
      <c r="P212" s="13">
        <f>SUMIFS(K212:K711,F212:F711,Table8[[#This Row],[Category]],N212:N711,Table8[[#This Row],[Region_Code]])</f>
        <v>4541.1000000000004</v>
      </c>
      <c r="Q212">
        <f>AVERAGEIFS(I212:I711,F212:F711,Table8[[#This Row],[Category]],N212:N711,Table8[[#This Row],[Region_Code]])</f>
        <v>1261.1669230769232</v>
      </c>
      <c r="R212">
        <f>AVERAGEIFS(K212:K711,F212:F711,Table8[[#This Row],[Category]],N212:N711,Table8[[#This Row],[Region_Code]])</f>
        <v>349.31538461538463</v>
      </c>
    </row>
    <row r="213" spans="1:18" x14ac:dyDescent="0.3">
      <c r="A213" t="s">
        <v>549</v>
      </c>
      <c r="B213" t="s">
        <v>550</v>
      </c>
      <c r="C213" t="s">
        <v>162</v>
      </c>
      <c r="D213" t="s">
        <v>241</v>
      </c>
      <c r="E213" t="s">
        <v>46</v>
      </c>
      <c r="F213" t="s">
        <v>47</v>
      </c>
      <c r="G213">
        <v>3</v>
      </c>
      <c r="H213">
        <v>55.1</v>
      </c>
      <c r="I213">
        <v>165.3</v>
      </c>
      <c r="J213">
        <v>9.17</v>
      </c>
      <c r="K213">
        <v>60.13</v>
      </c>
      <c r="L213" t="s">
        <v>24</v>
      </c>
      <c r="M213" t="s">
        <v>25</v>
      </c>
      <c r="N213" t="s">
        <v>35</v>
      </c>
      <c r="O213">
        <f>SUMIFS(I213:I712,F213:F712,Table8[[#This Row],[Category]],N213:N712,Table8[[#This Row],[Region_Code]])</f>
        <v>21058.700000000004</v>
      </c>
      <c r="P213" s="13">
        <f>SUMIFS(K213:K712,F213:F712,Table8[[#This Row],[Category]],N213:N712,Table8[[#This Row],[Region_Code]])</f>
        <v>6477.8300000000008</v>
      </c>
      <c r="Q213">
        <f>AVERAGEIFS(I213:I712,F213:F712,Table8[[#This Row],[Category]],N213:N712,Table8[[#This Row],[Region_Code]])</f>
        <v>726.16206896551739</v>
      </c>
      <c r="R213">
        <f>AVERAGEIFS(K213:K712,F213:F712,Table8[[#This Row],[Category]],N213:N712,Table8[[#This Row],[Region_Code]])</f>
        <v>223.3734482758621</v>
      </c>
    </row>
    <row r="214" spans="1:18" x14ac:dyDescent="0.3">
      <c r="A214" t="s">
        <v>551</v>
      </c>
      <c r="B214" t="s">
        <v>552</v>
      </c>
      <c r="C214" t="s">
        <v>119</v>
      </c>
      <c r="D214" t="s">
        <v>70</v>
      </c>
      <c r="E214" t="s">
        <v>81</v>
      </c>
      <c r="F214" t="s">
        <v>68</v>
      </c>
      <c r="G214">
        <v>26</v>
      </c>
      <c r="H214">
        <v>19.809999999999999</v>
      </c>
      <c r="I214">
        <v>515.05999999999995</v>
      </c>
      <c r="J214">
        <v>10.3</v>
      </c>
      <c r="K214">
        <v>101.76</v>
      </c>
      <c r="L214" t="s">
        <v>48</v>
      </c>
      <c r="M214" t="s">
        <v>34</v>
      </c>
      <c r="N214" t="s">
        <v>76</v>
      </c>
      <c r="O214">
        <f>SUMIFS(I214:I713,F214:F713,Table8[[#This Row],[Category]],N214:N713,Table8[[#This Row],[Region_Code]])</f>
        <v>34410.47</v>
      </c>
      <c r="P214" s="13">
        <f>SUMIFS(K214:K713,F214:F713,Table8[[#This Row],[Category]],N214:N713,Table8[[#This Row],[Region_Code]])</f>
        <v>9193.08</v>
      </c>
      <c r="Q214">
        <f>AVERAGEIFS(I214:I713,F214:F713,Table8[[#This Row],[Category]],N214:N713,Table8[[#This Row],[Region_Code]])</f>
        <v>930.01270270270277</v>
      </c>
      <c r="R214">
        <f>AVERAGEIFS(K214:K713,F214:F713,Table8[[#This Row],[Category]],N214:N713,Table8[[#This Row],[Region_Code]])</f>
        <v>248.46162162162162</v>
      </c>
    </row>
    <row r="215" spans="1:18" x14ac:dyDescent="0.3">
      <c r="A215" t="s">
        <v>553</v>
      </c>
      <c r="B215" t="s">
        <v>554</v>
      </c>
      <c r="C215" t="s">
        <v>174</v>
      </c>
      <c r="D215" t="s">
        <v>123</v>
      </c>
      <c r="E215" t="s">
        <v>56</v>
      </c>
      <c r="F215" t="s">
        <v>57</v>
      </c>
      <c r="G215">
        <v>17</v>
      </c>
      <c r="H215">
        <v>53.34</v>
      </c>
      <c r="I215">
        <v>906.78</v>
      </c>
      <c r="J215">
        <v>30.6</v>
      </c>
      <c r="K215">
        <v>196.18</v>
      </c>
      <c r="L215" t="s">
        <v>24</v>
      </c>
      <c r="M215" t="s">
        <v>34</v>
      </c>
      <c r="N215" t="s">
        <v>76</v>
      </c>
      <c r="O215">
        <f>SUMIFS(I215:I714,F215:F714,Table8[[#This Row],[Category]],N215:N714,Table8[[#This Row],[Region_Code]])</f>
        <v>15764.17</v>
      </c>
      <c r="P215" s="13">
        <f>SUMIFS(K215:K714,F215:F714,Table8[[#This Row],[Category]],N215:N714,Table8[[#This Row],[Region_Code]])</f>
        <v>4337.03</v>
      </c>
      <c r="Q215">
        <f>AVERAGEIFS(I215:I714,F215:F714,Table8[[#This Row],[Category]],N215:N714,Table8[[#This Row],[Region_Code]])</f>
        <v>1313.6808333333333</v>
      </c>
      <c r="R215">
        <f>AVERAGEIFS(K215:K714,F215:F714,Table8[[#This Row],[Category]],N215:N714,Table8[[#This Row],[Region_Code]])</f>
        <v>361.41916666666663</v>
      </c>
    </row>
    <row r="216" spans="1:18" x14ac:dyDescent="0.3">
      <c r="A216" t="s">
        <v>555</v>
      </c>
      <c r="B216" t="s">
        <v>556</v>
      </c>
      <c r="C216" t="s">
        <v>151</v>
      </c>
      <c r="D216" t="s">
        <v>51</v>
      </c>
      <c r="E216" t="s">
        <v>63</v>
      </c>
      <c r="F216" t="s">
        <v>47</v>
      </c>
      <c r="G216">
        <v>17</v>
      </c>
      <c r="H216">
        <v>28.23</v>
      </c>
      <c r="I216">
        <v>479.91</v>
      </c>
      <c r="J216">
        <v>31.88</v>
      </c>
      <c r="K216">
        <v>108.03</v>
      </c>
      <c r="L216" t="s">
        <v>33</v>
      </c>
      <c r="M216" t="s">
        <v>25</v>
      </c>
      <c r="N216" t="s">
        <v>76</v>
      </c>
      <c r="O216">
        <f>SUMIFS(I216:I715,F216:F715,Table8[[#This Row],[Category]],N216:N715,Table8[[#This Row],[Region_Code]])</f>
        <v>16952.25</v>
      </c>
      <c r="P216" s="13">
        <f>SUMIFS(K216:K715,F216:F715,Table8[[#This Row],[Category]],N216:N715,Table8[[#This Row],[Region_Code]])</f>
        <v>4885.17</v>
      </c>
      <c r="Q216">
        <f>AVERAGEIFS(I216:I715,F216:F715,Table8[[#This Row],[Category]],N216:N715,Table8[[#This Row],[Region_Code]])</f>
        <v>706.34375</v>
      </c>
      <c r="R216">
        <f>AVERAGEIFS(K216:K715,F216:F715,Table8[[#This Row],[Category]],N216:N715,Table8[[#This Row],[Region_Code]])</f>
        <v>203.54875000000001</v>
      </c>
    </row>
    <row r="217" spans="1:18" x14ac:dyDescent="0.3">
      <c r="A217" t="s">
        <v>557</v>
      </c>
      <c r="B217" t="s">
        <v>558</v>
      </c>
      <c r="C217" t="s">
        <v>559</v>
      </c>
      <c r="D217" t="s">
        <v>241</v>
      </c>
      <c r="E217" t="s">
        <v>32</v>
      </c>
      <c r="F217" t="s">
        <v>23</v>
      </c>
      <c r="G217">
        <v>42</v>
      </c>
      <c r="H217">
        <v>25.26</v>
      </c>
      <c r="I217">
        <v>1060.92</v>
      </c>
      <c r="J217">
        <v>77.05</v>
      </c>
      <c r="K217">
        <v>227.87</v>
      </c>
      <c r="L217" t="s">
        <v>24</v>
      </c>
      <c r="M217" t="s">
        <v>41</v>
      </c>
      <c r="N217" t="s">
        <v>35</v>
      </c>
      <c r="O217">
        <f>SUMIFS(I217:I716,F217:F716,Table8[[#This Row],[Category]],N217:N716,Table8[[#This Row],[Region_Code]])</f>
        <v>19681.249999999996</v>
      </c>
      <c r="P217" s="13">
        <f>SUMIFS(K217:K716,F217:F716,Table8[[#This Row],[Category]],N217:N716,Table8[[#This Row],[Region_Code]])</f>
        <v>5426.4500000000007</v>
      </c>
      <c r="Q217">
        <f>AVERAGEIFS(I217:I716,F217:F716,Table8[[#This Row],[Category]],N217:N716,Table8[[#This Row],[Region_Code]])</f>
        <v>1157.7205882352939</v>
      </c>
      <c r="R217">
        <f>AVERAGEIFS(K217:K716,F217:F716,Table8[[#This Row],[Category]],N217:N716,Table8[[#This Row],[Region_Code]])</f>
        <v>319.20294117647063</v>
      </c>
    </row>
    <row r="218" spans="1:18" x14ac:dyDescent="0.3">
      <c r="A218" t="s">
        <v>560</v>
      </c>
      <c r="B218" t="s">
        <v>561</v>
      </c>
      <c r="C218" t="s">
        <v>238</v>
      </c>
      <c r="D218" t="s">
        <v>70</v>
      </c>
      <c r="E218" t="s">
        <v>32</v>
      </c>
      <c r="F218" t="s">
        <v>23</v>
      </c>
      <c r="G218">
        <v>2</v>
      </c>
      <c r="H218">
        <v>27.27</v>
      </c>
      <c r="I218">
        <v>54.54</v>
      </c>
      <c r="J218">
        <v>1.45</v>
      </c>
      <c r="K218">
        <v>17.09</v>
      </c>
      <c r="L218" t="s">
        <v>24</v>
      </c>
      <c r="M218" t="s">
        <v>41</v>
      </c>
      <c r="N218" t="s">
        <v>76</v>
      </c>
      <c r="O218">
        <f>SUMIFS(I218:I717,F218:F717,Table8[[#This Row],[Category]],N218:N717,Table8[[#This Row],[Region_Code]])</f>
        <v>13748.179999999997</v>
      </c>
      <c r="P218" s="13">
        <f>SUMIFS(K218:K717,F218:F717,Table8[[#This Row],[Category]],N218:N717,Table8[[#This Row],[Region_Code]])</f>
        <v>3335.18</v>
      </c>
      <c r="Q218">
        <f>AVERAGEIFS(I218:I717,F218:F717,Table8[[#This Row],[Category]],N218:N717,Table8[[#This Row],[Region_Code]])</f>
        <v>687.40899999999988</v>
      </c>
      <c r="R218">
        <f>AVERAGEIFS(K218:K717,F218:F717,Table8[[#This Row],[Category]],N218:N717,Table8[[#This Row],[Region_Code]])</f>
        <v>166.75899999999999</v>
      </c>
    </row>
    <row r="219" spans="1:18" x14ac:dyDescent="0.3">
      <c r="A219" t="s">
        <v>562</v>
      </c>
      <c r="B219" t="s">
        <v>563</v>
      </c>
      <c r="C219" t="s">
        <v>369</v>
      </c>
      <c r="D219" t="s">
        <v>123</v>
      </c>
      <c r="E219" t="s">
        <v>137</v>
      </c>
      <c r="F219" t="s">
        <v>68</v>
      </c>
      <c r="G219">
        <v>48</v>
      </c>
      <c r="H219">
        <v>44.95</v>
      </c>
      <c r="I219">
        <v>2157.6</v>
      </c>
      <c r="J219">
        <v>148.41</v>
      </c>
      <c r="K219">
        <v>665.19</v>
      </c>
      <c r="L219" t="s">
        <v>24</v>
      </c>
      <c r="M219" t="s">
        <v>25</v>
      </c>
      <c r="N219" t="s">
        <v>76</v>
      </c>
      <c r="O219">
        <f>SUMIFS(I219:I718,F219:F718,Table8[[#This Row],[Category]],N219:N718,Table8[[#This Row],[Region_Code]])</f>
        <v>33895.410000000003</v>
      </c>
      <c r="P219" s="13">
        <f>SUMIFS(K219:K718,F219:F718,Table8[[#This Row],[Category]],N219:N718,Table8[[#This Row],[Region_Code]])</f>
        <v>9091.32</v>
      </c>
      <c r="Q219">
        <f>AVERAGEIFS(I219:I718,F219:F718,Table8[[#This Row],[Category]],N219:N718,Table8[[#This Row],[Region_Code]])</f>
        <v>941.5391666666668</v>
      </c>
      <c r="R219">
        <f>AVERAGEIFS(K219:K718,F219:F718,Table8[[#This Row],[Category]],N219:N718,Table8[[#This Row],[Region_Code]])</f>
        <v>252.53666666666666</v>
      </c>
    </row>
    <row r="220" spans="1:18" x14ac:dyDescent="0.3">
      <c r="A220" t="s">
        <v>564</v>
      </c>
      <c r="B220" t="s">
        <v>400</v>
      </c>
      <c r="C220" t="s">
        <v>559</v>
      </c>
      <c r="D220" t="s">
        <v>116</v>
      </c>
      <c r="E220" t="s">
        <v>63</v>
      </c>
      <c r="F220" t="s">
        <v>47</v>
      </c>
      <c r="G220">
        <v>23</v>
      </c>
      <c r="H220">
        <v>28.6</v>
      </c>
      <c r="I220">
        <v>657.8</v>
      </c>
      <c r="J220">
        <v>13.36</v>
      </c>
      <c r="K220">
        <v>184.44</v>
      </c>
      <c r="L220" t="s">
        <v>24</v>
      </c>
      <c r="M220" t="s">
        <v>41</v>
      </c>
      <c r="N220" t="s">
        <v>76</v>
      </c>
      <c r="O220">
        <f>SUMIFS(I220:I719,F220:F719,Table8[[#This Row],[Category]],N220:N719,Table8[[#This Row],[Region_Code]])</f>
        <v>16472.339999999997</v>
      </c>
      <c r="P220" s="13">
        <f>SUMIFS(K220:K719,F220:F719,Table8[[#This Row],[Category]],N220:N719,Table8[[#This Row],[Region_Code]])</f>
        <v>4777.1400000000003</v>
      </c>
      <c r="Q220">
        <f>AVERAGEIFS(I220:I719,F220:F719,Table8[[#This Row],[Category]],N220:N719,Table8[[#This Row],[Region_Code]])</f>
        <v>716.18869565217381</v>
      </c>
      <c r="R220">
        <f>AVERAGEIFS(K220:K719,F220:F719,Table8[[#This Row],[Category]],N220:N719,Table8[[#This Row],[Region_Code]])</f>
        <v>207.70173913043479</v>
      </c>
    </row>
    <row r="221" spans="1:18" x14ac:dyDescent="0.3">
      <c r="A221" t="s">
        <v>565</v>
      </c>
      <c r="B221" t="s">
        <v>309</v>
      </c>
      <c r="C221" t="s">
        <v>174</v>
      </c>
      <c r="D221" t="s">
        <v>171</v>
      </c>
      <c r="E221" t="s">
        <v>81</v>
      </c>
      <c r="F221" t="s">
        <v>68</v>
      </c>
      <c r="G221">
        <v>18</v>
      </c>
      <c r="H221">
        <v>26.1</v>
      </c>
      <c r="I221">
        <v>469.8</v>
      </c>
      <c r="J221">
        <v>19.52</v>
      </c>
      <c r="K221">
        <v>171.28</v>
      </c>
      <c r="L221" t="s">
        <v>48</v>
      </c>
      <c r="M221" t="s">
        <v>25</v>
      </c>
      <c r="N221" t="s">
        <v>35</v>
      </c>
      <c r="O221">
        <f>SUMIFS(I221:I720,F221:F720,Table8[[#This Row],[Category]],N221:N720,Table8[[#This Row],[Region_Code]])</f>
        <v>20180.490000000002</v>
      </c>
      <c r="P221" s="13">
        <f>SUMIFS(K221:K720,F221:F720,Table8[[#This Row],[Category]],N221:N720,Table8[[#This Row],[Region_Code]])</f>
        <v>5705.0399999999991</v>
      </c>
      <c r="Q221">
        <f>AVERAGEIFS(I221:I720,F221:F720,Table8[[#This Row],[Category]],N221:N720,Table8[[#This Row],[Region_Code]])</f>
        <v>917.29500000000007</v>
      </c>
      <c r="R221">
        <f>AVERAGEIFS(K221:K720,F221:F720,Table8[[#This Row],[Category]],N221:N720,Table8[[#This Row],[Region_Code]])</f>
        <v>259.31999999999994</v>
      </c>
    </row>
    <row r="222" spans="1:18" x14ac:dyDescent="0.3">
      <c r="A222" t="s">
        <v>566</v>
      </c>
      <c r="B222" t="s">
        <v>567</v>
      </c>
      <c r="C222" t="s">
        <v>568</v>
      </c>
      <c r="D222" t="s">
        <v>62</v>
      </c>
      <c r="E222" t="s">
        <v>137</v>
      </c>
      <c r="F222" t="s">
        <v>68</v>
      </c>
      <c r="G222">
        <v>21</v>
      </c>
      <c r="H222">
        <v>37.450000000000003</v>
      </c>
      <c r="I222">
        <v>786.45</v>
      </c>
      <c r="J222">
        <v>62.4</v>
      </c>
      <c r="K222">
        <v>136.05000000000001</v>
      </c>
      <c r="L222" t="s">
        <v>24</v>
      </c>
      <c r="M222" t="s">
        <v>41</v>
      </c>
      <c r="N222" t="s">
        <v>98</v>
      </c>
      <c r="O222">
        <f>SUMIFS(I222:I721,F222:F721,Table8[[#This Row],[Category]],N222:N721,Table8[[#This Row],[Region_Code]])</f>
        <v>17695.180000000004</v>
      </c>
      <c r="P222" s="13">
        <f>SUMIFS(K222:K721,F222:F721,Table8[[#This Row],[Category]],N222:N721,Table8[[#This Row],[Region_Code]])</f>
        <v>5258.7800000000007</v>
      </c>
      <c r="Q222">
        <f>AVERAGEIFS(I222:I721,F222:F721,Table8[[#This Row],[Category]],N222:N721,Table8[[#This Row],[Region_Code]])</f>
        <v>983.06555555555576</v>
      </c>
      <c r="R222">
        <f>AVERAGEIFS(K222:K721,F222:F721,Table8[[#This Row],[Category]],N222:N721,Table8[[#This Row],[Region_Code]])</f>
        <v>292.15444444444449</v>
      </c>
    </row>
    <row r="223" spans="1:18" x14ac:dyDescent="0.3">
      <c r="A223" t="s">
        <v>569</v>
      </c>
      <c r="B223" t="s">
        <v>570</v>
      </c>
      <c r="C223" t="s">
        <v>511</v>
      </c>
      <c r="D223" t="s">
        <v>116</v>
      </c>
      <c r="E223" t="s">
        <v>63</v>
      </c>
      <c r="F223" t="s">
        <v>47</v>
      </c>
      <c r="G223">
        <v>25</v>
      </c>
      <c r="H223">
        <v>28.54</v>
      </c>
      <c r="I223">
        <v>713.5</v>
      </c>
      <c r="J223">
        <v>50.38</v>
      </c>
      <c r="K223">
        <v>163.12</v>
      </c>
      <c r="L223" t="s">
        <v>24</v>
      </c>
      <c r="M223" t="s">
        <v>25</v>
      </c>
      <c r="N223" t="s">
        <v>76</v>
      </c>
      <c r="O223">
        <f>SUMIFS(I223:I722,F223:F722,Table8[[#This Row],[Category]],N223:N722,Table8[[#This Row],[Region_Code]])</f>
        <v>15814.539999999997</v>
      </c>
      <c r="P223" s="13">
        <f>SUMIFS(K223:K722,F223:F722,Table8[[#This Row],[Category]],N223:N722,Table8[[#This Row],[Region_Code]])</f>
        <v>4592.6999999999989</v>
      </c>
      <c r="Q223">
        <f>AVERAGEIFS(I223:I722,F223:F722,Table8[[#This Row],[Category]],N223:N722,Table8[[#This Row],[Region_Code]])</f>
        <v>718.84272727272719</v>
      </c>
      <c r="R223">
        <f>AVERAGEIFS(K223:K722,F223:F722,Table8[[#This Row],[Category]],N223:N722,Table8[[#This Row],[Region_Code]])</f>
        <v>208.75909090909087</v>
      </c>
    </row>
    <row r="224" spans="1:18" x14ac:dyDescent="0.3">
      <c r="A224" t="s">
        <v>571</v>
      </c>
      <c r="B224" t="s">
        <v>303</v>
      </c>
      <c r="C224" t="s">
        <v>182</v>
      </c>
      <c r="D224" t="s">
        <v>21</v>
      </c>
      <c r="E224" t="s">
        <v>74</v>
      </c>
      <c r="F224" t="s">
        <v>75</v>
      </c>
      <c r="G224">
        <v>11</v>
      </c>
      <c r="H224">
        <v>38.07</v>
      </c>
      <c r="I224">
        <v>418.77</v>
      </c>
      <c r="J224">
        <v>29.02</v>
      </c>
      <c r="K224">
        <v>114.75</v>
      </c>
      <c r="L224" t="s">
        <v>33</v>
      </c>
      <c r="M224" t="s">
        <v>25</v>
      </c>
      <c r="N224" t="s">
        <v>98</v>
      </c>
      <c r="O224">
        <f>SUMIFS(I224:I723,F224:F723,Table8[[#This Row],[Category]],N224:N723,Table8[[#This Row],[Region_Code]])</f>
        <v>2508.2300000000005</v>
      </c>
      <c r="P224" s="13">
        <f>SUMIFS(K224:K723,F224:F723,Table8[[#This Row],[Category]],N224:N723,Table8[[#This Row],[Region_Code]])</f>
        <v>660.28000000000009</v>
      </c>
      <c r="Q224">
        <f>AVERAGEIFS(I224:I723,F224:F723,Table8[[#This Row],[Category]],N224:N723,Table8[[#This Row],[Region_Code]])</f>
        <v>627.05750000000012</v>
      </c>
      <c r="R224">
        <f>AVERAGEIFS(K224:K723,F224:F723,Table8[[#This Row],[Category]],N224:N723,Table8[[#This Row],[Region_Code]])</f>
        <v>165.07000000000002</v>
      </c>
    </row>
    <row r="225" spans="1:18" x14ac:dyDescent="0.3">
      <c r="A225" t="s">
        <v>572</v>
      </c>
      <c r="B225" t="s">
        <v>573</v>
      </c>
      <c r="C225" t="s">
        <v>574</v>
      </c>
      <c r="D225" t="s">
        <v>55</v>
      </c>
      <c r="E225" t="s">
        <v>81</v>
      </c>
      <c r="F225" t="s">
        <v>68</v>
      </c>
      <c r="G225">
        <v>18</v>
      </c>
      <c r="H225">
        <v>19.32</v>
      </c>
      <c r="I225">
        <v>347.76</v>
      </c>
      <c r="J225">
        <v>21.34</v>
      </c>
      <c r="K225">
        <v>47.42</v>
      </c>
      <c r="L225" t="s">
        <v>33</v>
      </c>
      <c r="M225" t="s">
        <v>25</v>
      </c>
      <c r="N225" t="s">
        <v>98</v>
      </c>
      <c r="O225">
        <f>SUMIFS(I225:I724,F225:F724,Table8[[#This Row],[Category]],N225:N724,Table8[[#This Row],[Region_Code]])</f>
        <v>16908.730000000003</v>
      </c>
      <c r="P225" s="13">
        <f>SUMIFS(K225:K724,F225:F724,Table8[[#This Row],[Category]],N225:N724,Table8[[#This Row],[Region_Code]])</f>
        <v>5122.7300000000005</v>
      </c>
      <c r="Q225">
        <f>AVERAGEIFS(I225:I724,F225:F724,Table8[[#This Row],[Category]],N225:N724,Table8[[#This Row],[Region_Code]])</f>
        <v>994.63117647058846</v>
      </c>
      <c r="R225">
        <f>AVERAGEIFS(K225:K724,F225:F724,Table8[[#This Row],[Category]],N225:N724,Table8[[#This Row],[Region_Code]])</f>
        <v>301.33705882352945</v>
      </c>
    </row>
    <row r="226" spans="1:18" x14ac:dyDescent="0.3">
      <c r="A226" t="s">
        <v>575</v>
      </c>
      <c r="B226" t="s">
        <v>281</v>
      </c>
      <c r="C226" t="s">
        <v>110</v>
      </c>
      <c r="D226" t="s">
        <v>31</v>
      </c>
      <c r="E226" t="s">
        <v>137</v>
      </c>
      <c r="F226" t="s">
        <v>68</v>
      </c>
      <c r="G226">
        <v>42</v>
      </c>
      <c r="H226">
        <v>50.02</v>
      </c>
      <c r="I226">
        <v>2100.84</v>
      </c>
      <c r="J226">
        <v>89.65</v>
      </c>
      <c r="K226">
        <v>835.19</v>
      </c>
      <c r="L226" t="s">
        <v>33</v>
      </c>
      <c r="M226" t="s">
        <v>34</v>
      </c>
      <c r="N226" t="s">
        <v>35</v>
      </c>
      <c r="O226">
        <f>SUMIFS(I226:I725,F226:F725,Table8[[#This Row],[Category]],N226:N725,Table8[[#This Row],[Region_Code]])</f>
        <v>19710.690000000002</v>
      </c>
      <c r="P226" s="13">
        <f>SUMIFS(K226:K725,F226:F725,Table8[[#This Row],[Category]],N226:N725,Table8[[#This Row],[Region_Code]])</f>
        <v>5533.7599999999984</v>
      </c>
      <c r="Q226">
        <f>AVERAGEIFS(I226:I725,F226:F725,Table8[[#This Row],[Category]],N226:N725,Table8[[#This Row],[Region_Code]])</f>
        <v>938.60428571428588</v>
      </c>
      <c r="R226">
        <f>AVERAGEIFS(K226:K725,F226:F725,Table8[[#This Row],[Category]],N226:N725,Table8[[#This Row],[Region_Code]])</f>
        <v>263.51238095238085</v>
      </c>
    </row>
    <row r="227" spans="1:18" x14ac:dyDescent="0.3">
      <c r="A227" t="s">
        <v>576</v>
      </c>
      <c r="B227" t="s">
        <v>577</v>
      </c>
      <c r="C227" t="s">
        <v>410</v>
      </c>
      <c r="D227" t="s">
        <v>206</v>
      </c>
      <c r="E227" t="s">
        <v>137</v>
      </c>
      <c r="F227" t="s">
        <v>68</v>
      </c>
      <c r="G227">
        <v>13</v>
      </c>
      <c r="H227">
        <v>49.39</v>
      </c>
      <c r="I227">
        <v>642.07000000000005</v>
      </c>
      <c r="J227">
        <v>38.32</v>
      </c>
      <c r="K227">
        <v>239.75</v>
      </c>
      <c r="L227" t="s">
        <v>33</v>
      </c>
      <c r="M227" t="s">
        <v>25</v>
      </c>
      <c r="N227" t="s">
        <v>207</v>
      </c>
      <c r="O227">
        <f>SUMIFS(I227:I726,F227:F726,Table8[[#This Row],[Category]],N227:N726,Table8[[#This Row],[Region_Code]])</f>
        <v>5050.5</v>
      </c>
      <c r="P227" s="13">
        <f>SUMIFS(K227:K726,F227:F726,Table8[[#This Row],[Category]],N227:N726,Table8[[#This Row],[Region_Code]])</f>
        <v>1635.63</v>
      </c>
      <c r="Q227">
        <f>AVERAGEIFS(I227:I726,F227:F726,Table8[[#This Row],[Category]],N227:N726,Table8[[#This Row],[Region_Code]])</f>
        <v>841.75</v>
      </c>
      <c r="R227">
        <f>AVERAGEIFS(K227:K726,F227:F726,Table8[[#This Row],[Category]],N227:N726,Table8[[#This Row],[Region_Code]])</f>
        <v>272.60500000000002</v>
      </c>
    </row>
    <row r="228" spans="1:18" x14ac:dyDescent="0.3">
      <c r="A228" t="s">
        <v>578</v>
      </c>
      <c r="B228" t="s">
        <v>579</v>
      </c>
      <c r="C228" t="s">
        <v>188</v>
      </c>
      <c r="D228" t="s">
        <v>31</v>
      </c>
      <c r="E228" t="s">
        <v>32</v>
      </c>
      <c r="F228" t="s">
        <v>23</v>
      </c>
      <c r="G228">
        <v>15</v>
      </c>
      <c r="H228">
        <v>22.86</v>
      </c>
      <c r="I228">
        <v>342.9</v>
      </c>
      <c r="J228">
        <v>27.16</v>
      </c>
      <c r="K228">
        <v>45.74</v>
      </c>
      <c r="L228" t="s">
        <v>48</v>
      </c>
      <c r="M228" t="s">
        <v>41</v>
      </c>
      <c r="N228" t="s">
        <v>35</v>
      </c>
      <c r="O228">
        <f>SUMIFS(I228:I727,F228:F727,Table8[[#This Row],[Category]],N228:N727,Table8[[#This Row],[Region_Code]])</f>
        <v>18620.330000000002</v>
      </c>
      <c r="P228" s="13">
        <f>SUMIFS(K228:K727,F228:F727,Table8[[#This Row],[Category]],N228:N727,Table8[[#This Row],[Region_Code]])</f>
        <v>5198.58</v>
      </c>
      <c r="Q228">
        <f>AVERAGEIFS(I228:I727,F228:F727,Table8[[#This Row],[Category]],N228:N727,Table8[[#This Row],[Region_Code]])</f>
        <v>1163.7706250000001</v>
      </c>
      <c r="R228">
        <f>AVERAGEIFS(K228:K727,F228:F727,Table8[[#This Row],[Category]],N228:N727,Table8[[#This Row],[Region_Code]])</f>
        <v>324.91125</v>
      </c>
    </row>
    <row r="229" spans="1:18" x14ac:dyDescent="0.3">
      <c r="A229" t="s">
        <v>580</v>
      </c>
      <c r="B229" t="s">
        <v>581</v>
      </c>
      <c r="C229" t="s">
        <v>568</v>
      </c>
      <c r="D229" t="s">
        <v>70</v>
      </c>
      <c r="E229" t="s">
        <v>74</v>
      </c>
      <c r="F229" t="s">
        <v>75</v>
      </c>
      <c r="G229">
        <v>37</v>
      </c>
      <c r="H229">
        <v>37.270000000000003</v>
      </c>
      <c r="I229">
        <v>1378.99</v>
      </c>
      <c r="J229">
        <v>92.92</v>
      </c>
      <c r="K229">
        <v>361.07</v>
      </c>
      <c r="L229" t="s">
        <v>24</v>
      </c>
      <c r="M229" t="s">
        <v>25</v>
      </c>
      <c r="N229" t="s">
        <v>76</v>
      </c>
      <c r="O229">
        <f>SUMIFS(I229:I728,F229:F728,Table8[[#This Row],[Category]],N229:N728,Table8[[#This Row],[Region_Code]])</f>
        <v>15403.26</v>
      </c>
      <c r="P229" s="13">
        <f>SUMIFS(K229:K728,F229:F728,Table8[[#This Row],[Category]],N229:N728,Table8[[#This Row],[Region_Code]])</f>
        <v>3989.83</v>
      </c>
      <c r="Q229">
        <f>AVERAGEIFS(I229:I728,F229:F728,Table8[[#This Row],[Category]],N229:N728,Table8[[#This Row],[Region_Code]])</f>
        <v>1026.884</v>
      </c>
      <c r="R229">
        <f>AVERAGEIFS(K229:K728,F229:F728,Table8[[#This Row],[Category]],N229:N728,Table8[[#This Row],[Region_Code]])</f>
        <v>265.98866666666669</v>
      </c>
    </row>
    <row r="230" spans="1:18" x14ac:dyDescent="0.3">
      <c r="A230" t="s">
        <v>582</v>
      </c>
      <c r="B230" t="s">
        <v>583</v>
      </c>
      <c r="C230" t="s">
        <v>61</v>
      </c>
      <c r="D230" t="s">
        <v>171</v>
      </c>
      <c r="E230" t="s">
        <v>22</v>
      </c>
      <c r="F230" t="s">
        <v>23</v>
      </c>
      <c r="G230">
        <v>49</v>
      </c>
      <c r="H230">
        <v>54.05</v>
      </c>
      <c r="I230">
        <v>2648.45</v>
      </c>
      <c r="J230">
        <v>66.8</v>
      </c>
      <c r="K230">
        <v>866.65</v>
      </c>
      <c r="L230" t="s">
        <v>48</v>
      </c>
      <c r="M230" t="s">
        <v>25</v>
      </c>
      <c r="N230" t="s">
        <v>35</v>
      </c>
      <c r="O230">
        <f>SUMIFS(I230:I729,F230:F729,Table8[[#This Row],[Category]],N230:N729,Table8[[#This Row],[Region_Code]])</f>
        <v>18277.43</v>
      </c>
      <c r="P230" s="13">
        <f>SUMIFS(K230:K729,F230:F729,Table8[[#This Row],[Category]],N230:N729,Table8[[#This Row],[Region_Code]])</f>
        <v>5152.84</v>
      </c>
      <c r="Q230">
        <f>AVERAGEIFS(I230:I729,F230:F729,Table8[[#This Row],[Category]],N230:N729,Table8[[#This Row],[Region_Code]])</f>
        <v>1218.4953333333333</v>
      </c>
      <c r="R230">
        <f>AVERAGEIFS(K230:K729,F230:F729,Table8[[#This Row],[Category]],N230:N729,Table8[[#This Row],[Region_Code]])</f>
        <v>343.52266666666668</v>
      </c>
    </row>
    <row r="231" spans="1:18" x14ac:dyDescent="0.3">
      <c r="A231" t="s">
        <v>584</v>
      </c>
      <c r="B231" t="s">
        <v>585</v>
      </c>
      <c r="C231" t="s">
        <v>586</v>
      </c>
      <c r="D231" t="s">
        <v>31</v>
      </c>
      <c r="E231" t="s">
        <v>86</v>
      </c>
      <c r="F231" t="s">
        <v>47</v>
      </c>
      <c r="G231">
        <v>33</v>
      </c>
      <c r="H231">
        <v>20.059999999999999</v>
      </c>
      <c r="I231">
        <v>661.98</v>
      </c>
      <c r="J231">
        <v>50.02</v>
      </c>
      <c r="K231">
        <v>191.21</v>
      </c>
      <c r="L231" t="s">
        <v>48</v>
      </c>
      <c r="M231" t="s">
        <v>34</v>
      </c>
      <c r="N231" t="s">
        <v>35</v>
      </c>
      <c r="O231">
        <f>SUMIFS(I231:I730,F231:F730,Table8[[#This Row],[Category]],N231:N730,Table8[[#This Row],[Region_Code]])</f>
        <v>20893.400000000001</v>
      </c>
      <c r="P231" s="13">
        <f>SUMIFS(K231:K730,F231:F730,Table8[[#This Row],[Category]],N231:N730,Table8[[#This Row],[Region_Code]])</f>
        <v>6417.7</v>
      </c>
      <c r="Q231">
        <f>AVERAGEIFS(I231:I730,F231:F730,Table8[[#This Row],[Category]],N231:N730,Table8[[#This Row],[Region_Code]])</f>
        <v>746.19285714285718</v>
      </c>
      <c r="R231">
        <f>AVERAGEIFS(K231:K730,F231:F730,Table8[[#This Row],[Category]],N231:N730,Table8[[#This Row],[Region_Code]])</f>
        <v>229.20357142857142</v>
      </c>
    </row>
    <row r="232" spans="1:18" x14ac:dyDescent="0.3">
      <c r="A232" t="s">
        <v>587</v>
      </c>
      <c r="B232" t="s">
        <v>588</v>
      </c>
      <c r="C232" t="s">
        <v>328</v>
      </c>
      <c r="D232" t="s">
        <v>241</v>
      </c>
      <c r="E232" t="s">
        <v>137</v>
      </c>
      <c r="F232" t="s">
        <v>68</v>
      </c>
      <c r="G232">
        <v>49</v>
      </c>
      <c r="H232">
        <v>35.68</v>
      </c>
      <c r="I232">
        <v>1748.32</v>
      </c>
      <c r="J232">
        <v>124.47</v>
      </c>
      <c r="K232">
        <v>251.85</v>
      </c>
      <c r="L232" t="s">
        <v>48</v>
      </c>
      <c r="M232" t="s">
        <v>41</v>
      </c>
      <c r="N232" t="s">
        <v>35</v>
      </c>
      <c r="O232">
        <f>SUMIFS(I232:I731,F232:F731,Table8[[#This Row],[Category]],N232:N731,Table8[[#This Row],[Region_Code]])</f>
        <v>17609.849999999999</v>
      </c>
      <c r="P232" s="13">
        <f>SUMIFS(K232:K731,F232:F731,Table8[[#This Row],[Category]],N232:N731,Table8[[#This Row],[Region_Code]])</f>
        <v>4698.5699999999988</v>
      </c>
      <c r="Q232">
        <f>AVERAGEIFS(I232:I731,F232:F731,Table8[[#This Row],[Category]],N232:N731,Table8[[#This Row],[Region_Code]])</f>
        <v>880.49249999999995</v>
      </c>
      <c r="R232">
        <f>AVERAGEIFS(K232:K731,F232:F731,Table8[[#This Row],[Category]],N232:N731,Table8[[#This Row],[Region_Code]])</f>
        <v>234.92849999999993</v>
      </c>
    </row>
    <row r="233" spans="1:18" x14ac:dyDescent="0.3">
      <c r="A233" t="s">
        <v>589</v>
      </c>
      <c r="B233" t="s">
        <v>590</v>
      </c>
      <c r="C233" t="s">
        <v>40</v>
      </c>
      <c r="D233" t="s">
        <v>70</v>
      </c>
      <c r="E233" t="s">
        <v>74</v>
      </c>
      <c r="F233" t="s">
        <v>75</v>
      </c>
      <c r="G233">
        <v>23</v>
      </c>
      <c r="H233">
        <v>30.89</v>
      </c>
      <c r="I233">
        <v>710.47</v>
      </c>
      <c r="J233">
        <v>18.739999999999998</v>
      </c>
      <c r="K233">
        <v>116.73</v>
      </c>
      <c r="L233" t="s">
        <v>33</v>
      </c>
      <c r="M233" t="s">
        <v>25</v>
      </c>
      <c r="N233" t="s">
        <v>76</v>
      </c>
      <c r="O233">
        <f>SUMIFS(I233:I732,F233:F732,Table8[[#This Row],[Category]],N233:N732,Table8[[#This Row],[Region_Code]])</f>
        <v>14024.269999999999</v>
      </c>
      <c r="P233" s="13">
        <f>SUMIFS(K233:K732,F233:F732,Table8[[#This Row],[Category]],N233:N732,Table8[[#This Row],[Region_Code]])</f>
        <v>3628.76</v>
      </c>
      <c r="Q233">
        <f>AVERAGEIFS(I233:I732,F233:F732,Table8[[#This Row],[Category]],N233:N732,Table8[[#This Row],[Region_Code]])</f>
        <v>1001.7335714285713</v>
      </c>
      <c r="R233">
        <f>AVERAGEIFS(K233:K732,F233:F732,Table8[[#This Row],[Category]],N233:N732,Table8[[#This Row],[Region_Code]])</f>
        <v>259.19714285714286</v>
      </c>
    </row>
    <row r="234" spans="1:18" x14ac:dyDescent="0.3">
      <c r="A234" t="s">
        <v>591</v>
      </c>
      <c r="B234" t="s">
        <v>101</v>
      </c>
      <c r="C234" t="s">
        <v>44</v>
      </c>
      <c r="D234" t="s">
        <v>171</v>
      </c>
      <c r="E234" t="s">
        <v>22</v>
      </c>
      <c r="F234" t="s">
        <v>23</v>
      </c>
      <c r="G234">
        <v>14</v>
      </c>
      <c r="H234">
        <v>59.6</v>
      </c>
      <c r="I234">
        <v>834.4</v>
      </c>
      <c r="J234">
        <v>19.11</v>
      </c>
      <c r="K234">
        <v>325.29000000000002</v>
      </c>
      <c r="L234" t="s">
        <v>33</v>
      </c>
      <c r="M234" t="s">
        <v>34</v>
      </c>
      <c r="N234" t="s">
        <v>35</v>
      </c>
      <c r="O234">
        <f>SUMIFS(I234:I733,F234:F733,Table8[[#This Row],[Category]],N234:N733,Table8[[#This Row],[Region_Code]])</f>
        <v>15628.98</v>
      </c>
      <c r="P234" s="13">
        <f>SUMIFS(K234:K733,F234:F733,Table8[[#This Row],[Category]],N234:N733,Table8[[#This Row],[Region_Code]])</f>
        <v>4286.1900000000005</v>
      </c>
      <c r="Q234">
        <f>AVERAGEIFS(I234:I733,F234:F733,Table8[[#This Row],[Category]],N234:N733,Table8[[#This Row],[Region_Code]])</f>
        <v>1116.3557142857142</v>
      </c>
      <c r="R234">
        <f>AVERAGEIFS(K234:K733,F234:F733,Table8[[#This Row],[Category]],N234:N733,Table8[[#This Row],[Region_Code]])</f>
        <v>306.15642857142859</v>
      </c>
    </row>
    <row r="235" spans="1:18" x14ac:dyDescent="0.3">
      <c r="A235" t="s">
        <v>592</v>
      </c>
      <c r="B235" t="s">
        <v>314</v>
      </c>
      <c r="C235" t="s">
        <v>480</v>
      </c>
      <c r="D235" t="s">
        <v>241</v>
      </c>
      <c r="E235" t="s">
        <v>67</v>
      </c>
      <c r="F235" t="s">
        <v>68</v>
      </c>
      <c r="G235">
        <v>3</v>
      </c>
      <c r="H235">
        <v>28.36</v>
      </c>
      <c r="I235">
        <v>85.08</v>
      </c>
      <c r="J235">
        <v>4.46</v>
      </c>
      <c r="K235">
        <v>13.12</v>
      </c>
      <c r="L235" t="s">
        <v>24</v>
      </c>
      <c r="M235" t="s">
        <v>34</v>
      </c>
      <c r="N235" t="s">
        <v>35</v>
      </c>
      <c r="O235">
        <f>SUMIFS(I235:I734,F235:F734,Table8[[#This Row],[Category]],N235:N734,Table8[[#This Row],[Region_Code]])</f>
        <v>15861.530000000002</v>
      </c>
      <c r="P235" s="13">
        <f>SUMIFS(K235:K734,F235:F734,Table8[[#This Row],[Category]],N235:N734,Table8[[#This Row],[Region_Code]])</f>
        <v>4446.72</v>
      </c>
      <c r="Q235">
        <f>AVERAGEIFS(I235:I734,F235:F734,Table8[[#This Row],[Category]],N235:N734,Table8[[#This Row],[Region_Code]])</f>
        <v>834.81736842105272</v>
      </c>
      <c r="R235">
        <f>AVERAGEIFS(K235:K734,F235:F734,Table8[[#This Row],[Category]],N235:N734,Table8[[#This Row],[Region_Code]])</f>
        <v>234.03789473684211</v>
      </c>
    </row>
    <row r="236" spans="1:18" x14ac:dyDescent="0.3">
      <c r="A236" t="s">
        <v>593</v>
      </c>
      <c r="B236" t="s">
        <v>398</v>
      </c>
      <c r="C236" t="s">
        <v>216</v>
      </c>
      <c r="D236" t="s">
        <v>241</v>
      </c>
      <c r="E236" t="s">
        <v>86</v>
      </c>
      <c r="F236" t="s">
        <v>47</v>
      </c>
      <c r="G236">
        <v>28</v>
      </c>
      <c r="H236">
        <v>22.13</v>
      </c>
      <c r="I236">
        <v>619.64</v>
      </c>
      <c r="J236">
        <v>17.2</v>
      </c>
      <c r="K236">
        <v>245.44</v>
      </c>
      <c r="L236" t="s">
        <v>33</v>
      </c>
      <c r="M236" t="s">
        <v>41</v>
      </c>
      <c r="N236" t="s">
        <v>35</v>
      </c>
      <c r="O236">
        <f>SUMIFS(I236:I735,F236:F735,Table8[[#This Row],[Category]],N236:N735,Table8[[#This Row],[Region_Code]])</f>
        <v>20231.420000000002</v>
      </c>
      <c r="P236" s="13">
        <f>SUMIFS(K236:K735,F236:F735,Table8[[#This Row],[Category]],N236:N735,Table8[[#This Row],[Region_Code]])</f>
        <v>6226.4899999999989</v>
      </c>
      <c r="Q236">
        <f>AVERAGEIFS(I236:I735,F236:F735,Table8[[#This Row],[Category]],N236:N735,Table8[[#This Row],[Region_Code]])</f>
        <v>749.31185185185188</v>
      </c>
      <c r="R236">
        <f>AVERAGEIFS(K236:K735,F236:F735,Table8[[#This Row],[Category]],N236:N735,Table8[[#This Row],[Region_Code]])</f>
        <v>230.61074074074071</v>
      </c>
    </row>
    <row r="237" spans="1:18" x14ac:dyDescent="0.3">
      <c r="A237" t="s">
        <v>594</v>
      </c>
      <c r="B237" t="s">
        <v>388</v>
      </c>
      <c r="C237" t="s">
        <v>372</v>
      </c>
      <c r="D237" t="s">
        <v>21</v>
      </c>
      <c r="E237" t="s">
        <v>32</v>
      </c>
      <c r="F237" t="s">
        <v>23</v>
      </c>
      <c r="G237">
        <v>28</v>
      </c>
      <c r="H237">
        <v>27.62</v>
      </c>
      <c r="I237">
        <v>773.36</v>
      </c>
      <c r="J237">
        <v>29.88</v>
      </c>
      <c r="K237">
        <v>239.48</v>
      </c>
      <c r="L237" t="s">
        <v>24</v>
      </c>
      <c r="M237" t="s">
        <v>25</v>
      </c>
      <c r="N237" t="s">
        <v>98</v>
      </c>
      <c r="O237">
        <f>SUMIFS(I237:I736,F237:F736,Table8[[#This Row],[Category]],N237:N736,Table8[[#This Row],[Region_Code]])</f>
        <v>8397.19</v>
      </c>
      <c r="P237" s="13">
        <f>SUMIFS(K237:K736,F237:F736,Table8[[#This Row],[Category]],N237:N736,Table8[[#This Row],[Region_Code]])</f>
        <v>2206.86</v>
      </c>
      <c r="Q237">
        <f>AVERAGEIFS(I237:I736,F237:F736,Table8[[#This Row],[Category]],N237:N736,Table8[[#This Row],[Region_Code]])</f>
        <v>1049.6487500000001</v>
      </c>
      <c r="R237">
        <f>AVERAGEIFS(K237:K736,F237:F736,Table8[[#This Row],[Category]],N237:N736,Table8[[#This Row],[Region_Code]])</f>
        <v>275.85750000000002</v>
      </c>
    </row>
    <row r="238" spans="1:18" x14ac:dyDescent="0.3">
      <c r="A238" t="s">
        <v>595</v>
      </c>
      <c r="B238" t="s">
        <v>596</v>
      </c>
      <c r="C238" t="s">
        <v>194</v>
      </c>
      <c r="D238" t="s">
        <v>55</v>
      </c>
      <c r="E238" t="s">
        <v>74</v>
      </c>
      <c r="F238" t="s">
        <v>75</v>
      </c>
      <c r="G238">
        <v>40</v>
      </c>
      <c r="H238">
        <v>34.229999999999997</v>
      </c>
      <c r="I238">
        <v>1369.2</v>
      </c>
      <c r="J238">
        <v>78.03</v>
      </c>
      <c r="K238">
        <v>291.17</v>
      </c>
      <c r="L238" t="s">
        <v>24</v>
      </c>
      <c r="M238" t="s">
        <v>25</v>
      </c>
      <c r="N238" t="s">
        <v>98</v>
      </c>
      <c r="O238">
        <f>SUMIFS(I238:I737,F238:F737,Table8[[#This Row],[Category]],N238:N737,Table8[[#This Row],[Region_Code]])</f>
        <v>2089.46</v>
      </c>
      <c r="P238" s="13">
        <f>SUMIFS(K238:K737,F238:F737,Table8[[#This Row],[Category]],N238:N737,Table8[[#This Row],[Region_Code]])</f>
        <v>545.53000000000009</v>
      </c>
      <c r="Q238">
        <f>AVERAGEIFS(I238:I737,F238:F737,Table8[[#This Row],[Category]],N238:N737,Table8[[#This Row],[Region_Code]])</f>
        <v>696.48666666666668</v>
      </c>
      <c r="R238">
        <f>AVERAGEIFS(K238:K737,F238:F737,Table8[[#This Row],[Category]],N238:N737,Table8[[#This Row],[Region_Code]])</f>
        <v>181.84333333333336</v>
      </c>
    </row>
    <row r="239" spans="1:18" x14ac:dyDescent="0.3">
      <c r="A239" t="s">
        <v>597</v>
      </c>
      <c r="B239" t="s">
        <v>598</v>
      </c>
      <c r="C239" t="s">
        <v>285</v>
      </c>
      <c r="D239" t="s">
        <v>127</v>
      </c>
      <c r="E239" t="s">
        <v>56</v>
      </c>
      <c r="F239" t="s">
        <v>57</v>
      </c>
      <c r="G239">
        <v>9</v>
      </c>
      <c r="H239">
        <v>52.2</v>
      </c>
      <c r="I239">
        <v>469.8</v>
      </c>
      <c r="J239">
        <v>31.5</v>
      </c>
      <c r="K239">
        <v>78.3</v>
      </c>
      <c r="L239" t="s">
        <v>48</v>
      </c>
      <c r="M239" t="s">
        <v>41</v>
      </c>
      <c r="N239" t="s">
        <v>76</v>
      </c>
      <c r="O239">
        <f>SUMIFS(I239:I738,F239:F738,Table8[[#This Row],[Category]],N239:N738,Table8[[#This Row],[Region_Code]])</f>
        <v>14857.39</v>
      </c>
      <c r="P239" s="13">
        <f>SUMIFS(K239:K738,F239:F738,Table8[[#This Row],[Category]],N239:N738,Table8[[#This Row],[Region_Code]])</f>
        <v>4140.8500000000004</v>
      </c>
      <c r="Q239">
        <f>AVERAGEIFS(I239:I738,F239:F738,Table8[[#This Row],[Category]],N239:N738,Table8[[#This Row],[Region_Code]])</f>
        <v>1350.671818181818</v>
      </c>
      <c r="R239">
        <f>AVERAGEIFS(K239:K738,F239:F738,Table8[[#This Row],[Category]],N239:N738,Table8[[#This Row],[Region_Code]])</f>
        <v>376.44090909090914</v>
      </c>
    </row>
    <row r="240" spans="1:18" x14ac:dyDescent="0.3">
      <c r="A240" t="s">
        <v>599</v>
      </c>
      <c r="B240" t="s">
        <v>205</v>
      </c>
      <c r="C240" t="s">
        <v>372</v>
      </c>
      <c r="D240" t="s">
        <v>171</v>
      </c>
      <c r="E240" t="s">
        <v>74</v>
      </c>
      <c r="F240" t="s">
        <v>75</v>
      </c>
      <c r="G240">
        <v>31</v>
      </c>
      <c r="H240">
        <v>43.54</v>
      </c>
      <c r="I240">
        <v>1349.74</v>
      </c>
      <c r="J240">
        <v>99.86</v>
      </c>
      <c r="K240">
        <v>474.88</v>
      </c>
      <c r="L240" t="s">
        <v>24</v>
      </c>
      <c r="M240" t="s">
        <v>34</v>
      </c>
      <c r="N240" t="s">
        <v>35</v>
      </c>
      <c r="O240">
        <f>SUMIFS(I240:I739,F240:F739,Table8[[#This Row],[Category]],N240:N739,Table8[[#This Row],[Region_Code]])</f>
        <v>7662.7200000000012</v>
      </c>
      <c r="P240" s="13">
        <f>SUMIFS(K240:K739,F240:F739,Table8[[#This Row],[Category]],N240:N739,Table8[[#This Row],[Region_Code]])</f>
        <v>2106.19</v>
      </c>
      <c r="Q240">
        <f>AVERAGEIFS(I240:I739,F240:F739,Table8[[#This Row],[Category]],N240:N739,Table8[[#This Row],[Region_Code]])</f>
        <v>957.84000000000015</v>
      </c>
      <c r="R240">
        <f>AVERAGEIFS(K240:K739,F240:F739,Table8[[#This Row],[Category]],N240:N739,Table8[[#This Row],[Region_Code]])</f>
        <v>263.27375000000001</v>
      </c>
    </row>
    <row r="241" spans="1:18" x14ac:dyDescent="0.3">
      <c r="A241" t="s">
        <v>600</v>
      </c>
      <c r="B241" t="s">
        <v>479</v>
      </c>
      <c r="C241" t="s">
        <v>185</v>
      </c>
      <c r="D241" t="s">
        <v>123</v>
      </c>
      <c r="E241" t="s">
        <v>81</v>
      </c>
      <c r="F241" t="s">
        <v>68</v>
      </c>
      <c r="G241">
        <v>31</v>
      </c>
      <c r="H241">
        <v>18.63</v>
      </c>
      <c r="I241">
        <v>577.53</v>
      </c>
      <c r="J241">
        <v>36.65</v>
      </c>
      <c r="K241">
        <v>60.38</v>
      </c>
      <c r="L241" t="s">
        <v>48</v>
      </c>
      <c r="M241" t="s">
        <v>25</v>
      </c>
      <c r="N241" t="s">
        <v>76</v>
      </c>
      <c r="O241">
        <f>SUMIFS(I241:I740,F241:F740,Table8[[#This Row],[Category]],N241:N740,Table8[[#This Row],[Region_Code]])</f>
        <v>31737.810000000005</v>
      </c>
      <c r="P241" s="13">
        <f>SUMIFS(K241:K740,F241:F740,Table8[[#This Row],[Category]],N241:N740,Table8[[#This Row],[Region_Code]])</f>
        <v>8426.130000000001</v>
      </c>
      <c r="Q241">
        <f>AVERAGEIFS(I241:I740,F241:F740,Table8[[#This Row],[Category]],N241:N740,Table8[[#This Row],[Region_Code]])</f>
        <v>906.79457142857154</v>
      </c>
      <c r="R241">
        <f>AVERAGEIFS(K241:K740,F241:F740,Table8[[#This Row],[Category]],N241:N740,Table8[[#This Row],[Region_Code]])</f>
        <v>240.74657142857146</v>
      </c>
    </row>
    <row r="242" spans="1:18" x14ac:dyDescent="0.3">
      <c r="A242" t="s">
        <v>601</v>
      </c>
      <c r="B242" t="s">
        <v>602</v>
      </c>
      <c r="C242" t="s">
        <v>442</v>
      </c>
      <c r="D242" t="s">
        <v>127</v>
      </c>
      <c r="E242" t="s">
        <v>63</v>
      </c>
      <c r="F242" t="s">
        <v>47</v>
      </c>
      <c r="G242">
        <v>38</v>
      </c>
      <c r="H242">
        <v>27.28</v>
      </c>
      <c r="I242">
        <v>1036.6400000000001</v>
      </c>
      <c r="J242">
        <v>38.770000000000003</v>
      </c>
      <c r="K242">
        <v>237.87</v>
      </c>
      <c r="L242" t="s">
        <v>24</v>
      </c>
      <c r="M242" t="s">
        <v>41</v>
      </c>
      <c r="N242" t="s">
        <v>76</v>
      </c>
      <c r="O242">
        <f>SUMIFS(I242:I741,F242:F741,Table8[[#This Row],[Category]],N242:N741,Table8[[#This Row],[Region_Code]])</f>
        <v>15101.039999999997</v>
      </c>
      <c r="P242" s="13">
        <f>SUMIFS(K242:K741,F242:F741,Table8[[#This Row],[Category]],N242:N741,Table8[[#This Row],[Region_Code]])</f>
        <v>4429.579999999999</v>
      </c>
      <c r="Q242">
        <f>AVERAGEIFS(I242:I741,F242:F741,Table8[[#This Row],[Category]],N242:N741,Table8[[#This Row],[Region_Code]])</f>
        <v>719.09714285714267</v>
      </c>
      <c r="R242">
        <f>AVERAGEIFS(K242:K741,F242:F741,Table8[[#This Row],[Category]],N242:N741,Table8[[#This Row],[Region_Code]])</f>
        <v>210.9323809523809</v>
      </c>
    </row>
    <row r="243" spans="1:18" x14ac:dyDescent="0.3">
      <c r="A243" t="s">
        <v>603</v>
      </c>
      <c r="B243" t="s">
        <v>482</v>
      </c>
      <c r="C243" t="s">
        <v>328</v>
      </c>
      <c r="D243" t="s">
        <v>45</v>
      </c>
      <c r="E243" t="s">
        <v>32</v>
      </c>
      <c r="F243" t="s">
        <v>23</v>
      </c>
      <c r="G243">
        <v>50</v>
      </c>
      <c r="H243">
        <v>30.97</v>
      </c>
      <c r="I243">
        <v>1548.5</v>
      </c>
      <c r="J243">
        <v>82.09</v>
      </c>
      <c r="K243">
        <v>566.41</v>
      </c>
      <c r="L243" t="s">
        <v>33</v>
      </c>
      <c r="M243" t="s">
        <v>34</v>
      </c>
      <c r="N243" t="s">
        <v>49</v>
      </c>
      <c r="O243">
        <f>SUMIFS(I243:I742,F243:F742,Table8[[#This Row],[Category]],N243:N742,Table8[[#This Row],[Region_Code]])</f>
        <v>2944.1400000000003</v>
      </c>
      <c r="P243" s="13">
        <f>SUMIFS(K243:K742,F243:F742,Table8[[#This Row],[Category]],N243:N742,Table8[[#This Row],[Region_Code]])</f>
        <v>1029.8499999999999</v>
      </c>
      <c r="Q243">
        <f>AVERAGEIFS(I243:I742,F243:F742,Table8[[#This Row],[Category]],N243:N742,Table8[[#This Row],[Region_Code]])</f>
        <v>1472.0700000000002</v>
      </c>
      <c r="R243">
        <f>AVERAGEIFS(K243:K742,F243:F742,Table8[[#This Row],[Category]],N243:N742,Table8[[#This Row],[Region_Code]])</f>
        <v>514.92499999999995</v>
      </c>
    </row>
    <row r="244" spans="1:18" x14ac:dyDescent="0.3">
      <c r="A244" t="s">
        <v>604</v>
      </c>
      <c r="B244" t="s">
        <v>118</v>
      </c>
      <c r="C244" t="s">
        <v>126</v>
      </c>
      <c r="D244" t="s">
        <v>127</v>
      </c>
      <c r="E244" t="s">
        <v>56</v>
      </c>
      <c r="F244" t="s">
        <v>57</v>
      </c>
      <c r="G244">
        <v>17</v>
      </c>
      <c r="H244">
        <v>60.91</v>
      </c>
      <c r="I244">
        <v>1035.47</v>
      </c>
      <c r="J244">
        <v>54.09</v>
      </c>
      <c r="K244">
        <v>301.38</v>
      </c>
      <c r="L244" t="s">
        <v>48</v>
      </c>
      <c r="M244" t="s">
        <v>25</v>
      </c>
      <c r="N244" t="s">
        <v>76</v>
      </c>
      <c r="O244">
        <f>SUMIFS(I244:I743,F244:F743,Table8[[#This Row],[Category]],N244:N743,Table8[[#This Row],[Region_Code]])</f>
        <v>14387.59</v>
      </c>
      <c r="P244" s="13">
        <f>SUMIFS(K244:K743,F244:F743,Table8[[#This Row],[Category]],N244:N743,Table8[[#This Row],[Region_Code]])</f>
        <v>4062.5499999999997</v>
      </c>
      <c r="Q244">
        <f>AVERAGEIFS(I244:I743,F244:F743,Table8[[#This Row],[Category]],N244:N743,Table8[[#This Row],[Region_Code]])</f>
        <v>1438.759</v>
      </c>
      <c r="R244">
        <f>AVERAGEIFS(K244:K743,F244:F743,Table8[[#This Row],[Category]],N244:N743,Table8[[#This Row],[Region_Code]])</f>
        <v>406.255</v>
      </c>
    </row>
    <row r="245" spans="1:18" x14ac:dyDescent="0.3">
      <c r="A245" t="s">
        <v>605</v>
      </c>
      <c r="B245" t="s">
        <v>606</v>
      </c>
      <c r="C245" t="s">
        <v>437</v>
      </c>
      <c r="D245" t="s">
        <v>51</v>
      </c>
      <c r="E245" t="s">
        <v>63</v>
      </c>
      <c r="F245" t="s">
        <v>47</v>
      </c>
      <c r="G245">
        <v>25</v>
      </c>
      <c r="H245">
        <v>31.15</v>
      </c>
      <c r="I245">
        <v>778.75</v>
      </c>
      <c r="J245">
        <v>47.45</v>
      </c>
      <c r="K245">
        <v>231.3</v>
      </c>
      <c r="L245" t="s">
        <v>24</v>
      </c>
      <c r="M245" t="s">
        <v>41</v>
      </c>
      <c r="N245" t="s">
        <v>76</v>
      </c>
      <c r="O245">
        <f>SUMIFS(I245:I744,F245:F744,Table8[[#This Row],[Category]],N245:N744,Table8[[#This Row],[Region_Code]])</f>
        <v>14064.399999999998</v>
      </c>
      <c r="P245" s="13">
        <f>SUMIFS(K245:K744,F245:F744,Table8[[#This Row],[Category]],N245:N744,Table8[[#This Row],[Region_Code]])</f>
        <v>4191.7099999999991</v>
      </c>
      <c r="Q245">
        <f>AVERAGEIFS(I245:I744,F245:F744,Table8[[#This Row],[Category]],N245:N744,Table8[[#This Row],[Region_Code]])</f>
        <v>703.21999999999991</v>
      </c>
      <c r="R245">
        <f>AVERAGEIFS(K245:K744,F245:F744,Table8[[#This Row],[Category]],N245:N744,Table8[[#This Row],[Region_Code]])</f>
        <v>209.58549999999997</v>
      </c>
    </row>
    <row r="246" spans="1:18" x14ac:dyDescent="0.3">
      <c r="A246" t="s">
        <v>607</v>
      </c>
      <c r="B246" t="s">
        <v>608</v>
      </c>
      <c r="C246" t="s">
        <v>462</v>
      </c>
      <c r="D246" t="s">
        <v>171</v>
      </c>
      <c r="E246" t="s">
        <v>32</v>
      </c>
      <c r="F246" t="s">
        <v>23</v>
      </c>
      <c r="G246">
        <v>30</v>
      </c>
      <c r="H246">
        <v>31.12</v>
      </c>
      <c r="I246">
        <v>933.6</v>
      </c>
      <c r="J246">
        <v>50.88</v>
      </c>
      <c r="K246">
        <v>342.72</v>
      </c>
      <c r="L246" t="s">
        <v>33</v>
      </c>
      <c r="M246" t="s">
        <v>34</v>
      </c>
      <c r="N246" t="s">
        <v>35</v>
      </c>
      <c r="O246">
        <f>SUMIFS(I246:I745,F246:F745,Table8[[#This Row],[Category]],N246:N745,Table8[[#This Row],[Region_Code]])</f>
        <v>14794.580000000002</v>
      </c>
      <c r="P246" s="13">
        <f>SUMIFS(K246:K745,F246:F745,Table8[[#This Row],[Category]],N246:N745,Table8[[#This Row],[Region_Code]])</f>
        <v>3960.9000000000005</v>
      </c>
      <c r="Q246">
        <f>AVERAGEIFS(I246:I745,F246:F745,Table8[[#This Row],[Category]],N246:N745,Table8[[#This Row],[Region_Code]])</f>
        <v>1138.0446153846156</v>
      </c>
      <c r="R246">
        <f>AVERAGEIFS(K246:K745,F246:F745,Table8[[#This Row],[Category]],N246:N745,Table8[[#This Row],[Region_Code]])</f>
        <v>304.68461538461543</v>
      </c>
    </row>
    <row r="247" spans="1:18" x14ac:dyDescent="0.3">
      <c r="A247" t="s">
        <v>609</v>
      </c>
      <c r="B247" t="s">
        <v>610</v>
      </c>
      <c r="C247" t="s">
        <v>182</v>
      </c>
      <c r="D247" t="s">
        <v>62</v>
      </c>
      <c r="E247" t="s">
        <v>81</v>
      </c>
      <c r="F247" t="s">
        <v>68</v>
      </c>
      <c r="G247">
        <v>17</v>
      </c>
      <c r="H247">
        <v>19.64</v>
      </c>
      <c r="I247">
        <v>333.88</v>
      </c>
      <c r="J247">
        <v>22.23</v>
      </c>
      <c r="K247">
        <v>48.15</v>
      </c>
      <c r="L247" t="s">
        <v>48</v>
      </c>
      <c r="M247" t="s">
        <v>41</v>
      </c>
      <c r="N247" t="s">
        <v>98</v>
      </c>
      <c r="O247">
        <f>SUMIFS(I247:I746,F247:F746,Table8[[#This Row],[Category]],N247:N746,Table8[[#This Row],[Region_Code]])</f>
        <v>16560.97</v>
      </c>
      <c r="P247" s="13">
        <f>SUMIFS(K247:K746,F247:F746,Table8[[#This Row],[Category]],N247:N746,Table8[[#This Row],[Region_Code]])</f>
        <v>5075.3100000000004</v>
      </c>
      <c r="Q247">
        <f>AVERAGEIFS(I247:I746,F247:F746,Table8[[#This Row],[Category]],N247:N746,Table8[[#This Row],[Region_Code]])</f>
        <v>1035.0606250000001</v>
      </c>
      <c r="R247">
        <f>AVERAGEIFS(K247:K746,F247:F746,Table8[[#This Row],[Category]],N247:N746,Table8[[#This Row],[Region_Code]])</f>
        <v>317.20687500000003</v>
      </c>
    </row>
    <row r="248" spans="1:18" x14ac:dyDescent="0.3">
      <c r="A248" t="s">
        <v>611</v>
      </c>
      <c r="B248" t="s">
        <v>612</v>
      </c>
      <c r="C248" t="s">
        <v>613</v>
      </c>
      <c r="D248" t="s">
        <v>21</v>
      </c>
      <c r="E248" t="s">
        <v>46</v>
      </c>
      <c r="F248" t="s">
        <v>47</v>
      </c>
      <c r="G248">
        <v>37</v>
      </c>
      <c r="H248">
        <v>57.35</v>
      </c>
      <c r="I248">
        <v>2121.9499999999998</v>
      </c>
      <c r="J248">
        <v>147.38999999999999</v>
      </c>
      <c r="K248">
        <v>790.56</v>
      </c>
      <c r="L248" t="s">
        <v>24</v>
      </c>
      <c r="M248" t="s">
        <v>25</v>
      </c>
      <c r="N248" t="s">
        <v>98</v>
      </c>
      <c r="O248">
        <f>SUMIFS(I248:I747,F248:F747,Table8[[#This Row],[Category]],N248:N747,Table8[[#This Row],[Region_Code]])</f>
        <v>14250.98</v>
      </c>
      <c r="P248" s="13">
        <f>SUMIFS(K248:K747,F248:F747,Table8[[#This Row],[Category]],N248:N747,Table8[[#This Row],[Region_Code]])</f>
        <v>3578.3999999999996</v>
      </c>
      <c r="Q248">
        <f>AVERAGEIFS(I248:I747,F248:F747,Table8[[#This Row],[Category]],N248:N747,Table8[[#This Row],[Region_Code]])</f>
        <v>890.68624999999997</v>
      </c>
      <c r="R248">
        <f>AVERAGEIFS(K248:K747,F248:F747,Table8[[#This Row],[Category]],N248:N747,Table8[[#This Row],[Region_Code]])</f>
        <v>223.64999999999998</v>
      </c>
    </row>
    <row r="249" spans="1:18" x14ac:dyDescent="0.3">
      <c r="A249" t="s">
        <v>614</v>
      </c>
      <c r="B249" t="s">
        <v>615</v>
      </c>
      <c r="C249" t="s">
        <v>20</v>
      </c>
      <c r="D249" t="s">
        <v>37</v>
      </c>
      <c r="E249" t="s">
        <v>22</v>
      </c>
      <c r="F249" t="s">
        <v>23</v>
      </c>
      <c r="G249">
        <v>45</v>
      </c>
      <c r="H249">
        <v>42.6</v>
      </c>
      <c r="I249">
        <v>1917</v>
      </c>
      <c r="J249">
        <v>104.27</v>
      </c>
      <c r="K249">
        <v>237.73</v>
      </c>
      <c r="L249" t="s">
        <v>33</v>
      </c>
      <c r="M249" t="s">
        <v>41</v>
      </c>
      <c r="N249" t="s">
        <v>35</v>
      </c>
      <c r="O249">
        <f>SUMIFS(I249:I748,F249:F748,Table8[[#This Row],[Category]],N249:N748,Table8[[#This Row],[Region_Code]])</f>
        <v>13860.98</v>
      </c>
      <c r="P249" s="13">
        <f>SUMIFS(K249:K748,F249:F748,Table8[[#This Row],[Category]],N249:N748,Table8[[#This Row],[Region_Code]])</f>
        <v>3618.1800000000003</v>
      </c>
      <c r="Q249">
        <f>AVERAGEIFS(I249:I748,F249:F748,Table8[[#This Row],[Category]],N249:N748,Table8[[#This Row],[Region_Code]])</f>
        <v>1155.0816666666667</v>
      </c>
      <c r="R249">
        <f>AVERAGEIFS(K249:K748,F249:F748,Table8[[#This Row],[Category]],N249:N748,Table8[[#This Row],[Region_Code]])</f>
        <v>301.51500000000004</v>
      </c>
    </row>
    <row r="250" spans="1:18" x14ac:dyDescent="0.3">
      <c r="A250" t="s">
        <v>616</v>
      </c>
      <c r="B250" t="s">
        <v>617</v>
      </c>
      <c r="C250" t="s">
        <v>165</v>
      </c>
      <c r="D250" t="s">
        <v>31</v>
      </c>
      <c r="E250" t="s">
        <v>63</v>
      </c>
      <c r="F250" t="s">
        <v>47</v>
      </c>
      <c r="G250">
        <v>25</v>
      </c>
      <c r="H250">
        <v>31.82</v>
      </c>
      <c r="I250">
        <v>795.5</v>
      </c>
      <c r="J250">
        <v>37.33</v>
      </c>
      <c r="K250">
        <v>258.17</v>
      </c>
      <c r="L250" t="s">
        <v>24</v>
      </c>
      <c r="M250" t="s">
        <v>34</v>
      </c>
      <c r="N250" t="s">
        <v>35</v>
      </c>
      <c r="O250">
        <f>SUMIFS(I250:I749,F250:F749,Table8[[#This Row],[Category]],N250:N749,Table8[[#This Row],[Region_Code]])</f>
        <v>19611.780000000002</v>
      </c>
      <c r="P250" s="13">
        <f>SUMIFS(K250:K749,F250:F749,Table8[[#This Row],[Category]],N250:N749,Table8[[#This Row],[Region_Code]])</f>
        <v>5981.05</v>
      </c>
      <c r="Q250">
        <f>AVERAGEIFS(I250:I749,F250:F749,Table8[[#This Row],[Category]],N250:N749,Table8[[#This Row],[Region_Code]])</f>
        <v>754.29923076923092</v>
      </c>
      <c r="R250">
        <f>AVERAGEIFS(K250:K749,F250:F749,Table8[[#This Row],[Category]],N250:N749,Table8[[#This Row],[Region_Code]])</f>
        <v>230.04038461538462</v>
      </c>
    </row>
    <row r="251" spans="1:18" x14ac:dyDescent="0.3">
      <c r="A251" t="s">
        <v>618</v>
      </c>
      <c r="B251" t="s">
        <v>105</v>
      </c>
      <c r="C251" t="s">
        <v>200</v>
      </c>
      <c r="D251" t="s">
        <v>70</v>
      </c>
      <c r="E251" t="s">
        <v>74</v>
      </c>
      <c r="F251" t="s">
        <v>75</v>
      </c>
      <c r="G251">
        <v>17</v>
      </c>
      <c r="H251">
        <v>36.270000000000003</v>
      </c>
      <c r="I251">
        <v>616.59</v>
      </c>
      <c r="J251">
        <v>22.76</v>
      </c>
      <c r="K251">
        <v>168.83</v>
      </c>
      <c r="L251" t="s">
        <v>48</v>
      </c>
      <c r="M251" t="s">
        <v>25</v>
      </c>
      <c r="N251" t="s">
        <v>76</v>
      </c>
      <c r="O251">
        <f>SUMIFS(I251:I750,F251:F750,Table8[[#This Row],[Category]],N251:N750,Table8[[#This Row],[Region_Code]])</f>
        <v>13313.800000000001</v>
      </c>
      <c r="P251" s="13">
        <f>SUMIFS(K251:K750,F251:F750,Table8[[#This Row],[Category]],N251:N750,Table8[[#This Row],[Region_Code]])</f>
        <v>3512.03</v>
      </c>
      <c r="Q251">
        <f>AVERAGEIFS(I251:I750,F251:F750,Table8[[#This Row],[Category]],N251:N750,Table8[[#This Row],[Region_Code]])</f>
        <v>1024.1384615384616</v>
      </c>
      <c r="R251">
        <f>AVERAGEIFS(K251:K750,F251:F750,Table8[[#This Row],[Category]],N251:N750,Table8[[#This Row],[Region_Code]])</f>
        <v>270.15615384615387</v>
      </c>
    </row>
    <row r="252" spans="1:18" x14ac:dyDescent="0.3">
      <c r="A252" t="s">
        <v>619</v>
      </c>
      <c r="B252" t="s">
        <v>620</v>
      </c>
      <c r="C252" t="s">
        <v>334</v>
      </c>
      <c r="D252" t="s">
        <v>123</v>
      </c>
      <c r="E252" t="s">
        <v>32</v>
      </c>
      <c r="F252" t="s">
        <v>23</v>
      </c>
      <c r="G252">
        <v>4</v>
      </c>
      <c r="H252">
        <v>27.01</v>
      </c>
      <c r="I252">
        <v>108.04</v>
      </c>
      <c r="J252">
        <v>4.7300000000000004</v>
      </c>
      <c r="K252">
        <v>31.31</v>
      </c>
      <c r="L252" t="s">
        <v>48</v>
      </c>
      <c r="M252" t="s">
        <v>41</v>
      </c>
      <c r="N252" t="s">
        <v>76</v>
      </c>
      <c r="O252">
        <f>SUMIFS(I252:I751,F252:F751,Table8[[#This Row],[Category]],N252:N751,Table8[[#This Row],[Region_Code]])</f>
        <v>13693.639999999998</v>
      </c>
      <c r="P252" s="13">
        <f>SUMIFS(K252:K751,F252:F751,Table8[[#This Row],[Category]],N252:N751,Table8[[#This Row],[Region_Code]])</f>
        <v>3318.0899999999997</v>
      </c>
      <c r="Q252">
        <f>AVERAGEIFS(I252:I751,F252:F751,Table8[[#This Row],[Category]],N252:N751,Table8[[#This Row],[Region_Code]])</f>
        <v>720.71789473684203</v>
      </c>
      <c r="R252">
        <f>AVERAGEIFS(K252:K751,F252:F751,Table8[[#This Row],[Category]],N252:N751,Table8[[#This Row],[Region_Code]])</f>
        <v>174.63631578947366</v>
      </c>
    </row>
    <row r="253" spans="1:18" x14ac:dyDescent="0.3">
      <c r="A253" t="s">
        <v>621</v>
      </c>
      <c r="B253" t="s">
        <v>173</v>
      </c>
      <c r="C253" t="s">
        <v>369</v>
      </c>
      <c r="D253" t="s">
        <v>62</v>
      </c>
      <c r="E253" t="s">
        <v>22</v>
      </c>
      <c r="F253" t="s">
        <v>23</v>
      </c>
      <c r="G253">
        <v>22</v>
      </c>
      <c r="H253">
        <v>57.6</v>
      </c>
      <c r="I253">
        <v>1267.2</v>
      </c>
      <c r="J253">
        <v>35.32</v>
      </c>
      <c r="K253">
        <v>461.88</v>
      </c>
      <c r="L253" t="s">
        <v>48</v>
      </c>
      <c r="M253" t="s">
        <v>25</v>
      </c>
      <c r="N253" t="s">
        <v>98</v>
      </c>
      <c r="O253">
        <f>SUMIFS(I253:I752,F253:F752,Table8[[#This Row],[Category]],N253:N752,Table8[[#This Row],[Region_Code]])</f>
        <v>7623.83</v>
      </c>
      <c r="P253" s="13">
        <f>SUMIFS(K253:K752,F253:F752,Table8[[#This Row],[Category]],N253:N752,Table8[[#This Row],[Region_Code]])</f>
        <v>1967.38</v>
      </c>
      <c r="Q253">
        <f>AVERAGEIFS(I253:I752,F253:F752,Table8[[#This Row],[Category]],N253:N752,Table8[[#This Row],[Region_Code]])</f>
        <v>1089.1185714285714</v>
      </c>
      <c r="R253">
        <f>AVERAGEIFS(K253:K752,F253:F752,Table8[[#This Row],[Category]],N253:N752,Table8[[#This Row],[Region_Code]])</f>
        <v>281.05428571428575</v>
      </c>
    </row>
    <row r="254" spans="1:18" x14ac:dyDescent="0.3">
      <c r="A254" t="s">
        <v>622</v>
      </c>
      <c r="B254" t="s">
        <v>623</v>
      </c>
      <c r="C254" t="s">
        <v>417</v>
      </c>
      <c r="D254" t="s">
        <v>241</v>
      </c>
      <c r="E254" t="s">
        <v>74</v>
      </c>
      <c r="F254" t="s">
        <v>75</v>
      </c>
      <c r="G254">
        <v>24</v>
      </c>
      <c r="H254">
        <v>43.34</v>
      </c>
      <c r="I254">
        <v>1040.1600000000001</v>
      </c>
      <c r="J254">
        <v>41.18</v>
      </c>
      <c r="K254">
        <v>398.98</v>
      </c>
      <c r="L254" t="s">
        <v>24</v>
      </c>
      <c r="M254" t="s">
        <v>41</v>
      </c>
      <c r="N254" t="s">
        <v>35</v>
      </c>
      <c r="O254">
        <f>SUMIFS(I254:I753,F254:F753,Table8[[#This Row],[Category]],N254:N753,Table8[[#This Row],[Region_Code]])</f>
        <v>6312.9800000000005</v>
      </c>
      <c r="P254" s="13">
        <f>SUMIFS(K254:K753,F254:F753,Table8[[#This Row],[Category]],N254:N753,Table8[[#This Row],[Region_Code]])</f>
        <v>1631.31</v>
      </c>
      <c r="Q254">
        <f>AVERAGEIFS(I254:I753,F254:F753,Table8[[#This Row],[Category]],N254:N753,Table8[[#This Row],[Region_Code]])</f>
        <v>901.85428571428577</v>
      </c>
      <c r="R254">
        <f>AVERAGEIFS(K254:K753,F254:F753,Table8[[#This Row],[Category]],N254:N753,Table8[[#This Row],[Region_Code]])</f>
        <v>233.04428571428571</v>
      </c>
    </row>
    <row r="255" spans="1:18" x14ac:dyDescent="0.3">
      <c r="A255" t="s">
        <v>624</v>
      </c>
      <c r="B255" t="s">
        <v>625</v>
      </c>
      <c r="C255" t="s">
        <v>266</v>
      </c>
      <c r="D255" t="s">
        <v>62</v>
      </c>
      <c r="E255" t="s">
        <v>56</v>
      </c>
      <c r="F255" t="s">
        <v>57</v>
      </c>
      <c r="G255">
        <v>37</v>
      </c>
      <c r="H255">
        <v>71.8</v>
      </c>
      <c r="I255">
        <v>2656.6</v>
      </c>
      <c r="J255">
        <v>60.3</v>
      </c>
      <c r="K255">
        <v>1116.3</v>
      </c>
      <c r="L255" t="s">
        <v>33</v>
      </c>
      <c r="M255" t="s">
        <v>25</v>
      </c>
      <c r="N255" t="s">
        <v>98</v>
      </c>
      <c r="O255">
        <f>SUMIFS(I255:I754,F255:F754,Table8[[#This Row],[Category]],N255:N754,Table8[[#This Row],[Region_Code]])</f>
        <v>5569.5</v>
      </c>
      <c r="P255" s="13">
        <f>SUMIFS(K255:K754,F255:F754,Table8[[#This Row],[Category]],N255:N754,Table8[[#This Row],[Region_Code]])</f>
        <v>1908.98</v>
      </c>
      <c r="Q255">
        <f>AVERAGEIFS(I255:I754,F255:F754,Table8[[#This Row],[Category]],N255:N754,Table8[[#This Row],[Region_Code]])</f>
        <v>1856.5</v>
      </c>
      <c r="R255">
        <f>AVERAGEIFS(K255:K754,F255:F754,Table8[[#This Row],[Category]],N255:N754,Table8[[#This Row],[Region_Code]])</f>
        <v>636.32666666666671</v>
      </c>
    </row>
    <row r="256" spans="1:18" x14ac:dyDescent="0.3">
      <c r="A256" t="s">
        <v>626</v>
      </c>
      <c r="B256" t="s">
        <v>627</v>
      </c>
      <c r="C256" t="s">
        <v>613</v>
      </c>
      <c r="D256" t="s">
        <v>123</v>
      </c>
      <c r="E256" t="s">
        <v>63</v>
      </c>
      <c r="F256" t="s">
        <v>47</v>
      </c>
      <c r="G256">
        <v>24</v>
      </c>
      <c r="H256">
        <v>29.11</v>
      </c>
      <c r="I256">
        <v>698.64</v>
      </c>
      <c r="J256">
        <v>53.99</v>
      </c>
      <c r="K256">
        <v>164.65</v>
      </c>
      <c r="L256" t="s">
        <v>48</v>
      </c>
      <c r="M256" t="s">
        <v>41</v>
      </c>
      <c r="N256" t="s">
        <v>76</v>
      </c>
      <c r="O256">
        <f>SUMIFS(I256:I755,F256:F755,Table8[[#This Row],[Category]],N256:N755,Table8[[#This Row],[Region_Code]])</f>
        <v>13285.649999999998</v>
      </c>
      <c r="P256" s="13">
        <f>SUMIFS(K256:K755,F256:F755,Table8[[#This Row],[Category]],N256:N755,Table8[[#This Row],[Region_Code]])</f>
        <v>3960.4099999999994</v>
      </c>
      <c r="Q256">
        <f>AVERAGEIFS(I256:I755,F256:F755,Table8[[#This Row],[Category]],N256:N755,Table8[[#This Row],[Region_Code]])</f>
        <v>699.24473684210511</v>
      </c>
      <c r="R256">
        <f>AVERAGEIFS(K256:K755,F256:F755,Table8[[#This Row],[Category]],N256:N755,Table8[[#This Row],[Region_Code]])</f>
        <v>208.44263157894733</v>
      </c>
    </row>
    <row r="257" spans="1:18" x14ac:dyDescent="0.3">
      <c r="A257" t="s">
        <v>628</v>
      </c>
      <c r="B257" t="s">
        <v>629</v>
      </c>
      <c r="C257" t="s">
        <v>630</v>
      </c>
      <c r="D257" t="s">
        <v>127</v>
      </c>
      <c r="E257" t="s">
        <v>67</v>
      </c>
      <c r="F257" t="s">
        <v>68</v>
      </c>
      <c r="G257">
        <v>6</v>
      </c>
      <c r="H257">
        <v>27.91</v>
      </c>
      <c r="I257">
        <v>167.46</v>
      </c>
      <c r="J257">
        <v>10.01</v>
      </c>
      <c r="K257">
        <v>22.45</v>
      </c>
      <c r="L257" t="s">
        <v>24</v>
      </c>
      <c r="M257" t="s">
        <v>25</v>
      </c>
      <c r="N257" t="s">
        <v>76</v>
      </c>
      <c r="O257">
        <f>SUMIFS(I257:I756,F257:F756,Table8[[#This Row],[Category]],N257:N756,Table8[[#This Row],[Region_Code]])</f>
        <v>31160.280000000006</v>
      </c>
      <c r="P257" s="13">
        <f>SUMIFS(K257:K756,F257:F756,Table8[[#This Row],[Category]],N257:N756,Table8[[#This Row],[Region_Code]])</f>
        <v>8365.75</v>
      </c>
      <c r="Q257">
        <f>AVERAGEIFS(I257:I756,F257:F756,Table8[[#This Row],[Category]],N257:N756,Table8[[#This Row],[Region_Code]])</f>
        <v>916.4788235294119</v>
      </c>
      <c r="R257">
        <f>AVERAGEIFS(K257:K756,F257:F756,Table8[[#This Row],[Category]],N257:N756,Table8[[#This Row],[Region_Code]])</f>
        <v>246.0514705882353</v>
      </c>
    </row>
    <row r="258" spans="1:18" x14ac:dyDescent="0.3">
      <c r="A258" t="s">
        <v>631</v>
      </c>
      <c r="B258" t="s">
        <v>602</v>
      </c>
      <c r="C258" t="s">
        <v>44</v>
      </c>
      <c r="D258" t="s">
        <v>51</v>
      </c>
      <c r="E258" t="s">
        <v>67</v>
      </c>
      <c r="F258" t="s">
        <v>68</v>
      </c>
      <c r="G258">
        <v>28</v>
      </c>
      <c r="H258">
        <v>27.29</v>
      </c>
      <c r="I258">
        <v>764.12</v>
      </c>
      <c r="J258">
        <v>25.78</v>
      </c>
      <c r="K258">
        <v>108.34</v>
      </c>
      <c r="L258" t="s">
        <v>48</v>
      </c>
      <c r="M258" t="s">
        <v>25</v>
      </c>
      <c r="N258" t="s">
        <v>76</v>
      </c>
      <c r="O258">
        <f>SUMIFS(I258:I757,F258:F757,Table8[[#This Row],[Category]],N258:N757,Table8[[#This Row],[Region_Code]])</f>
        <v>30992.820000000007</v>
      </c>
      <c r="P258" s="13">
        <f>SUMIFS(K258:K757,F258:F757,Table8[[#This Row],[Category]],N258:N757,Table8[[#This Row],[Region_Code]])</f>
        <v>8343.2999999999993</v>
      </c>
      <c r="Q258">
        <f>AVERAGEIFS(I258:I757,F258:F757,Table8[[#This Row],[Category]],N258:N757,Table8[[#This Row],[Region_Code]])</f>
        <v>939.17636363636382</v>
      </c>
      <c r="R258">
        <f>AVERAGEIFS(K258:K757,F258:F757,Table8[[#This Row],[Category]],N258:N757,Table8[[#This Row],[Region_Code]])</f>
        <v>252.82727272727271</v>
      </c>
    </row>
    <row r="259" spans="1:18" x14ac:dyDescent="0.3">
      <c r="A259" t="s">
        <v>632</v>
      </c>
      <c r="B259" t="s">
        <v>633</v>
      </c>
      <c r="C259" t="s">
        <v>505</v>
      </c>
      <c r="D259" t="s">
        <v>62</v>
      </c>
      <c r="E259" t="s">
        <v>67</v>
      </c>
      <c r="F259" t="s">
        <v>68</v>
      </c>
      <c r="G259">
        <v>47</v>
      </c>
      <c r="H259">
        <v>35.880000000000003</v>
      </c>
      <c r="I259">
        <v>1686.36</v>
      </c>
      <c r="J259">
        <v>70.3</v>
      </c>
      <c r="K259">
        <v>558.55999999999995</v>
      </c>
      <c r="L259" t="s">
        <v>24</v>
      </c>
      <c r="M259" t="s">
        <v>34</v>
      </c>
      <c r="N259" t="s">
        <v>98</v>
      </c>
      <c r="O259">
        <f>SUMIFS(I259:I758,F259:F758,Table8[[#This Row],[Category]],N259:N758,Table8[[#This Row],[Region_Code]])</f>
        <v>16227.090000000004</v>
      </c>
      <c r="P259" s="13">
        <f>SUMIFS(K259:K758,F259:F758,Table8[[#This Row],[Category]],N259:N758,Table8[[#This Row],[Region_Code]])</f>
        <v>5027.1600000000008</v>
      </c>
      <c r="Q259">
        <f>AVERAGEIFS(I259:I758,F259:F758,Table8[[#This Row],[Category]],N259:N758,Table8[[#This Row],[Region_Code]])</f>
        <v>1081.8060000000003</v>
      </c>
      <c r="R259">
        <f>AVERAGEIFS(K259:K758,F259:F758,Table8[[#This Row],[Category]],N259:N758,Table8[[#This Row],[Region_Code]])</f>
        <v>335.14400000000006</v>
      </c>
    </row>
    <row r="260" spans="1:18" x14ac:dyDescent="0.3">
      <c r="A260" t="s">
        <v>634</v>
      </c>
      <c r="B260" t="s">
        <v>617</v>
      </c>
      <c r="C260" t="s">
        <v>317</v>
      </c>
      <c r="D260" t="s">
        <v>171</v>
      </c>
      <c r="E260" t="s">
        <v>81</v>
      </c>
      <c r="F260" t="s">
        <v>68</v>
      </c>
      <c r="G260">
        <v>19</v>
      </c>
      <c r="H260">
        <v>27.47</v>
      </c>
      <c r="I260">
        <v>521.92999999999995</v>
      </c>
      <c r="J260">
        <v>31.29</v>
      </c>
      <c r="K260">
        <v>196.14</v>
      </c>
      <c r="L260" t="s">
        <v>33</v>
      </c>
      <c r="M260" t="s">
        <v>41</v>
      </c>
      <c r="N260" t="s">
        <v>35</v>
      </c>
      <c r="O260">
        <f>SUMIFS(I260:I759,F260:F759,Table8[[#This Row],[Category]],N260:N759,Table8[[#This Row],[Region_Code]])</f>
        <v>15776.450000000003</v>
      </c>
      <c r="P260" s="13">
        <f>SUMIFS(K260:K759,F260:F759,Table8[[#This Row],[Category]],N260:N759,Table8[[#This Row],[Region_Code]])</f>
        <v>4433.6000000000004</v>
      </c>
      <c r="Q260">
        <f>AVERAGEIFS(I260:I759,F260:F759,Table8[[#This Row],[Category]],N260:N759,Table8[[#This Row],[Region_Code]])</f>
        <v>876.46944444444455</v>
      </c>
      <c r="R260">
        <f>AVERAGEIFS(K260:K759,F260:F759,Table8[[#This Row],[Category]],N260:N759,Table8[[#This Row],[Region_Code]])</f>
        <v>246.31111111111113</v>
      </c>
    </row>
    <row r="261" spans="1:18" x14ac:dyDescent="0.3">
      <c r="A261" t="s">
        <v>635</v>
      </c>
      <c r="B261" t="s">
        <v>294</v>
      </c>
      <c r="C261" t="s">
        <v>216</v>
      </c>
      <c r="D261" t="s">
        <v>206</v>
      </c>
      <c r="E261" t="s">
        <v>63</v>
      </c>
      <c r="F261" t="s">
        <v>47</v>
      </c>
      <c r="G261">
        <v>13</v>
      </c>
      <c r="H261">
        <v>29.26</v>
      </c>
      <c r="I261">
        <v>380.38</v>
      </c>
      <c r="J261">
        <v>9.4700000000000006</v>
      </c>
      <c r="K261">
        <v>110.91</v>
      </c>
      <c r="L261" t="s">
        <v>33</v>
      </c>
      <c r="M261" t="s">
        <v>41</v>
      </c>
      <c r="N261" t="s">
        <v>207</v>
      </c>
      <c r="O261">
        <f>SUMIFS(I261:I760,F261:F760,Table8[[#This Row],[Category]],N261:N760,Table8[[#This Row],[Region_Code]])</f>
        <v>5971.21</v>
      </c>
      <c r="P261" s="13">
        <f>SUMIFS(K261:K760,F261:F760,Table8[[#This Row],[Category]],N261:N760,Table8[[#This Row],[Region_Code]])</f>
        <v>1608.09</v>
      </c>
      <c r="Q261">
        <f>AVERAGEIFS(I261:I760,F261:F760,Table8[[#This Row],[Category]],N261:N760,Table8[[#This Row],[Region_Code]])</f>
        <v>853.03</v>
      </c>
      <c r="R261">
        <f>AVERAGEIFS(K261:K760,F261:F760,Table8[[#This Row],[Category]],N261:N760,Table8[[#This Row],[Region_Code]])</f>
        <v>229.72714285714284</v>
      </c>
    </row>
    <row r="262" spans="1:18" x14ac:dyDescent="0.3">
      <c r="A262" t="s">
        <v>636</v>
      </c>
      <c r="B262" t="s">
        <v>598</v>
      </c>
      <c r="C262" t="s">
        <v>485</v>
      </c>
      <c r="D262" t="s">
        <v>241</v>
      </c>
      <c r="E262" t="s">
        <v>32</v>
      </c>
      <c r="F262" t="s">
        <v>23</v>
      </c>
      <c r="G262">
        <v>4</v>
      </c>
      <c r="H262">
        <v>26.17</v>
      </c>
      <c r="I262">
        <v>104.68</v>
      </c>
      <c r="J262">
        <v>6.33</v>
      </c>
      <c r="K262">
        <v>26.35</v>
      </c>
      <c r="L262" t="s">
        <v>24</v>
      </c>
      <c r="M262" t="s">
        <v>34</v>
      </c>
      <c r="N262" t="s">
        <v>35</v>
      </c>
      <c r="O262">
        <f>SUMIFS(I262:I761,F262:F761,Table8[[#This Row],[Category]],N262:N761,Table8[[#This Row],[Region_Code]])</f>
        <v>11943.980000000001</v>
      </c>
      <c r="P262" s="13">
        <f>SUMIFS(K262:K761,F262:F761,Table8[[#This Row],[Category]],N262:N761,Table8[[#This Row],[Region_Code]])</f>
        <v>3380.4500000000003</v>
      </c>
      <c r="Q262">
        <f>AVERAGEIFS(I262:I761,F262:F761,Table8[[#This Row],[Category]],N262:N761,Table8[[#This Row],[Region_Code]])</f>
        <v>1085.8163636363638</v>
      </c>
      <c r="R262">
        <f>AVERAGEIFS(K262:K761,F262:F761,Table8[[#This Row],[Category]],N262:N761,Table8[[#This Row],[Region_Code]])</f>
        <v>307.31363636363636</v>
      </c>
    </row>
    <row r="263" spans="1:18" x14ac:dyDescent="0.3">
      <c r="A263" t="s">
        <v>637</v>
      </c>
      <c r="B263" t="s">
        <v>638</v>
      </c>
      <c r="C263" t="s">
        <v>266</v>
      </c>
      <c r="D263" t="s">
        <v>241</v>
      </c>
      <c r="E263" t="s">
        <v>67</v>
      </c>
      <c r="F263" t="s">
        <v>68</v>
      </c>
      <c r="G263">
        <v>43</v>
      </c>
      <c r="H263">
        <v>37.32</v>
      </c>
      <c r="I263">
        <v>1604.76</v>
      </c>
      <c r="J263">
        <v>61.01</v>
      </c>
      <c r="K263">
        <v>576.25</v>
      </c>
      <c r="L263" t="s">
        <v>24</v>
      </c>
      <c r="M263" t="s">
        <v>34</v>
      </c>
      <c r="N263" t="s">
        <v>35</v>
      </c>
      <c r="O263">
        <f>SUMIFS(I263:I762,F263:F762,Table8[[#This Row],[Category]],N263:N762,Table8[[#This Row],[Region_Code]])</f>
        <v>15254.520000000002</v>
      </c>
      <c r="P263" s="13">
        <f>SUMIFS(K263:K762,F263:F762,Table8[[#This Row],[Category]],N263:N762,Table8[[#This Row],[Region_Code]])</f>
        <v>4237.46</v>
      </c>
      <c r="Q263">
        <f>AVERAGEIFS(I263:I762,F263:F762,Table8[[#This Row],[Category]],N263:N762,Table8[[#This Row],[Region_Code]])</f>
        <v>897.3247058823531</v>
      </c>
      <c r="R263">
        <f>AVERAGEIFS(K263:K762,F263:F762,Table8[[#This Row],[Category]],N263:N762,Table8[[#This Row],[Region_Code]])</f>
        <v>249.26235294117646</v>
      </c>
    </row>
    <row r="264" spans="1:18" x14ac:dyDescent="0.3">
      <c r="A264" t="s">
        <v>639</v>
      </c>
      <c r="B264" t="s">
        <v>640</v>
      </c>
      <c r="C264" t="s">
        <v>465</v>
      </c>
      <c r="D264" t="s">
        <v>141</v>
      </c>
      <c r="E264" t="s">
        <v>32</v>
      </c>
      <c r="F264" t="s">
        <v>23</v>
      </c>
      <c r="G264">
        <v>27</v>
      </c>
      <c r="H264">
        <v>23.05</v>
      </c>
      <c r="I264">
        <v>622.35</v>
      </c>
      <c r="J264">
        <v>20.440000000000001</v>
      </c>
      <c r="K264">
        <v>115.91</v>
      </c>
      <c r="L264" t="s">
        <v>48</v>
      </c>
      <c r="M264" t="s">
        <v>34</v>
      </c>
      <c r="N264" t="s">
        <v>142</v>
      </c>
      <c r="O264">
        <f>SUMIFS(I264:I763,F264:F763,Table8[[#This Row],[Category]],N264:N763,Table8[[#This Row],[Region_Code]])</f>
        <v>5355.9</v>
      </c>
      <c r="P264" s="13">
        <f>SUMIFS(K264:K763,F264:F763,Table8[[#This Row],[Category]],N264:N763,Table8[[#This Row],[Region_Code]])</f>
        <v>1507.2600000000002</v>
      </c>
      <c r="Q264">
        <f>AVERAGEIFS(I264:I763,F264:F763,Table8[[#This Row],[Category]],N264:N763,Table8[[#This Row],[Region_Code]])</f>
        <v>765.12857142857138</v>
      </c>
      <c r="R264">
        <f>AVERAGEIFS(K264:K763,F264:F763,Table8[[#This Row],[Category]],N264:N763,Table8[[#This Row],[Region_Code]])</f>
        <v>215.32285714285717</v>
      </c>
    </row>
    <row r="265" spans="1:18" x14ac:dyDescent="0.3">
      <c r="A265" t="s">
        <v>641</v>
      </c>
      <c r="B265" t="s">
        <v>642</v>
      </c>
      <c r="C265" t="s">
        <v>643</v>
      </c>
      <c r="D265" t="s">
        <v>127</v>
      </c>
      <c r="E265" t="s">
        <v>86</v>
      </c>
      <c r="F265" t="s">
        <v>47</v>
      </c>
      <c r="G265">
        <v>38</v>
      </c>
      <c r="H265">
        <v>19.02</v>
      </c>
      <c r="I265">
        <v>722.76</v>
      </c>
      <c r="J265">
        <v>14.63</v>
      </c>
      <c r="K265">
        <v>223.63</v>
      </c>
      <c r="L265" t="s">
        <v>33</v>
      </c>
      <c r="M265" t="s">
        <v>34</v>
      </c>
      <c r="N265" t="s">
        <v>76</v>
      </c>
      <c r="O265">
        <f>SUMIFS(I265:I764,F265:F764,Table8[[#This Row],[Category]],N265:N764,Table8[[#This Row],[Region_Code]])</f>
        <v>12587.01</v>
      </c>
      <c r="P265" s="13">
        <f>SUMIFS(K265:K764,F265:F764,Table8[[#This Row],[Category]],N265:N764,Table8[[#This Row],[Region_Code]])</f>
        <v>3795.7599999999998</v>
      </c>
      <c r="Q265">
        <f>AVERAGEIFS(I265:I764,F265:F764,Table8[[#This Row],[Category]],N265:N764,Table8[[#This Row],[Region_Code]])</f>
        <v>699.27833333333331</v>
      </c>
      <c r="R265">
        <f>AVERAGEIFS(K265:K764,F265:F764,Table8[[#This Row],[Category]],N265:N764,Table8[[#This Row],[Region_Code]])</f>
        <v>210.87555555555554</v>
      </c>
    </row>
    <row r="266" spans="1:18" x14ac:dyDescent="0.3">
      <c r="A266" t="s">
        <v>644</v>
      </c>
      <c r="B266" t="s">
        <v>645</v>
      </c>
      <c r="C266" t="s">
        <v>646</v>
      </c>
      <c r="D266" t="s">
        <v>55</v>
      </c>
      <c r="E266" t="s">
        <v>56</v>
      </c>
      <c r="F266" t="s">
        <v>57</v>
      </c>
      <c r="G266">
        <v>10</v>
      </c>
      <c r="H266">
        <v>70.94</v>
      </c>
      <c r="I266">
        <v>709.4</v>
      </c>
      <c r="J266">
        <v>18.64</v>
      </c>
      <c r="K266">
        <v>290.76</v>
      </c>
      <c r="L266" t="s">
        <v>33</v>
      </c>
      <c r="M266" t="s">
        <v>41</v>
      </c>
      <c r="N266" t="s">
        <v>98</v>
      </c>
      <c r="O266">
        <f>SUMIFS(I266:I765,F266:F765,Table8[[#This Row],[Category]],N266:N765,Table8[[#This Row],[Region_Code]])</f>
        <v>2912.9</v>
      </c>
      <c r="P266" s="13">
        <f>SUMIFS(K266:K765,F266:F765,Table8[[#This Row],[Category]],N266:N765,Table8[[#This Row],[Region_Code]])</f>
        <v>792.68000000000006</v>
      </c>
      <c r="Q266">
        <f>AVERAGEIFS(I266:I765,F266:F765,Table8[[#This Row],[Category]],N266:N765,Table8[[#This Row],[Region_Code]])</f>
        <v>1456.45</v>
      </c>
      <c r="R266">
        <f>AVERAGEIFS(K266:K765,F266:F765,Table8[[#This Row],[Category]],N266:N765,Table8[[#This Row],[Region_Code]])</f>
        <v>396.34000000000003</v>
      </c>
    </row>
    <row r="267" spans="1:18" x14ac:dyDescent="0.3">
      <c r="A267" t="s">
        <v>647</v>
      </c>
      <c r="B267" t="s">
        <v>648</v>
      </c>
      <c r="C267" t="s">
        <v>442</v>
      </c>
      <c r="D267" t="s">
        <v>116</v>
      </c>
      <c r="E267" t="s">
        <v>74</v>
      </c>
      <c r="F267" t="s">
        <v>75</v>
      </c>
      <c r="G267">
        <v>17</v>
      </c>
      <c r="H267">
        <v>38.28</v>
      </c>
      <c r="I267">
        <v>650.76</v>
      </c>
      <c r="J267">
        <v>38.43</v>
      </c>
      <c r="K267">
        <v>187.33</v>
      </c>
      <c r="L267" t="s">
        <v>33</v>
      </c>
      <c r="M267" t="s">
        <v>41</v>
      </c>
      <c r="N267" t="s">
        <v>76</v>
      </c>
      <c r="O267">
        <f>SUMIFS(I267:I766,F267:F766,Table8[[#This Row],[Category]],N267:N766,Table8[[#This Row],[Region_Code]])</f>
        <v>12697.210000000001</v>
      </c>
      <c r="P267" s="13">
        <f>SUMIFS(K267:K766,F267:F766,Table8[[#This Row],[Category]],N267:N766,Table8[[#This Row],[Region_Code]])</f>
        <v>3343.2</v>
      </c>
      <c r="Q267">
        <f>AVERAGEIFS(I267:I766,F267:F766,Table8[[#This Row],[Category]],N267:N766,Table8[[#This Row],[Region_Code]])</f>
        <v>1058.1008333333334</v>
      </c>
      <c r="R267">
        <f>AVERAGEIFS(K267:K766,F267:F766,Table8[[#This Row],[Category]],N267:N766,Table8[[#This Row],[Region_Code]])</f>
        <v>278.59999999999997</v>
      </c>
    </row>
    <row r="268" spans="1:18" x14ac:dyDescent="0.3">
      <c r="A268" t="s">
        <v>649</v>
      </c>
      <c r="B268" t="s">
        <v>650</v>
      </c>
      <c r="C268" t="s">
        <v>574</v>
      </c>
      <c r="D268" t="s">
        <v>21</v>
      </c>
      <c r="E268" t="s">
        <v>46</v>
      </c>
      <c r="F268" t="s">
        <v>47</v>
      </c>
      <c r="G268">
        <v>10</v>
      </c>
      <c r="H268">
        <v>38.799999999999997</v>
      </c>
      <c r="I268">
        <v>388</v>
      </c>
      <c r="J268">
        <v>16.39</v>
      </c>
      <c r="K268">
        <v>51.61</v>
      </c>
      <c r="L268" t="s">
        <v>48</v>
      </c>
      <c r="M268" t="s">
        <v>34</v>
      </c>
      <c r="N268" t="s">
        <v>98</v>
      </c>
      <c r="O268">
        <f>SUMIFS(I268:I767,F268:F767,Table8[[#This Row],[Category]],N268:N767,Table8[[#This Row],[Region_Code]])</f>
        <v>12129.03</v>
      </c>
      <c r="P268" s="13">
        <f>SUMIFS(K268:K767,F268:F767,Table8[[#This Row],[Category]],N268:N767,Table8[[#This Row],[Region_Code]])</f>
        <v>2787.84</v>
      </c>
      <c r="Q268">
        <f>AVERAGEIFS(I268:I767,F268:F767,Table8[[#This Row],[Category]],N268:N767,Table8[[#This Row],[Region_Code]])</f>
        <v>808.60200000000009</v>
      </c>
      <c r="R268">
        <f>AVERAGEIFS(K268:K767,F268:F767,Table8[[#This Row],[Category]],N268:N767,Table8[[#This Row],[Region_Code]])</f>
        <v>185.85600000000002</v>
      </c>
    </row>
    <row r="269" spans="1:18" x14ac:dyDescent="0.3">
      <c r="A269" t="s">
        <v>651</v>
      </c>
      <c r="B269" t="s">
        <v>652</v>
      </c>
      <c r="C269" t="s">
        <v>266</v>
      </c>
      <c r="D269" t="s">
        <v>51</v>
      </c>
      <c r="E269" t="s">
        <v>74</v>
      </c>
      <c r="F269" t="s">
        <v>75</v>
      </c>
      <c r="G269">
        <v>3</v>
      </c>
      <c r="H269">
        <v>33.840000000000003</v>
      </c>
      <c r="I269">
        <v>101.52</v>
      </c>
      <c r="J269">
        <v>2.3199999999999998</v>
      </c>
      <c r="K269">
        <v>24.2</v>
      </c>
      <c r="L269" t="s">
        <v>48</v>
      </c>
      <c r="M269" t="s">
        <v>41</v>
      </c>
      <c r="N269" t="s">
        <v>76</v>
      </c>
      <c r="O269">
        <f>SUMIFS(I269:I768,F269:F768,Table8[[#This Row],[Category]],N269:N768,Table8[[#This Row],[Region_Code]])</f>
        <v>12046.449999999999</v>
      </c>
      <c r="P269" s="13">
        <f>SUMIFS(K269:K768,F269:F768,Table8[[#This Row],[Category]],N269:N768,Table8[[#This Row],[Region_Code]])</f>
        <v>3155.87</v>
      </c>
      <c r="Q269">
        <f>AVERAGEIFS(I269:I768,F269:F768,Table8[[#This Row],[Category]],N269:N768,Table8[[#This Row],[Region_Code]])</f>
        <v>1095.1318181818181</v>
      </c>
      <c r="R269">
        <f>AVERAGEIFS(K269:K768,F269:F768,Table8[[#This Row],[Category]],N269:N768,Table8[[#This Row],[Region_Code]])</f>
        <v>286.89727272727271</v>
      </c>
    </row>
    <row r="270" spans="1:18" x14ac:dyDescent="0.3">
      <c r="A270" t="s">
        <v>653</v>
      </c>
      <c r="B270" t="s">
        <v>654</v>
      </c>
      <c r="C270" t="s">
        <v>317</v>
      </c>
      <c r="D270" t="s">
        <v>241</v>
      </c>
      <c r="E270" t="s">
        <v>81</v>
      </c>
      <c r="F270" t="s">
        <v>68</v>
      </c>
      <c r="G270">
        <v>20</v>
      </c>
      <c r="H270">
        <v>21.12</v>
      </c>
      <c r="I270">
        <v>422.4</v>
      </c>
      <c r="J270">
        <v>22.08</v>
      </c>
      <c r="K270">
        <v>90.32</v>
      </c>
      <c r="L270" t="s">
        <v>33</v>
      </c>
      <c r="M270" t="s">
        <v>41</v>
      </c>
      <c r="N270" t="s">
        <v>35</v>
      </c>
      <c r="O270">
        <f>SUMIFS(I270:I769,F270:F769,Table8[[#This Row],[Category]],N270:N769,Table8[[#This Row],[Region_Code]])</f>
        <v>13649.760000000002</v>
      </c>
      <c r="P270" s="13">
        <f>SUMIFS(K270:K769,F270:F769,Table8[[#This Row],[Category]],N270:N769,Table8[[#This Row],[Region_Code]])</f>
        <v>3661.21</v>
      </c>
      <c r="Q270">
        <f>AVERAGEIFS(I270:I769,F270:F769,Table8[[#This Row],[Category]],N270:N769,Table8[[#This Row],[Region_Code]])</f>
        <v>853.11000000000013</v>
      </c>
      <c r="R270">
        <f>AVERAGEIFS(K270:K769,F270:F769,Table8[[#This Row],[Category]],N270:N769,Table8[[#This Row],[Region_Code]])</f>
        <v>228.825625</v>
      </c>
    </row>
    <row r="271" spans="1:18" x14ac:dyDescent="0.3">
      <c r="A271" t="s">
        <v>655</v>
      </c>
      <c r="B271" t="s">
        <v>656</v>
      </c>
      <c r="C271" t="s">
        <v>440</v>
      </c>
      <c r="D271" t="s">
        <v>141</v>
      </c>
      <c r="E271" t="s">
        <v>22</v>
      </c>
      <c r="F271" t="s">
        <v>23</v>
      </c>
      <c r="G271">
        <v>1</v>
      </c>
      <c r="H271">
        <v>58.15</v>
      </c>
      <c r="I271">
        <v>58.15</v>
      </c>
      <c r="J271">
        <v>4.2</v>
      </c>
      <c r="K271">
        <v>18.95</v>
      </c>
      <c r="L271" t="s">
        <v>33</v>
      </c>
      <c r="M271" t="s">
        <v>34</v>
      </c>
      <c r="N271" t="s">
        <v>142</v>
      </c>
      <c r="O271">
        <f>SUMIFS(I271:I770,F271:F770,Table8[[#This Row],[Category]],N271:N770,Table8[[#This Row],[Region_Code]])</f>
        <v>4733.5499999999993</v>
      </c>
      <c r="P271" s="13">
        <f>SUMIFS(K271:K770,F271:F770,Table8[[#This Row],[Category]],N271:N770,Table8[[#This Row],[Region_Code]])</f>
        <v>1391.35</v>
      </c>
      <c r="Q271">
        <f>AVERAGEIFS(I271:I770,F271:F770,Table8[[#This Row],[Category]],N271:N770,Table8[[#This Row],[Region_Code]])</f>
        <v>788.92499999999984</v>
      </c>
      <c r="R271">
        <f>AVERAGEIFS(K271:K770,F271:F770,Table8[[#This Row],[Category]],N271:N770,Table8[[#This Row],[Region_Code]])</f>
        <v>231.89166666666665</v>
      </c>
    </row>
    <row r="272" spans="1:18" x14ac:dyDescent="0.3">
      <c r="A272" t="s">
        <v>657</v>
      </c>
      <c r="B272" t="s">
        <v>658</v>
      </c>
      <c r="C272" t="s">
        <v>157</v>
      </c>
      <c r="D272" t="s">
        <v>45</v>
      </c>
      <c r="E272" t="s">
        <v>46</v>
      </c>
      <c r="F272" t="s">
        <v>47</v>
      </c>
      <c r="G272">
        <v>32</v>
      </c>
      <c r="H272">
        <v>45.96</v>
      </c>
      <c r="I272">
        <v>1470.72</v>
      </c>
      <c r="J272">
        <v>82.77</v>
      </c>
      <c r="K272">
        <v>363.95</v>
      </c>
      <c r="L272" t="s">
        <v>24</v>
      </c>
      <c r="M272" t="s">
        <v>34</v>
      </c>
      <c r="N272" t="s">
        <v>49</v>
      </c>
      <c r="O272">
        <f>SUMIFS(I272:I771,F272:F771,Table8[[#This Row],[Category]],N272:N771,Table8[[#This Row],[Region_Code]])</f>
        <v>10604.92</v>
      </c>
      <c r="P272" s="13">
        <f>SUMIFS(K272:K771,F272:F771,Table8[[#This Row],[Category]],N272:N771,Table8[[#This Row],[Region_Code]])</f>
        <v>3070.66</v>
      </c>
      <c r="Q272">
        <f>AVERAGEIFS(I272:I771,F272:F771,Table8[[#This Row],[Category]],N272:N771,Table8[[#This Row],[Region_Code]])</f>
        <v>883.74333333333334</v>
      </c>
      <c r="R272">
        <f>AVERAGEIFS(K272:K771,F272:F771,Table8[[#This Row],[Category]],N272:N771,Table8[[#This Row],[Region_Code]])</f>
        <v>255.88833333333332</v>
      </c>
    </row>
    <row r="273" spans="1:18" x14ac:dyDescent="0.3">
      <c r="A273" t="s">
        <v>659</v>
      </c>
      <c r="B273" t="s">
        <v>660</v>
      </c>
      <c r="C273" t="s">
        <v>471</v>
      </c>
      <c r="D273" t="s">
        <v>37</v>
      </c>
      <c r="E273" t="s">
        <v>86</v>
      </c>
      <c r="F273" t="s">
        <v>47</v>
      </c>
      <c r="G273">
        <v>37</v>
      </c>
      <c r="H273">
        <v>16.82</v>
      </c>
      <c r="I273">
        <v>622.34</v>
      </c>
      <c r="J273">
        <v>32.9</v>
      </c>
      <c r="K273">
        <v>117.69</v>
      </c>
      <c r="L273" t="s">
        <v>48</v>
      </c>
      <c r="M273" t="s">
        <v>34</v>
      </c>
      <c r="N273" t="s">
        <v>35</v>
      </c>
      <c r="O273">
        <f>SUMIFS(I273:I772,F273:F772,Table8[[#This Row],[Category]],N273:N772,Table8[[#This Row],[Region_Code]])</f>
        <v>18816.28</v>
      </c>
      <c r="P273" s="13">
        <f>SUMIFS(K273:K772,F273:F772,Table8[[#This Row],[Category]],N273:N772,Table8[[#This Row],[Region_Code]])</f>
        <v>5722.88</v>
      </c>
      <c r="Q273">
        <f>AVERAGEIFS(I273:I772,F273:F772,Table8[[#This Row],[Category]],N273:N772,Table8[[#This Row],[Region_Code]])</f>
        <v>752.6511999999999</v>
      </c>
      <c r="R273">
        <f>AVERAGEIFS(K273:K772,F273:F772,Table8[[#This Row],[Category]],N273:N772,Table8[[#This Row],[Region_Code]])</f>
        <v>228.9152</v>
      </c>
    </row>
    <row r="274" spans="1:18" x14ac:dyDescent="0.3">
      <c r="A274" t="s">
        <v>661</v>
      </c>
      <c r="B274" t="s">
        <v>662</v>
      </c>
      <c r="C274" t="s">
        <v>66</v>
      </c>
      <c r="D274" t="s">
        <v>37</v>
      </c>
      <c r="E274" t="s">
        <v>46</v>
      </c>
      <c r="F274" t="s">
        <v>47</v>
      </c>
      <c r="G274">
        <v>18</v>
      </c>
      <c r="H274">
        <v>54.62</v>
      </c>
      <c r="I274">
        <v>983.16</v>
      </c>
      <c r="J274">
        <v>22.61</v>
      </c>
      <c r="K274">
        <v>384.55</v>
      </c>
      <c r="L274" t="s">
        <v>48</v>
      </c>
      <c r="M274" t="s">
        <v>34</v>
      </c>
      <c r="N274" t="s">
        <v>35</v>
      </c>
      <c r="O274">
        <f>SUMIFS(I274:I773,F274:F773,Table8[[#This Row],[Category]],N274:N773,Table8[[#This Row],[Region_Code]])</f>
        <v>18193.940000000002</v>
      </c>
      <c r="P274" s="13">
        <f>SUMIFS(K274:K773,F274:F773,Table8[[#This Row],[Category]],N274:N773,Table8[[#This Row],[Region_Code]])</f>
        <v>5605.19</v>
      </c>
      <c r="Q274">
        <f>AVERAGEIFS(I274:I773,F274:F773,Table8[[#This Row],[Category]],N274:N773,Table8[[#This Row],[Region_Code]])</f>
        <v>758.08083333333343</v>
      </c>
      <c r="R274">
        <f>AVERAGEIFS(K274:K773,F274:F773,Table8[[#This Row],[Category]],N274:N773,Table8[[#This Row],[Region_Code]])</f>
        <v>233.54958333333332</v>
      </c>
    </row>
    <row r="275" spans="1:18" x14ac:dyDescent="0.3">
      <c r="A275" t="s">
        <v>663</v>
      </c>
      <c r="B275" t="s">
        <v>664</v>
      </c>
      <c r="C275" t="s">
        <v>170</v>
      </c>
      <c r="D275" t="s">
        <v>37</v>
      </c>
      <c r="E275" t="s">
        <v>86</v>
      </c>
      <c r="F275" t="s">
        <v>47</v>
      </c>
      <c r="G275">
        <v>30</v>
      </c>
      <c r="H275">
        <v>22.83</v>
      </c>
      <c r="I275">
        <v>684.9</v>
      </c>
      <c r="J275">
        <v>32.31</v>
      </c>
      <c r="K275">
        <v>270.08999999999997</v>
      </c>
      <c r="L275" t="s">
        <v>24</v>
      </c>
      <c r="M275" t="s">
        <v>34</v>
      </c>
      <c r="N275" t="s">
        <v>35</v>
      </c>
      <c r="O275">
        <f>SUMIFS(I275:I774,F275:F774,Table8[[#This Row],[Category]],N275:N774,Table8[[#This Row],[Region_Code]])</f>
        <v>17210.78</v>
      </c>
      <c r="P275" s="13">
        <f>SUMIFS(K275:K774,F275:F774,Table8[[#This Row],[Category]],N275:N774,Table8[[#This Row],[Region_Code]])</f>
        <v>5220.6400000000003</v>
      </c>
      <c r="Q275">
        <f>AVERAGEIFS(I275:I774,F275:F774,Table8[[#This Row],[Category]],N275:N774,Table8[[#This Row],[Region_Code]])</f>
        <v>748.29478260869564</v>
      </c>
      <c r="R275">
        <f>AVERAGEIFS(K275:K774,F275:F774,Table8[[#This Row],[Category]],N275:N774,Table8[[#This Row],[Region_Code]])</f>
        <v>226.98434782608697</v>
      </c>
    </row>
    <row r="276" spans="1:18" x14ac:dyDescent="0.3">
      <c r="A276" t="s">
        <v>665</v>
      </c>
      <c r="B276" t="s">
        <v>388</v>
      </c>
      <c r="C276" t="s">
        <v>666</v>
      </c>
      <c r="D276" t="s">
        <v>171</v>
      </c>
      <c r="E276" t="s">
        <v>46</v>
      </c>
      <c r="F276" t="s">
        <v>47</v>
      </c>
      <c r="G276">
        <v>39</v>
      </c>
      <c r="H276">
        <v>47.02</v>
      </c>
      <c r="I276">
        <v>1833.78</v>
      </c>
      <c r="J276">
        <v>50.01</v>
      </c>
      <c r="K276">
        <v>535.77</v>
      </c>
      <c r="L276" t="s">
        <v>48</v>
      </c>
      <c r="M276" t="s">
        <v>34</v>
      </c>
      <c r="N276" t="s">
        <v>35</v>
      </c>
      <c r="O276">
        <f>SUMIFS(I276:I775,F276:F775,Table8[[#This Row],[Category]],N276:N775,Table8[[#This Row],[Region_Code]])</f>
        <v>16525.88</v>
      </c>
      <c r="P276" s="13">
        <f>SUMIFS(K276:K775,F276:F775,Table8[[#This Row],[Category]],N276:N775,Table8[[#This Row],[Region_Code]])</f>
        <v>4950.5500000000011</v>
      </c>
      <c r="Q276">
        <f>AVERAGEIFS(I276:I775,F276:F775,Table8[[#This Row],[Category]],N276:N775,Table8[[#This Row],[Region_Code]])</f>
        <v>751.1763636363637</v>
      </c>
      <c r="R276">
        <f>AVERAGEIFS(K276:K775,F276:F775,Table8[[#This Row],[Category]],N276:N775,Table8[[#This Row],[Region_Code]])</f>
        <v>225.02500000000006</v>
      </c>
    </row>
    <row r="277" spans="1:18" x14ac:dyDescent="0.3">
      <c r="A277" t="s">
        <v>667</v>
      </c>
      <c r="B277" t="s">
        <v>668</v>
      </c>
      <c r="C277" t="s">
        <v>145</v>
      </c>
      <c r="D277" t="s">
        <v>21</v>
      </c>
      <c r="E277" t="s">
        <v>137</v>
      </c>
      <c r="F277" t="s">
        <v>68</v>
      </c>
      <c r="G277">
        <v>22</v>
      </c>
      <c r="H277">
        <v>43.32</v>
      </c>
      <c r="I277">
        <v>953.04</v>
      </c>
      <c r="J277">
        <v>71.3</v>
      </c>
      <c r="K277">
        <v>265.74</v>
      </c>
      <c r="L277" t="s">
        <v>33</v>
      </c>
      <c r="M277" t="s">
        <v>41</v>
      </c>
      <c r="N277" t="s">
        <v>98</v>
      </c>
      <c r="O277">
        <f>SUMIFS(I277:I776,F277:F776,Table8[[#This Row],[Category]],N277:N776,Table8[[#This Row],[Region_Code]])</f>
        <v>14540.730000000003</v>
      </c>
      <c r="P277" s="13">
        <f>SUMIFS(K277:K776,F277:F776,Table8[[#This Row],[Category]],N277:N776,Table8[[#This Row],[Region_Code]])</f>
        <v>4468.6000000000004</v>
      </c>
      <c r="Q277">
        <f>AVERAGEIFS(I277:I776,F277:F776,Table8[[#This Row],[Category]],N277:N776,Table8[[#This Row],[Region_Code]])</f>
        <v>1038.6235714285717</v>
      </c>
      <c r="R277">
        <f>AVERAGEIFS(K277:K776,F277:F776,Table8[[#This Row],[Category]],N277:N776,Table8[[#This Row],[Region_Code]])</f>
        <v>319.18571428571431</v>
      </c>
    </row>
    <row r="278" spans="1:18" x14ac:dyDescent="0.3">
      <c r="A278" t="s">
        <v>669</v>
      </c>
      <c r="B278" t="s">
        <v>670</v>
      </c>
      <c r="C278" t="s">
        <v>475</v>
      </c>
      <c r="D278" t="s">
        <v>127</v>
      </c>
      <c r="E278" t="s">
        <v>67</v>
      </c>
      <c r="F278" t="s">
        <v>68</v>
      </c>
      <c r="G278">
        <v>6</v>
      </c>
      <c r="H278">
        <v>31.69</v>
      </c>
      <c r="I278">
        <v>190.14</v>
      </c>
      <c r="J278">
        <v>12.52</v>
      </c>
      <c r="K278">
        <v>42.62</v>
      </c>
      <c r="L278" t="s">
        <v>48</v>
      </c>
      <c r="M278" t="s">
        <v>34</v>
      </c>
      <c r="N278" t="s">
        <v>76</v>
      </c>
      <c r="O278">
        <f>SUMIFS(I278:I777,F278:F777,Table8[[#This Row],[Category]],N278:N777,Table8[[#This Row],[Region_Code]])</f>
        <v>30228.700000000008</v>
      </c>
      <c r="P278" s="13">
        <f>SUMIFS(K278:K777,F278:F777,Table8[[#This Row],[Category]],N278:N777,Table8[[#This Row],[Region_Code]])</f>
        <v>8234.9600000000009</v>
      </c>
      <c r="Q278">
        <f>AVERAGEIFS(I278:I777,F278:F777,Table8[[#This Row],[Category]],N278:N777,Table8[[#This Row],[Region_Code]])</f>
        <v>944.64687500000025</v>
      </c>
      <c r="R278">
        <f>AVERAGEIFS(K278:K777,F278:F777,Table8[[#This Row],[Category]],N278:N777,Table8[[#This Row],[Region_Code]])</f>
        <v>257.34250000000003</v>
      </c>
    </row>
    <row r="279" spans="1:18" x14ac:dyDescent="0.3">
      <c r="A279" t="s">
        <v>671</v>
      </c>
      <c r="B279" t="s">
        <v>672</v>
      </c>
      <c r="C279" t="s">
        <v>317</v>
      </c>
      <c r="D279" t="s">
        <v>241</v>
      </c>
      <c r="E279" t="s">
        <v>22</v>
      </c>
      <c r="F279" t="s">
        <v>23</v>
      </c>
      <c r="G279">
        <v>19</v>
      </c>
      <c r="H279">
        <v>53.28</v>
      </c>
      <c r="I279">
        <v>1012.32</v>
      </c>
      <c r="J279">
        <v>27.24</v>
      </c>
      <c r="K279">
        <v>320.08</v>
      </c>
      <c r="L279" t="s">
        <v>48</v>
      </c>
      <c r="M279" t="s">
        <v>34</v>
      </c>
      <c r="N279" t="s">
        <v>35</v>
      </c>
      <c r="O279">
        <f>SUMIFS(I279:I778,F279:F778,Table8[[#This Row],[Category]],N279:N778,Table8[[#This Row],[Region_Code]])</f>
        <v>11839.300000000001</v>
      </c>
      <c r="P279" s="13">
        <f>SUMIFS(K279:K778,F279:F778,Table8[[#This Row],[Category]],N279:N778,Table8[[#This Row],[Region_Code]])</f>
        <v>3354.1</v>
      </c>
      <c r="Q279">
        <f>AVERAGEIFS(I279:I778,F279:F778,Table8[[#This Row],[Category]],N279:N778,Table8[[#This Row],[Region_Code]])</f>
        <v>1183.93</v>
      </c>
      <c r="R279">
        <f>AVERAGEIFS(K279:K778,F279:F778,Table8[[#This Row],[Category]],N279:N778,Table8[[#This Row],[Region_Code]])</f>
        <v>335.40999999999997</v>
      </c>
    </row>
    <row r="280" spans="1:18" x14ac:dyDescent="0.3">
      <c r="A280" t="s">
        <v>673</v>
      </c>
      <c r="B280" t="s">
        <v>530</v>
      </c>
      <c r="C280" t="s">
        <v>246</v>
      </c>
      <c r="D280" t="s">
        <v>21</v>
      </c>
      <c r="E280" t="s">
        <v>22</v>
      </c>
      <c r="F280" t="s">
        <v>23</v>
      </c>
      <c r="G280">
        <v>47</v>
      </c>
      <c r="H280">
        <v>47.53</v>
      </c>
      <c r="I280">
        <v>2233.91</v>
      </c>
      <c r="J280">
        <v>128.91</v>
      </c>
      <c r="K280">
        <v>460</v>
      </c>
      <c r="L280" t="s">
        <v>33</v>
      </c>
      <c r="M280" t="s">
        <v>25</v>
      </c>
      <c r="N280" t="s">
        <v>98</v>
      </c>
      <c r="O280">
        <f>SUMIFS(I280:I779,F280:F779,Table8[[#This Row],[Category]],N280:N779,Table8[[#This Row],[Region_Code]])</f>
        <v>6356.63</v>
      </c>
      <c r="P280" s="13">
        <f>SUMIFS(K280:K779,F280:F779,Table8[[#This Row],[Category]],N280:N779,Table8[[#This Row],[Region_Code]])</f>
        <v>1505.5</v>
      </c>
      <c r="Q280">
        <f>AVERAGEIFS(I280:I779,F280:F779,Table8[[#This Row],[Category]],N280:N779,Table8[[#This Row],[Region_Code]])</f>
        <v>1059.4383333333333</v>
      </c>
      <c r="R280">
        <f>AVERAGEIFS(K280:K779,F280:F779,Table8[[#This Row],[Category]],N280:N779,Table8[[#This Row],[Region_Code]])</f>
        <v>250.91666666666666</v>
      </c>
    </row>
    <row r="281" spans="1:18" x14ac:dyDescent="0.3">
      <c r="A281" t="s">
        <v>674</v>
      </c>
      <c r="B281" t="s">
        <v>675</v>
      </c>
      <c r="C281" t="s">
        <v>455</v>
      </c>
      <c r="D281" t="s">
        <v>116</v>
      </c>
      <c r="E281" t="s">
        <v>63</v>
      </c>
      <c r="F281" t="s">
        <v>47</v>
      </c>
      <c r="G281">
        <v>12</v>
      </c>
      <c r="H281">
        <v>24.02</v>
      </c>
      <c r="I281">
        <v>288.24</v>
      </c>
      <c r="J281">
        <v>9.8000000000000007</v>
      </c>
      <c r="K281">
        <v>38.44</v>
      </c>
      <c r="L281" t="s">
        <v>24</v>
      </c>
      <c r="M281" t="s">
        <v>41</v>
      </c>
      <c r="N281" t="s">
        <v>76</v>
      </c>
      <c r="O281">
        <f>SUMIFS(I281:I780,F281:F780,Table8[[#This Row],[Category]],N281:N780,Table8[[#This Row],[Region_Code]])</f>
        <v>11864.25</v>
      </c>
      <c r="P281" s="13">
        <f>SUMIFS(K281:K780,F281:F780,Table8[[#This Row],[Category]],N281:N780,Table8[[#This Row],[Region_Code]])</f>
        <v>3572.1299999999997</v>
      </c>
      <c r="Q281">
        <f>AVERAGEIFS(I281:I780,F281:F780,Table8[[#This Row],[Category]],N281:N780,Table8[[#This Row],[Region_Code]])</f>
        <v>697.89705882352939</v>
      </c>
      <c r="R281">
        <f>AVERAGEIFS(K281:K780,F281:F780,Table8[[#This Row],[Category]],N281:N780,Table8[[#This Row],[Region_Code]])</f>
        <v>210.12529411764703</v>
      </c>
    </row>
    <row r="282" spans="1:18" x14ac:dyDescent="0.3">
      <c r="A282" t="s">
        <v>676</v>
      </c>
      <c r="B282" t="s">
        <v>577</v>
      </c>
      <c r="C282" t="s">
        <v>574</v>
      </c>
      <c r="D282" t="s">
        <v>116</v>
      </c>
      <c r="E282" t="s">
        <v>86</v>
      </c>
      <c r="F282" t="s">
        <v>47</v>
      </c>
      <c r="G282">
        <v>32</v>
      </c>
      <c r="H282">
        <v>15.64</v>
      </c>
      <c r="I282">
        <v>500.48</v>
      </c>
      <c r="J282">
        <v>24.69</v>
      </c>
      <c r="K282">
        <v>67.790000000000006</v>
      </c>
      <c r="L282" t="s">
        <v>48</v>
      </c>
      <c r="M282" t="s">
        <v>25</v>
      </c>
      <c r="N282" t="s">
        <v>76</v>
      </c>
      <c r="O282">
        <f>SUMIFS(I282:I781,F282:F781,Table8[[#This Row],[Category]],N282:N781,Table8[[#This Row],[Region_Code]])</f>
        <v>11576.01</v>
      </c>
      <c r="P282" s="13">
        <f>SUMIFS(K282:K781,F282:F781,Table8[[#This Row],[Category]],N282:N781,Table8[[#This Row],[Region_Code]])</f>
        <v>3533.6899999999996</v>
      </c>
      <c r="Q282">
        <f>AVERAGEIFS(I282:I781,F282:F781,Table8[[#This Row],[Category]],N282:N781,Table8[[#This Row],[Region_Code]])</f>
        <v>723.50062500000001</v>
      </c>
      <c r="R282">
        <f>AVERAGEIFS(K282:K781,F282:F781,Table8[[#This Row],[Category]],N282:N781,Table8[[#This Row],[Region_Code]])</f>
        <v>220.85562499999997</v>
      </c>
    </row>
    <row r="283" spans="1:18" x14ac:dyDescent="0.3">
      <c r="A283" t="s">
        <v>677</v>
      </c>
      <c r="B283" t="s">
        <v>495</v>
      </c>
      <c r="C283" t="s">
        <v>381</v>
      </c>
      <c r="D283" t="s">
        <v>206</v>
      </c>
      <c r="E283" t="s">
        <v>46</v>
      </c>
      <c r="F283" t="s">
        <v>47</v>
      </c>
      <c r="G283">
        <v>22</v>
      </c>
      <c r="H283">
        <v>42.54</v>
      </c>
      <c r="I283">
        <v>935.88</v>
      </c>
      <c r="J283">
        <v>45.37</v>
      </c>
      <c r="K283">
        <v>186.51</v>
      </c>
      <c r="L283" t="s">
        <v>24</v>
      </c>
      <c r="M283" t="s">
        <v>41</v>
      </c>
      <c r="N283" t="s">
        <v>207</v>
      </c>
      <c r="O283">
        <f>SUMIFS(I283:I782,F283:F782,Table8[[#This Row],[Category]],N283:N782,Table8[[#This Row],[Region_Code]])</f>
        <v>5590.829999999999</v>
      </c>
      <c r="P283" s="13">
        <f>SUMIFS(K283:K782,F283:F782,Table8[[#This Row],[Category]],N283:N782,Table8[[#This Row],[Region_Code]])</f>
        <v>1497.18</v>
      </c>
      <c r="Q283">
        <f>AVERAGEIFS(I283:I782,F283:F782,Table8[[#This Row],[Category]],N283:N782,Table8[[#This Row],[Region_Code]])</f>
        <v>931.80499999999984</v>
      </c>
      <c r="R283">
        <f>AVERAGEIFS(K283:K782,F283:F782,Table8[[#This Row],[Category]],N283:N782,Table8[[#This Row],[Region_Code]])</f>
        <v>249.53</v>
      </c>
    </row>
    <row r="284" spans="1:18" x14ac:dyDescent="0.3">
      <c r="A284" t="s">
        <v>678</v>
      </c>
      <c r="B284" t="s">
        <v>679</v>
      </c>
      <c r="C284" t="s">
        <v>499</v>
      </c>
      <c r="D284" t="s">
        <v>70</v>
      </c>
      <c r="E284" t="s">
        <v>74</v>
      </c>
      <c r="F284" t="s">
        <v>75</v>
      </c>
      <c r="G284">
        <v>37</v>
      </c>
      <c r="H284">
        <v>43.55</v>
      </c>
      <c r="I284">
        <v>1611.35</v>
      </c>
      <c r="J284">
        <v>67.78</v>
      </c>
      <c r="K284">
        <v>618.57000000000005</v>
      </c>
      <c r="L284" t="s">
        <v>33</v>
      </c>
      <c r="M284" t="s">
        <v>34</v>
      </c>
      <c r="N284" t="s">
        <v>76</v>
      </c>
      <c r="O284">
        <f>SUMIFS(I284:I783,F284:F783,Table8[[#This Row],[Category]],N284:N783,Table8[[#This Row],[Region_Code]])</f>
        <v>11944.929999999998</v>
      </c>
      <c r="P284" s="13">
        <f>SUMIFS(K284:K783,F284:F783,Table8[[#This Row],[Category]],N284:N783,Table8[[#This Row],[Region_Code]])</f>
        <v>3131.67</v>
      </c>
      <c r="Q284">
        <f>AVERAGEIFS(I284:I783,F284:F783,Table8[[#This Row],[Category]],N284:N783,Table8[[#This Row],[Region_Code]])</f>
        <v>1194.4929999999999</v>
      </c>
      <c r="R284">
        <f>AVERAGEIFS(K284:K783,F284:F783,Table8[[#This Row],[Category]],N284:N783,Table8[[#This Row],[Region_Code]])</f>
        <v>313.16700000000003</v>
      </c>
    </row>
    <row r="285" spans="1:18" x14ac:dyDescent="0.3">
      <c r="A285" t="s">
        <v>680</v>
      </c>
      <c r="B285" t="s">
        <v>349</v>
      </c>
      <c r="C285" t="s">
        <v>182</v>
      </c>
      <c r="D285" t="s">
        <v>45</v>
      </c>
      <c r="E285" t="s">
        <v>81</v>
      </c>
      <c r="F285" t="s">
        <v>68</v>
      </c>
      <c r="G285">
        <v>42</v>
      </c>
      <c r="H285">
        <v>20.260000000000002</v>
      </c>
      <c r="I285">
        <v>850.92</v>
      </c>
      <c r="J285">
        <v>22.43</v>
      </c>
      <c r="K285">
        <v>177.49</v>
      </c>
      <c r="L285" t="s">
        <v>48</v>
      </c>
      <c r="M285" t="s">
        <v>41</v>
      </c>
      <c r="N285" t="s">
        <v>49</v>
      </c>
      <c r="O285">
        <f>SUMIFS(I285:I784,F285:F784,Table8[[#This Row],[Category]],N285:N784,Table8[[#This Row],[Region_Code]])</f>
        <v>1557.34</v>
      </c>
      <c r="P285" s="13">
        <f>SUMIFS(K285:K784,F285:F784,Table8[[#This Row],[Category]],N285:N784,Table8[[#This Row],[Region_Code]])</f>
        <v>264.97000000000003</v>
      </c>
      <c r="Q285">
        <f>AVERAGEIFS(I285:I784,F285:F784,Table8[[#This Row],[Category]],N285:N784,Table8[[#This Row],[Region_Code]])</f>
        <v>778.67</v>
      </c>
      <c r="R285">
        <f>AVERAGEIFS(K285:K784,F285:F784,Table8[[#This Row],[Category]],N285:N784,Table8[[#This Row],[Region_Code]])</f>
        <v>132.48500000000001</v>
      </c>
    </row>
    <row r="286" spans="1:18" x14ac:dyDescent="0.3">
      <c r="A286" t="s">
        <v>681</v>
      </c>
      <c r="B286" t="s">
        <v>682</v>
      </c>
      <c r="C286" t="s">
        <v>113</v>
      </c>
      <c r="D286" t="s">
        <v>55</v>
      </c>
      <c r="E286" t="s">
        <v>32</v>
      </c>
      <c r="F286" t="s">
        <v>23</v>
      </c>
      <c r="G286">
        <v>43</v>
      </c>
      <c r="H286">
        <v>24.08</v>
      </c>
      <c r="I286">
        <v>1035.44</v>
      </c>
      <c r="J286">
        <v>35.07</v>
      </c>
      <c r="K286">
        <v>226.37</v>
      </c>
      <c r="L286" t="s">
        <v>33</v>
      </c>
      <c r="M286" t="s">
        <v>41</v>
      </c>
      <c r="N286" t="s">
        <v>98</v>
      </c>
      <c r="O286">
        <f>SUMIFS(I286:I785,F286:F785,Table8[[#This Row],[Category]],N286:N785,Table8[[#This Row],[Region_Code]])</f>
        <v>4122.72</v>
      </c>
      <c r="P286" s="13">
        <f>SUMIFS(K286:K785,F286:F785,Table8[[#This Row],[Category]],N286:N785,Table8[[#This Row],[Region_Code]])</f>
        <v>1045.5</v>
      </c>
      <c r="Q286">
        <f>AVERAGEIFS(I286:I785,F286:F785,Table8[[#This Row],[Category]],N286:N785,Table8[[#This Row],[Region_Code]])</f>
        <v>824.5440000000001</v>
      </c>
      <c r="R286">
        <f>AVERAGEIFS(K286:K785,F286:F785,Table8[[#This Row],[Category]],N286:N785,Table8[[#This Row],[Region_Code]])</f>
        <v>209.1</v>
      </c>
    </row>
    <row r="287" spans="1:18" x14ac:dyDescent="0.3">
      <c r="A287" t="s">
        <v>683</v>
      </c>
      <c r="B287" t="s">
        <v>366</v>
      </c>
      <c r="C287" t="s">
        <v>471</v>
      </c>
      <c r="D287" t="s">
        <v>241</v>
      </c>
      <c r="E287" t="s">
        <v>56</v>
      </c>
      <c r="F287" t="s">
        <v>57</v>
      </c>
      <c r="G287">
        <v>14</v>
      </c>
      <c r="H287">
        <v>69.010000000000005</v>
      </c>
      <c r="I287">
        <v>966.14</v>
      </c>
      <c r="J287">
        <v>32.67</v>
      </c>
      <c r="K287">
        <v>373.47</v>
      </c>
      <c r="L287" t="s">
        <v>33</v>
      </c>
      <c r="M287" t="s">
        <v>25</v>
      </c>
      <c r="N287" t="s">
        <v>35</v>
      </c>
      <c r="O287">
        <f>SUMIFS(I287:I786,F287:F786,Table8[[#This Row],[Category]],N287:N786,Table8[[#This Row],[Region_Code]])</f>
        <v>3892.29</v>
      </c>
      <c r="P287" s="13">
        <f>SUMIFS(K287:K786,F287:F786,Table8[[#This Row],[Category]],N287:N786,Table8[[#This Row],[Region_Code]])</f>
        <v>1423.74</v>
      </c>
      <c r="Q287">
        <f>AVERAGEIFS(I287:I786,F287:F786,Table8[[#This Row],[Category]],N287:N786,Table8[[#This Row],[Region_Code]])</f>
        <v>1297.43</v>
      </c>
      <c r="R287">
        <f>AVERAGEIFS(K287:K786,F287:F786,Table8[[#This Row],[Category]],N287:N786,Table8[[#This Row],[Region_Code]])</f>
        <v>474.58</v>
      </c>
    </row>
    <row r="288" spans="1:18" x14ac:dyDescent="0.3">
      <c r="A288" t="s">
        <v>684</v>
      </c>
      <c r="B288" t="s">
        <v>435</v>
      </c>
      <c r="C288" t="s">
        <v>188</v>
      </c>
      <c r="D288" t="s">
        <v>206</v>
      </c>
      <c r="E288" t="s">
        <v>63</v>
      </c>
      <c r="F288" t="s">
        <v>47</v>
      </c>
      <c r="G288">
        <v>29</v>
      </c>
      <c r="H288">
        <v>28.29</v>
      </c>
      <c r="I288">
        <v>820.41</v>
      </c>
      <c r="J288">
        <v>63.15</v>
      </c>
      <c r="K288">
        <v>177.26</v>
      </c>
      <c r="L288" t="s">
        <v>48</v>
      </c>
      <c r="M288" t="s">
        <v>41</v>
      </c>
      <c r="N288" t="s">
        <v>207</v>
      </c>
      <c r="O288">
        <f>SUMIFS(I288:I787,F288:F787,Table8[[#This Row],[Category]],N288:N787,Table8[[#This Row],[Region_Code]])</f>
        <v>4654.95</v>
      </c>
      <c r="P288" s="13">
        <f>SUMIFS(K288:K787,F288:F787,Table8[[#This Row],[Category]],N288:N787,Table8[[#This Row],[Region_Code]])</f>
        <v>1310.67</v>
      </c>
      <c r="Q288">
        <f>AVERAGEIFS(I288:I787,F288:F787,Table8[[#This Row],[Category]],N288:N787,Table8[[#This Row],[Region_Code]])</f>
        <v>930.99</v>
      </c>
      <c r="R288">
        <f>AVERAGEIFS(K288:K787,F288:F787,Table8[[#This Row],[Category]],N288:N787,Table8[[#This Row],[Region_Code]])</f>
        <v>262.13400000000001</v>
      </c>
    </row>
    <row r="289" spans="1:18" x14ac:dyDescent="0.3">
      <c r="A289" t="s">
        <v>685</v>
      </c>
      <c r="B289" t="s">
        <v>686</v>
      </c>
      <c r="C289" t="s">
        <v>352</v>
      </c>
      <c r="D289" t="s">
        <v>62</v>
      </c>
      <c r="E289" t="s">
        <v>81</v>
      </c>
      <c r="F289" t="s">
        <v>68</v>
      </c>
      <c r="G289">
        <v>29</v>
      </c>
      <c r="H289">
        <v>26.51</v>
      </c>
      <c r="I289">
        <v>768.79</v>
      </c>
      <c r="J289">
        <v>15.66</v>
      </c>
      <c r="K289">
        <v>303.63</v>
      </c>
      <c r="L289" t="s">
        <v>33</v>
      </c>
      <c r="M289" t="s">
        <v>25</v>
      </c>
      <c r="N289" t="s">
        <v>98</v>
      </c>
      <c r="O289">
        <f>SUMIFS(I289:I788,F289:F788,Table8[[#This Row],[Category]],N289:N788,Table8[[#This Row],[Region_Code]])</f>
        <v>13587.690000000002</v>
      </c>
      <c r="P289" s="13">
        <f>SUMIFS(K289:K788,F289:F788,Table8[[#This Row],[Category]],N289:N788,Table8[[#This Row],[Region_Code]])</f>
        <v>4202.8599999999997</v>
      </c>
      <c r="Q289">
        <f>AVERAGEIFS(I289:I788,F289:F788,Table8[[#This Row],[Category]],N289:N788,Table8[[#This Row],[Region_Code]])</f>
        <v>1045.2069230769232</v>
      </c>
      <c r="R289">
        <f>AVERAGEIFS(K289:K788,F289:F788,Table8[[#This Row],[Category]],N289:N788,Table8[[#This Row],[Region_Code]])</f>
        <v>323.29692307692306</v>
      </c>
    </row>
    <row r="290" spans="1:18" x14ac:dyDescent="0.3">
      <c r="A290" t="s">
        <v>687</v>
      </c>
      <c r="B290" t="s">
        <v>688</v>
      </c>
      <c r="C290" t="s">
        <v>194</v>
      </c>
      <c r="D290" t="s">
        <v>55</v>
      </c>
      <c r="E290" t="s">
        <v>22</v>
      </c>
      <c r="F290" t="s">
        <v>23</v>
      </c>
      <c r="G290">
        <v>11</v>
      </c>
      <c r="H290">
        <v>58.07</v>
      </c>
      <c r="I290">
        <v>638.77</v>
      </c>
      <c r="J290">
        <v>43.89</v>
      </c>
      <c r="K290">
        <v>209.88</v>
      </c>
      <c r="L290" t="s">
        <v>24</v>
      </c>
      <c r="M290" t="s">
        <v>34</v>
      </c>
      <c r="N290" t="s">
        <v>98</v>
      </c>
      <c r="O290">
        <f>SUMIFS(I290:I789,F290:F789,Table8[[#This Row],[Category]],N290:N789,Table8[[#This Row],[Region_Code]])</f>
        <v>3087.2799999999997</v>
      </c>
      <c r="P290" s="13">
        <f>SUMIFS(K290:K789,F290:F789,Table8[[#This Row],[Category]],N290:N789,Table8[[#This Row],[Region_Code]])</f>
        <v>819.13</v>
      </c>
      <c r="Q290">
        <f>AVERAGEIFS(I290:I789,F290:F789,Table8[[#This Row],[Category]],N290:N789,Table8[[#This Row],[Region_Code]])</f>
        <v>771.81999999999994</v>
      </c>
      <c r="R290">
        <f>AVERAGEIFS(K290:K789,F290:F789,Table8[[#This Row],[Category]],N290:N789,Table8[[#This Row],[Region_Code]])</f>
        <v>204.7825</v>
      </c>
    </row>
    <row r="291" spans="1:18" x14ac:dyDescent="0.3">
      <c r="A291" t="s">
        <v>689</v>
      </c>
      <c r="B291" t="s">
        <v>536</v>
      </c>
      <c r="C291" t="s">
        <v>177</v>
      </c>
      <c r="D291" t="s">
        <v>31</v>
      </c>
      <c r="E291" t="s">
        <v>46</v>
      </c>
      <c r="F291" t="s">
        <v>47</v>
      </c>
      <c r="G291">
        <v>3</v>
      </c>
      <c r="H291">
        <v>48.76</v>
      </c>
      <c r="I291">
        <v>146.28</v>
      </c>
      <c r="J291">
        <v>10.45</v>
      </c>
      <c r="K291">
        <v>39.83</v>
      </c>
      <c r="L291" t="s">
        <v>48</v>
      </c>
      <c r="M291" t="s">
        <v>34</v>
      </c>
      <c r="N291" t="s">
        <v>35</v>
      </c>
      <c r="O291">
        <f>SUMIFS(I291:I790,F291:F790,Table8[[#This Row],[Category]],N291:N790,Table8[[#This Row],[Region_Code]])</f>
        <v>14692.1</v>
      </c>
      <c r="P291" s="13">
        <f>SUMIFS(K291:K790,F291:F790,Table8[[#This Row],[Category]],N291:N790,Table8[[#This Row],[Region_Code]])</f>
        <v>4414.7800000000007</v>
      </c>
      <c r="Q291">
        <f>AVERAGEIFS(I291:I790,F291:F790,Table8[[#This Row],[Category]],N291:N790,Table8[[#This Row],[Region_Code]])</f>
        <v>699.62380952380954</v>
      </c>
      <c r="R291">
        <f>AVERAGEIFS(K291:K790,F291:F790,Table8[[#This Row],[Category]],N291:N790,Table8[[#This Row],[Region_Code]])</f>
        <v>210.22761904761907</v>
      </c>
    </row>
    <row r="292" spans="1:18" x14ac:dyDescent="0.3">
      <c r="A292" t="s">
        <v>690</v>
      </c>
      <c r="B292" t="s">
        <v>691</v>
      </c>
      <c r="C292" t="s">
        <v>257</v>
      </c>
      <c r="D292" t="s">
        <v>70</v>
      </c>
      <c r="E292" t="s">
        <v>63</v>
      </c>
      <c r="F292" t="s">
        <v>47</v>
      </c>
      <c r="G292">
        <v>49</v>
      </c>
      <c r="H292">
        <v>30.46</v>
      </c>
      <c r="I292">
        <v>1492.54</v>
      </c>
      <c r="J292">
        <v>51.82</v>
      </c>
      <c r="K292">
        <v>460.72</v>
      </c>
      <c r="L292" t="s">
        <v>33</v>
      </c>
      <c r="M292" t="s">
        <v>25</v>
      </c>
      <c r="N292" t="s">
        <v>76</v>
      </c>
      <c r="O292">
        <f>SUMIFS(I292:I791,F292:F791,Table8[[#This Row],[Category]],N292:N791,Table8[[#This Row],[Region_Code]])</f>
        <v>11075.529999999999</v>
      </c>
      <c r="P292" s="13">
        <f>SUMIFS(K292:K791,F292:F791,Table8[[#This Row],[Category]],N292:N791,Table8[[#This Row],[Region_Code]])</f>
        <v>3465.8999999999996</v>
      </c>
      <c r="Q292">
        <f>AVERAGEIFS(I292:I791,F292:F791,Table8[[#This Row],[Category]],N292:N791,Table8[[#This Row],[Region_Code]])</f>
        <v>738.36866666666663</v>
      </c>
      <c r="R292">
        <f>AVERAGEIFS(K292:K791,F292:F791,Table8[[#This Row],[Category]],N292:N791,Table8[[#This Row],[Region_Code]])</f>
        <v>231.05999999999997</v>
      </c>
    </row>
    <row r="293" spans="1:18" x14ac:dyDescent="0.3">
      <c r="A293" t="s">
        <v>692</v>
      </c>
      <c r="B293" t="s">
        <v>131</v>
      </c>
      <c r="C293" t="s">
        <v>40</v>
      </c>
      <c r="D293" t="s">
        <v>51</v>
      </c>
      <c r="E293" t="s">
        <v>137</v>
      </c>
      <c r="F293" t="s">
        <v>68</v>
      </c>
      <c r="G293">
        <v>25</v>
      </c>
      <c r="H293">
        <v>35.21</v>
      </c>
      <c r="I293">
        <v>880.25</v>
      </c>
      <c r="J293">
        <v>39.799999999999997</v>
      </c>
      <c r="K293">
        <v>140.44999999999999</v>
      </c>
      <c r="L293" t="s">
        <v>48</v>
      </c>
      <c r="M293" t="s">
        <v>34</v>
      </c>
      <c r="N293" t="s">
        <v>76</v>
      </c>
      <c r="O293">
        <f>SUMIFS(I293:I792,F293:F792,Table8[[#This Row],[Category]],N293:N792,Table8[[#This Row],[Region_Code]])</f>
        <v>30038.560000000005</v>
      </c>
      <c r="P293" s="13">
        <f>SUMIFS(K293:K792,F293:F792,Table8[[#This Row],[Category]],N293:N792,Table8[[#This Row],[Region_Code]])</f>
        <v>8192.34</v>
      </c>
      <c r="Q293">
        <f>AVERAGEIFS(I293:I792,F293:F792,Table8[[#This Row],[Category]],N293:N792,Table8[[#This Row],[Region_Code]])</f>
        <v>968.98580645161303</v>
      </c>
      <c r="R293">
        <f>AVERAGEIFS(K293:K792,F293:F792,Table8[[#This Row],[Category]],N293:N792,Table8[[#This Row],[Region_Code]])</f>
        <v>264.2690322580645</v>
      </c>
    </row>
    <row r="294" spans="1:18" x14ac:dyDescent="0.3">
      <c r="A294" t="s">
        <v>693</v>
      </c>
      <c r="B294" t="s">
        <v>694</v>
      </c>
      <c r="C294" t="s">
        <v>352</v>
      </c>
      <c r="D294" t="s">
        <v>21</v>
      </c>
      <c r="E294" t="s">
        <v>137</v>
      </c>
      <c r="F294" t="s">
        <v>68</v>
      </c>
      <c r="G294">
        <v>37</v>
      </c>
      <c r="H294">
        <v>44.82</v>
      </c>
      <c r="I294">
        <v>1658.34</v>
      </c>
      <c r="J294">
        <v>65.75</v>
      </c>
      <c r="K294">
        <v>556.59</v>
      </c>
      <c r="L294" t="s">
        <v>33</v>
      </c>
      <c r="M294" t="s">
        <v>34</v>
      </c>
      <c r="N294" t="s">
        <v>98</v>
      </c>
      <c r="O294">
        <f>SUMIFS(I294:I793,F294:F793,Table8[[#This Row],[Category]],N294:N793,Table8[[#This Row],[Region_Code]])</f>
        <v>12818.900000000001</v>
      </c>
      <c r="P294" s="13">
        <f>SUMIFS(K294:K793,F294:F793,Table8[[#This Row],[Category]],N294:N793,Table8[[#This Row],[Region_Code]])</f>
        <v>3899.23</v>
      </c>
      <c r="Q294">
        <f>AVERAGEIFS(I294:I793,F294:F793,Table8[[#This Row],[Category]],N294:N793,Table8[[#This Row],[Region_Code]])</f>
        <v>1068.2416666666668</v>
      </c>
      <c r="R294">
        <f>AVERAGEIFS(K294:K793,F294:F793,Table8[[#This Row],[Category]],N294:N793,Table8[[#This Row],[Region_Code]])</f>
        <v>324.93583333333333</v>
      </c>
    </row>
    <row r="295" spans="1:18" x14ac:dyDescent="0.3">
      <c r="A295" t="s">
        <v>695</v>
      </c>
      <c r="B295" t="s">
        <v>696</v>
      </c>
      <c r="C295" t="s">
        <v>485</v>
      </c>
      <c r="D295" t="s">
        <v>241</v>
      </c>
      <c r="E295" t="s">
        <v>81</v>
      </c>
      <c r="F295" t="s">
        <v>68</v>
      </c>
      <c r="G295">
        <v>11</v>
      </c>
      <c r="H295">
        <v>18.75</v>
      </c>
      <c r="I295">
        <v>206.25</v>
      </c>
      <c r="J295">
        <v>11.67</v>
      </c>
      <c r="K295">
        <v>24.08</v>
      </c>
      <c r="L295" t="s">
        <v>24</v>
      </c>
      <c r="M295" t="s">
        <v>25</v>
      </c>
      <c r="N295" t="s">
        <v>35</v>
      </c>
      <c r="O295">
        <f>SUMIFS(I295:I794,F295:F794,Table8[[#This Row],[Category]],N295:N794,Table8[[#This Row],[Region_Code]])</f>
        <v>13227.360000000002</v>
      </c>
      <c r="P295" s="13">
        <f>SUMIFS(K295:K794,F295:F794,Table8[[#This Row],[Category]],N295:N794,Table8[[#This Row],[Region_Code]])</f>
        <v>3570.8900000000003</v>
      </c>
      <c r="Q295">
        <f>AVERAGEIFS(I295:I794,F295:F794,Table8[[#This Row],[Category]],N295:N794,Table8[[#This Row],[Region_Code]])</f>
        <v>881.82400000000018</v>
      </c>
      <c r="R295">
        <f>AVERAGEIFS(K295:K794,F295:F794,Table8[[#This Row],[Category]],N295:N794,Table8[[#This Row],[Region_Code]])</f>
        <v>238.05933333333334</v>
      </c>
    </row>
    <row r="296" spans="1:18" x14ac:dyDescent="0.3">
      <c r="A296" t="s">
        <v>697</v>
      </c>
      <c r="B296" t="s">
        <v>488</v>
      </c>
      <c r="C296" t="s">
        <v>352</v>
      </c>
      <c r="D296" t="s">
        <v>45</v>
      </c>
      <c r="E296" t="s">
        <v>63</v>
      </c>
      <c r="F296" t="s">
        <v>47</v>
      </c>
      <c r="G296">
        <v>37</v>
      </c>
      <c r="H296">
        <v>31.66</v>
      </c>
      <c r="I296">
        <v>1171.42</v>
      </c>
      <c r="J296">
        <v>58.95</v>
      </c>
      <c r="K296">
        <v>372.47</v>
      </c>
      <c r="L296" t="s">
        <v>48</v>
      </c>
      <c r="M296" t="s">
        <v>25</v>
      </c>
      <c r="N296" t="s">
        <v>49</v>
      </c>
      <c r="O296">
        <f>SUMIFS(I296:I795,F296:F795,Table8[[#This Row],[Category]],N296:N795,Table8[[#This Row],[Region_Code]])</f>
        <v>9134.2000000000007</v>
      </c>
      <c r="P296" s="13">
        <f>SUMIFS(K296:K795,F296:F795,Table8[[#This Row],[Category]],N296:N795,Table8[[#This Row],[Region_Code]])</f>
        <v>2706.7099999999996</v>
      </c>
      <c r="Q296">
        <f>AVERAGEIFS(I296:I795,F296:F795,Table8[[#This Row],[Category]],N296:N795,Table8[[#This Row],[Region_Code]])</f>
        <v>830.38181818181829</v>
      </c>
      <c r="R296">
        <f>AVERAGEIFS(K296:K795,F296:F795,Table8[[#This Row],[Category]],N296:N795,Table8[[#This Row],[Region_Code]])</f>
        <v>246.06454545454542</v>
      </c>
    </row>
    <row r="297" spans="1:18" x14ac:dyDescent="0.3">
      <c r="A297" t="s">
        <v>698</v>
      </c>
      <c r="B297" t="s">
        <v>699</v>
      </c>
      <c r="C297" t="s">
        <v>475</v>
      </c>
      <c r="D297" t="s">
        <v>31</v>
      </c>
      <c r="E297" t="s">
        <v>63</v>
      </c>
      <c r="F297" t="s">
        <v>47</v>
      </c>
      <c r="G297">
        <v>17</v>
      </c>
      <c r="H297">
        <v>32.74</v>
      </c>
      <c r="I297">
        <v>556.58000000000004</v>
      </c>
      <c r="J297">
        <v>14.68</v>
      </c>
      <c r="K297">
        <v>201.9</v>
      </c>
      <c r="L297" t="s">
        <v>33</v>
      </c>
      <c r="M297" t="s">
        <v>34</v>
      </c>
      <c r="N297" t="s">
        <v>35</v>
      </c>
      <c r="O297">
        <f>SUMIFS(I297:I796,F297:F796,Table8[[#This Row],[Category]],N297:N796,Table8[[#This Row],[Region_Code]])</f>
        <v>14545.820000000002</v>
      </c>
      <c r="P297" s="13">
        <f>SUMIFS(K297:K796,F297:F796,Table8[[#This Row],[Category]],N297:N796,Table8[[#This Row],[Region_Code]])</f>
        <v>4374.95</v>
      </c>
      <c r="Q297">
        <f>AVERAGEIFS(I297:I796,F297:F796,Table8[[#This Row],[Category]],N297:N796,Table8[[#This Row],[Region_Code]])</f>
        <v>727.29100000000005</v>
      </c>
      <c r="R297">
        <f>AVERAGEIFS(K297:K796,F297:F796,Table8[[#This Row],[Category]],N297:N796,Table8[[#This Row],[Region_Code]])</f>
        <v>218.7475</v>
      </c>
    </row>
    <row r="298" spans="1:18" x14ac:dyDescent="0.3">
      <c r="A298" t="s">
        <v>700</v>
      </c>
      <c r="B298" t="s">
        <v>701</v>
      </c>
      <c r="C298" t="s">
        <v>113</v>
      </c>
      <c r="D298" t="s">
        <v>21</v>
      </c>
      <c r="E298" t="s">
        <v>137</v>
      </c>
      <c r="F298" t="s">
        <v>68</v>
      </c>
      <c r="G298">
        <v>7</v>
      </c>
      <c r="H298">
        <v>46.64</v>
      </c>
      <c r="I298">
        <v>326.48</v>
      </c>
      <c r="J298">
        <v>25.19</v>
      </c>
      <c r="K298">
        <v>105.29</v>
      </c>
      <c r="L298" t="s">
        <v>33</v>
      </c>
      <c r="M298" t="s">
        <v>41</v>
      </c>
      <c r="N298" t="s">
        <v>98</v>
      </c>
      <c r="O298">
        <f>SUMIFS(I298:I797,F298:F797,Table8[[#This Row],[Category]],N298:N797,Table8[[#This Row],[Region_Code]])</f>
        <v>11160.560000000001</v>
      </c>
      <c r="P298" s="13">
        <f>SUMIFS(K298:K797,F298:F797,Table8[[#This Row],[Category]],N298:N797,Table8[[#This Row],[Region_Code]])</f>
        <v>3342.64</v>
      </c>
      <c r="Q298">
        <f>AVERAGEIFS(I298:I797,F298:F797,Table8[[#This Row],[Category]],N298:N797,Table8[[#This Row],[Region_Code]])</f>
        <v>1014.5963636363638</v>
      </c>
      <c r="R298">
        <f>AVERAGEIFS(K298:K797,F298:F797,Table8[[#This Row],[Category]],N298:N797,Table8[[#This Row],[Region_Code]])</f>
        <v>303.87636363636364</v>
      </c>
    </row>
    <row r="299" spans="1:18" x14ac:dyDescent="0.3">
      <c r="A299" t="s">
        <v>702</v>
      </c>
      <c r="B299" t="s">
        <v>703</v>
      </c>
      <c r="C299" t="s">
        <v>216</v>
      </c>
      <c r="D299" t="s">
        <v>123</v>
      </c>
      <c r="E299" t="s">
        <v>32</v>
      </c>
      <c r="F299" t="s">
        <v>23</v>
      </c>
      <c r="G299">
        <v>16</v>
      </c>
      <c r="H299">
        <v>24.77</v>
      </c>
      <c r="I299">
        <v>396.32</v>
      </c>
      <c r="J299">
        <v>15.6</v>
      </c>
      <c r="K299">
        <v>92.72</v>
      </c>
      <c r="L299" t="s">
        <v>24</v>
      </c>
      <c r="M299" t="s">
        <v>41</v>
      </c>
      <c r="N299" t="s">
        <v>76</v>
      </c>
      <c r="O299">
        <f>SUMIFS(I299:I798,F299:F798,Table8[[#This Row],[Category]],N299:N798,Table8[[#This Row],[Region_Code]])</f>
        <v>13585.599999999997</v>
      </c>
      <c r="P299" s="13">
        <f>SUMIFS(K299:K798,F299:F798,Table8[[#This Row],[Category]],N299:N798,Table8[[#This Row],[Region_Code]])</f>
        <v>3286.7799999999997</v>
      </c>
      <c r="Q299">
        <f>AVERAGEIFS(I299:I798,F299:F798,Table8[[#This Row],[Category]],N299:N798,Table8[[#This Row],[Region_Code]])</f>
        <v>754.75555555555536</v>
      </c>
      <c r="R299">
        <f>AVERAGEIFS(K299:K798,F299:F798,Table8[[#This Row],[Category]],N299:N798,Table8[[#This Row],[Region_Code]])</f>
        <v>182.59888888888887</v>
      </c>
    </row>
    <row r="300" spans="1:18" x14ac:dyDescent="0.3">
      <c r="A300" t="s">
        <v>704</v>
      </c>
      <c r="B300" t="s">
        <v>406</v>
      </c>
      <c r="C300" t="s">
        <v>85</v>
      </c>
      <c r="D300" t="s">
        <v>62</v>
      </c>
      <c r="E300" t="s">
        <v>56</v>
      </c>
      <c r="F300" t="s">
        <v>57</v>
      </c>
      <c r="G300">
        <v>39</v>
      </c>
      <c r="H300">
        <v>56.5</v>
      </c>
      <c r="I300">
        <v>2203.5</v>
      </c>
      <c r="J300">
        <v>141.58000000000001</v>
      </c>
      <c r="K300">
        <v>501.92</v>
      </c>
      <c r="L300" t="s">
        <v>48</v>
      </c>
      <c r="M300" t="s">
        <v>25</v>
      </c>
      <c r="N300" t="s">
        <v>98</v>
      </c>
      <c r="O300">
        <f>SUMIFS(I300:I799,F300:F799,Table8[[#This Row],[Category]],N300:N799,Table8[[#This Row],[Region_Code]])</f>
        <v>2203.5</v>
      </c>
      <c r="P300" s="13">
        <f>SUMIFS(K300:K799,F300:F799,Table8[[#This Row],[Category]],N300:N799,Table8[[#This Row],[Region_Code]])</f>
        <v>501.92</v>
      </c>
      <c r="Q300">
        <f>AVERAGEIFS(I300:I799,F300:F799,Table8[[#This Row],[Category]],N300:N799,Table8[[#This Row],[Region_Code]])</f>
        <v>2203.5</v>
      </c>
      <c r="R300">
        <f>AVERAGEIFS(K300:K799,F300:F799,Table8[[#This Row],[Category]],N300:N799,Table8[[#This Row],[Region_Code]])</f>
        <v>501.92</v>
      </c>
    </row>
    <row r="301" spans="1:18" x14ac:dyDescent="0.3">
      <c r="A301" t="s">
        <v>705</v>
      </c>
      <c r="B301" t="s">
        <v>706</v>
      </c>
      <c r="C301" t="s">
        <v>574</v>
      </c>
      <c r="D301" t="s">
        <v>70</v>
      </c>
      <c r="E301" t="s">
        <v>81</v>
      </c>
      <c r="F301" t="s">
        <v>68</v>
      </c>
      <c r="G301">
        <v>1</v>
      </c>
      <c r="H301">
        <v>24.01</v>
      </c>
      <c r="I301">
        <v>24.01</v>
      </c>
      <c r="J301">
        <v>1.58</v>
      </c>
      <c r="K301">
        <v>6.93</v>
      </c>
      <c r="L301" t="s">
        <v>24</v>
      </c>
      <c r="M301" t="s">
        <v>25</v>
      </c>
      <c r="N301" t="s">
        <v>76</v>
      </c>
      <c r="O301">
        <f>SUMIFS(I301:I800,F301:F800,Table8[[#This Row],[Category]],N301:N800,Table8[[#This Row],[Region_Code]])</f>
        <v>29158.310000000009</v>
      </c>
      <c r="P301" s="13">
        <f>SUMIFS(K301:K800,F301:F800,Table8[[#This Row],[Category]],N301:N800,Table8[[#This Row],[Region_Code]])</f>
        <v>8051.89</v>
      </c>
      <c r="Q301">
        <f>AVERAGEIFS(I301:I800,F301:F800,Table8[[#This Row],[Category]],N301:N800,Table8[[#This Row],[Region_Code]])</f>
        <v>971.9436666666669</v>
      </c>
      <c r="R301">
        <f>AVERAGEIFS(K301:K800,F301:F800,Table8[[#This Row],[Category]],N301:N800,Table8[[#This Row],[Region_Code]])</f>
        <v>268.39633333333336</v>
      </c>
    </row>
    <row r="302" spans="1:18" x14ac:dyDescent="0.3">
      <c r="A302" t="s">
        <v>707</v>
      </c>
      <c r="B302" t="s">
        <v>187</v>
      </c>
      <c r="C302" t="s">
        <v>162</v>
      </c>
      <c r="D302" t="s">
        <v>70</v>
      </c>
      <c r="E302" t="s">
        <v>74</v>
      </c>
      <c r="F302" t="s">
        <v>75</v>
      </c>
      <c r="G302">
        <v>45</v>
      </c>
      <c r="H302">
        <v>35.99</v>
      </c>
      <c r="I302">
        <v>1619.55</v>
      </c>
      <c r="J302">
        <v>49.95</v>
      </c>
      <c r="K302">
        <v>444.6</v>
      </c>
      <c r="L302" t="s">
        <v>24</v>
      </c>
      <c r="M302" t="s">
        <v>34</v>
      </c>
      <c r="N302" t="s">
        <v>76</v>
      </c>
      <c r="O302">
        <f>SUMIFS(I302:I801,F302:F801,Table8[[#This Row],[Category]],N302:N801,Table8[[#This Row],[Region_Code]])</f>
        <v>10333.58</v>
      </c>
      <c r="P302" s="13">
        <f>SUMIFS(K302:K801,F302:F801,Table8[[#This Row],[Category]],N302:N801,Table8[[#This Row],[Region_Code]])</f>
        <v>2513.1</v>
      </c>
      <c r="Q302">
        <f>AVERAGEIFS(I302:I801,F302:F801,Table8[[#This Row],[Category]],N302:N801,Table8[[#This Row],[Region_Code]])</f>
        <v>1148.1755555555555</v>
      </c>
      <c r="R302">
        <f>AVERAGEIFS(K302:K801,F302:F801,Table8[[#This Row],[Category]],N302:N801,Table8[[#This Row],[Region_Code]])</f>
        <v>279.23333333333335</v>
      </c>
    </row>
    <row r="303" spans="1:18" x14ac:dyDescent="0.3">
      <c r="A303" t="s">
        <v>708</v>
      </c>
      <c r="B303" t="s">
        <v>303</v>
      </c>
      <c r="C303" t="s">
        <v>266</v>
      </c>
      <c r="D303" t="s">
        <v>116</v>
      </c>
      <c r="E303" t="s">
        <v>63</v>
      </c>
      <c r="F303" t="s">
        <v>47</v>
      </c>
      <c r="G303">
        <v>5</v>
      </c>
      <c r="H303">
        <v>25.45</v>
      </c>
      <c r="I303">
        <v>127.25</v>
      </c>
      <c r="J303">
        <v>7.22</v>
      </c>
      <c r="K303">
        <v>20.03</v>
      </c>
      <c r="L303" t="s">
        <v>48</v>
      </c>
      <c r="M303" t="s">
        <v>41</v>
      </c>
      <c r="N303" t="s">
        <v>76</v>
      </c>
      <c r="O303">
        <f>SUMIFS(I303:I802,F303:F802,Table8[[#This Row],[Category]],N303:N802,Table8[[#This Row],[Region_Code]])</f>
        <v>9582.9900000000016</v>
      </c>
      <c r="P303" s="13">
        <f>SUMIFS(K303:K802,F303:F802,Table8[[#This Row],[Category]],N303:N802,Table8[[#This Row],[Region_Code]])</f>
        <v>3005.18</v>
      </c>
      <c r="Q303">
        <f>AVERAGEIFS(I303:I802,F303:F802,Table8[[#This Row],[Category]],N303:N802,Table8[[#This Row],[Region_Code]])</f>
        <v>684.49928571428586</v>
      </c>
      <c r="R303">
        <f>AVERAGEIFS(K303:K802,F303:F802,Table8[[#This Row],[Category]],N303:N802,Table8[[#This Row],[Region_Code]])</f>
        <v>214.65571428571428</v>
      </c>
    </row>
    <row r="304" spans="1:18" x14ac:dyDescent="0.3">
      <c r="A304" t="s">
        <v>709</v>
      </c>
      <c r="B304" t="s">
        <v>395</v>
      </c>
      <c r="C304" t="s">
        <v>162</v>
      </c>
      <c r="D304" t="s">
        <v>127</v>
      </c>
      <c r="E304" t="s">
        <v>81</v>
      </c>
      <c r="F304" t="s">
        <v>68</v>
      </c>
      <c r="G304">
        <v>24</v>
      </c>
      <c r="H304">
        <v>19.53</v>
      </c>
      <c r="I304">
        <v>468.72</v>
      </c>
      <c r="J304">
        <v>14.12</v>
      </c>
      <c r="K304">
        <v>82.6</v>
      </c>
      <c r="L304" t="s">
        <v>24</v>
      </c>
      <c r="M304" t="s">
        <v>25</v>
      </c>
      <c r="N304" t="s">
        <v>76</v>
      </c>
      <c r="O304">
        <f>SUMIFS(I304:I803,F304:F803,Table8[[#This Row],[Category]],N304:N803,Table8[[#This Row],[Region_Code]])</f>
        <v>29134.300000000007</v>
      </c>
      <c r="P304" s="13">
        <f>SUMIFS(K304:K803,F304:F803,Table8[[#This Row],[Category]],N304:N803,Table8[[#This Row],[Region_Code]])</f>
        <v>8044.9600000000019</v>
      </c>
      <c r="Q304">
        <f>AVERAGEIFS(I304:I803,F304:F803,Table8[[#This Row],[Category]],N304:N803,Table8[[#This Row],[Region_Code]])</f>
        <v>1004.6310344827589</v>
      </c>
      <c r="R304">
        <f>AVERAGEIFS(K304:K803,F304:F803,Table8[[#This Row],[Category]],N304:N803,Table8[[#This Row],[Region_Code]])</f>
        <v>277.4124137931035</v>
      </c>
    </row>
    <row r="305" spans="1:18" x14ac:dyDescent="0.3">
      <c r="A305" t="s">
        <v>710</v>
      </c>
      <c r="B305" t="s">
        <v>164</v>
      </c>
      <c r="C305" t="s">
        <v>30</v>
      </c>
      <c r="D305" t="s">
        <v>55</v>
      </c>
      <c r="E305" t="s">
        <v>86</v>
      </c>
      <c r="F305" t="s">
        <v>47</v>
      </c>
      <c r="G305">
        <v>28</v>
      </c>
      <c r="H305">
        <v>22.33</v>
      </c>
      <c r="I305">
        <v>625.24</v>
      </c>
      <c r="J305">
        <v>44.24</v>
      </c>
      <c r="K305">
        <v>224</v>
      </c>
      <c r="L305" t="s">
        <v>24</v>
      </c>
      <c r="M305" t="s">
        <v>25</v>
      </c>
      <c r="N305" t="s">
        <v>98</v>
      </c>
      <c r="O305">
        <f>SUMIFS(I305:I804,F305:F804,Table8[[#This Row],[Category]],N305:N804,Table8[[#This Row],[Region_Code]])</f>
        <v>11741.03</v>
      </c>
      <c r="P305" s="13">
        <f>SUMIFS(K305:K804,F305:F804,Table8[[#This Row],[Category]],N305:N804,Table8[[#This Row],[Region_Code]])</f>
        <v>2736.2300000000005</v>
      </c>
      <c r="Q305">
        <f>AVERAGEIFS(I305:I804,F305:F804,Table8[[#This Row],[Category]],N305:N804,Table8[[#This Row],[Region_Code]])</f>
        <v>838.6450000000001</v>
      </c>
      <c r="R305">
        <f>AVERAGEIFS(K305:K804,F305:F804,Table8[[#This Row],[Category]],N305:N804,Table8[[#This Row],[Region_Code]])</f>
        <v>195.44500000000002</v>
      </c>
    </row>
    <row r="306" spans="1:18" x14ac:dyDescent="0.3">
      <c r="A306" t="s">
        <v>711</v>
      </c>
      <c r="B306" t="s">
        <v>712</v>
      </c>
      <c r="C306" t="s">
        <v>148</v>
      </c>
      <c r="D306" t="s">
        <v>37</v>
      </c>
      <c r="E306" t="s">
        <v>46</v>
      </c>
      <c r="F306" t="s">
        <v>47</v>
      </c>
      <c r="G306">
        <v>49</v>
      </c>
      <c r="H306">
        <v>39.31</v>
      </c>
      <c r="I306">
        <v>1926.19</v>
      </c>
      <c r="J306">
        <v>69.7</v>
      </c>
      <c r="K306">
        <v>288.49</v>
      </c>
      <c r="L306" t="s">
        <v>33</v>
      </c>
      <c r="M306" t="s">
        <v>25</v>
      </c>
      <c r="N306" t="s">
        <v>35</v>
      </c>
      <c r="O306">
        <f>SUMIFS(I306:I805,F306:F805,Table8[[#This Row],[Category]],N306:N805,Table8[[#This Row],[Region_Code]])</f>
        <v>13989.240000000002</v>
      </c>
      <c r="P306" s="13">
        <f>SUMIFS(K306:K805,F306:F805,Table8[[#This Row],[Category]],N306:N805,Table8[[#This Row],[Region_Code]])</f>
        <v>4173.05</v>
      </c>
      <c r="Q306">
        <f>AVERAGEIFS(I306:I805,F306:F805,Table8[[#This Row],[Category]],N306:N805,Table8[[#This Row],[Region_Code]])</f>
        <v>736.27578947368431</v>
      </c>
      <c r="R306">
        <f>AVERAGEIFS(K306:K805,F306:F805,Table8[[#This Row],[Category]],N306:N805,Table8[[#This Row],[Region_Code]])</f>
        <v>219.6342105263158</v>
      </c>
    </row>
    <row r="307" spans="1:18" x14ac:dyDescent="0.3">
      <c r="A307" t="s">
        <v>713</v>
      </c>
      <c r="B307" t="s">
        <v>714</v>
      </c>
      <c r="C307" t="s">
        <v>290</v>
      </c>
      <c r="D307" t="s">
        <v>70</v>
      </c>
      <c r="E307" t="s">
        <v>81</v>
      </c>
      <c r="F307" t="s">
        <v>68</v>
      </c>
      <c r="G307">
        <v>6</v>
      </c>
      <c r="H307">
        <v>22.95</v>
      </c>
      <c r="I307">
        <v>137.69999999999999</v>
      </c>
      <c r="J307">
        <v>5.63</v>
      </c>
      <c r="K307">
        <v>39.07</v>
      </c>
      <c r="L307" t="s">
        <v>33</v>
      </c>
      <c r="M307" t="s">
        <v>34</v>
      </c>
      <c r="N307" t="s">
        <v>76</v>
      </c>
      <c r="O307">
        <f>SUMIFS(I307:I806,F307:F806,Table8[[#This Row],[Category]],N307:N806,Table8[[#This Row],[Region_Code]])</f>
        <v>28665.580000000009</v>
      </c>
      <c r="P307" s="13">
        <f>SUMIFS(K307:K806,F307:F806,Table8[[#This Row],[Category]],N307:N806,Table8[[#This Row],[Region_Code]])</f>
        <v>7962.3600000000015</v>
      </c>
      <c r="Q307">
        <f>AVERAGEIFS(I307:I806,F307:F806,Table8[[#This Row],[Category]],N307:N806,Table8[[#This Row],[Region_Code]])</f>
        <v>1023.7707142857146</v>
      </c>
      <c r="R307">
        <f>AVERAGEIFS(K307:K806,F307:F806,Table8[[#This Row],[Category]],N307:N806,Table8[[#This Row],[Region_Code]])</f>
        <v>284.37000000000006</v>
      </c>
    </row>
    <row r="308" spans="1:18" x14ac:dyDescent="0.3">
      <c r="A308" t="s">
        <v>715</v>
      </c>
      <c r="B308" t="s">
        <v>612</v>
      </c>
      <c r="C308" t="s">
        <v>246</v>
      </c>
      <c r="D308" t="s">
        <v>62</v>
      </c>
      <c r="E308" t="s">
        <v>63</v>
      </c>
      <c r="F308" t="s">
        <v>47</v>
      </c>
      <c r="G308">
        <v>35</v>
      </c>
      <c r="H308">
        <v>27.72</v>
      </c>
      <c r="I308">
        <v>970.2</v>
      </c>
      <c r="J308">
        <v>61.74</v>
      </c>
      <c r="K308">
        <v>208.46</v>
      </c>
      <c r="L308" t="s">
        <v>24</v>
      </c>
      <c r="M308" t="s">
        <v>41</v>
      </c>
      <c r="N308" t="s">
        <v>98</v>
      </c>
      <c r="O308">
        <f>SUMIFS(I308:I807,F308:F807,Table8[[#This Row],[Category]],N308:N807,Table8[[#This Row],[Region_Code]])</f>
        <v>11115.79</v>
      </c>
      <c r="P308" s="13">
        <f>SUMIFS(K308:K807,F308:F807,Table8[[#This Row],[Category]],N308:N807,Table8[[#This Row],[Region_Code]])</f>
        <v>2512.2299999999996</v>
      </c>
      <c r="Q308">
        <f>AVERAGEIFS(I308:I807,F308:F807,Table8[[#This Row],[Category]],N308:N807,Table8[[#This Row],[Region_Code]])</f>
        <v>855.06076923076932</v>
      </c>
      <c r="R308">
        <f>AVERAGEIFS(K308:K807,F308:F807,Table8[[#This Row],[Category]],N308:N807,Table8[[#This Row],[Region_Code]])</f>
        <v>193.2484615384615</v>
      </c>
    </row>
    <row r="309" spans="1:18" x14ac:dyDescent="0.3">
      <c r="A309" t="s">
        <v>716</v>
      </c>
      <c r="B309" t="s">
        <v>261</v>
      </c>
      <c r="C309" t="s">
        <v>232</v>
      </c>
      <c r="D309" t="s">
        <v>51</v>
      </c>
      <c r="E309" t="s">
        <v>56</v>
      </c>
      <c r="F309" t="s">
        <v>57</v>
      </c>
      <c r="G309">
        <v>34</v>
      </c>
      <c r="H309">
        <v>64.75</v>
      </c>
      <c r="I309">
        <v>2201.5</v>
      </c>
      <c r="J309">
        <v>68.05</v>
      </c>
      <c r="K309">
        <v>773.45</v>
      </c>
      <c r="L309" t="s">
        <v>48</v>
      </c>
      <c r="M309" t="s">
        <v>41</v>
      </c>
      <c r="N309" t="s">
        <v>76</v>
      </c>
      <c r="O309">
        <f>SUMIFS(I309:I808,F309:F808,Table8[[#This Row],[Category]],N309:N808,Table8[[#This Row],[Region_Code]])</f>
        <v>13352.119999999999</v>
      </c>
      <c r="P309" s="13">
        <f>SUMIFS(K309:K808,F309:F808,Table8[[#This Row],[Category]],N309:N808,Table8[[#This Row],[Region_Code]])</f>
        <v>3761.1699999999996</v>
      </c>
      <c r="Q309">
        <f>AVERAGEIFS(I309:I808,F309:F808,Table8[[#This Row],[Category]],N309:N808,Table8[[#This Row],[Region_Code]])</f>
        <v>1483.5688888888888</v>
      </c>
      <c r="R309">
        <f>AVERAGEIFS(K309:K808,F309:F808,Table8[[#This Row],[Category]],N309:N808,Table8[[#This Row],[Region_Code]])</f>
        <v>417.90777777777771</v>
      </c>
    </row>
    <row r="310" spans="1:18" x14ac:dyDescent="0.3">
      <c r="A310" t="s">
        <v>717</v>
      </c>
      <c r="B310" t="s">
        <v>718</v>
      </c>
      <c r="C310" t="s">
        <v>191</v>
      </c>
      <c r="D310" t="s">
        <v>206</v>
      </c>
      <c r="E310" t="s">
        <v>63</v>
      </c>
      <c r="F310" t="s">
        <v>47</v>
      </c>
      <c r="G310">
        <v>49</v>
      </c>
      <c r="H310">
        <v>26.02</v>
      </c>
      <c r="I310">
        <v>1274.98</v>
      </c>
      <c r="J310">
        <v>61.84</v>
      </c>
      <c r="K310">
        <v>233.14</v>
      </c>
      <c r="L310" t="s">
        <v>48</v>
      </c>
      <c r="M310" t="s">
        <v>34</v>
      </c>
      <c r="N310" t="s">
        <v>207</v>
      </c>
      <c r="O310">
        <f>SUMIFS(I310:I809,F310:F809,Table8[[#This Row],[Category]],N310:N809,Table8[[#This Row],[Region_Code]])</f>
        <v>3834.54</v>
      </c>
      <c r="P310" s="13">
        <f>SUMIFS(K310:K809,F310:F809,Table8[[#This Row],[Category]],N310:N809,Table8[[#This Row],[Region_Code]])</f>
        <v>1133.4100000000001</v>
      </c>
      <c r="Q310">
        <f>AVERAGEIFS(I310:I809,F310:F809,Table8[[#This Row],[Category]],N310:N809,Table8[[#This Row],[Region_Code]])</f>
        <v>958.63499999999999</v>
      </c>
      <c r="R310">
        <f>AVERAGEIFS(K310:K809,F310:F809,Table8[[#This Row],[Category]],N310:N809,Table8[[#This Row],[Region_Code]])</f>
        <v>283.35250000000002</v>
      </c>
    </row>
    <row r="311" spans="1:18" x14ac:dyDescent="0.3">
      <c r="A311" t="s">
        <v>719</v>
      </c>
      <c r="B311" t="s">
        <v>263</v>
      </c>
      <c r="C311" t="s">
        <v>391</v>
      </c>
      <c r="D311" t="s">
        <v>45</v>
      </c>
      <c r="E311" t="s">
        <v>74</v>
      </c>
      <c r="F311" t="s">
        <v>75</v>
      </c>
      <c r="G311">
        <v>1</v>
      </c>
      <c r="H311">
        <v>32.979999999999997</v>
      </c>
      <c r="I311">
        <v>32.979999999999997</v>
      </c>
      <c r="J311">
        <v>1.89</v>
      </c>
      <c r="K311">
        <v>6.09</v>
      </c>
      <c r="L311" t="s">
        <v>48</v>
      </c>
      <c r="M311" t="s">
        <v>34</v>
      </c>
      <c r="N311" t="s">
        <v>49</v>
      </c>
      <c r="O311">
        <f>SUMIFS(I311:I810,F311:F810,Table8[[#This Row],[Category]],N311:N810,Table8[[#This Row],[Region_Code]])</f>
        <v>4425.6099999999997</v>
      </c>
      <c r="P311" s="13">
        <f>SUMIFS(K311:K810,F311:F810,Table8[[#This Row],[Category]],N311:N810,Table8[[#This Row],[Region_Code]])</f>
        <v>1658.3899999999999</v>
      </c>
      <c r="Q311">
        <f>AVERAGEIFS(I311:I810,F311:F810,Table8[[#This Row],[Category]],N311:N810,Table8[[#This Row],[Region_Code]])</f>
        <v>1106.4024999999999</v>
      </c>
      <c r="R311">
        <f>AVERAGEIFS(K311:K810,F311:F810,Table8[[#This Row],[Category]],N311:N810,Table8[[#This Row],[Region_Code]])</f>
        <v>414.59749999999997</v>
      </c>
    </row>
    <row r="312" spans="1:18" x14ac:dyDescent="0.3">
      <c r="A312" t="s">
        <v>720</v>
      </c>
      <c r="B312" t="s">
        <v>294</v>
      </c>
      <c r="C312" t="s">
        <v>499</v>
      </c>
      <c r="D312" t="s">
        <v>45</v>
      </c>
      <c r="E312" t="s">
        <v>86</v>
      </c>
      <c r="F312" t="s">
        <v>47</v>
      </c>
      <c r="G312">
        <v>18</v>
      </c>
      <c r="H312">
        <v>20.09</v>
      </c>
      <c r="I312">
        <v>361.62</v>
      </c>
      <c r="J312">
        <v>8.3800000000000008</v>
      </c>
      <c r="K312">
        <v>123.74</v>
      </c>
      <c r="L312" t="s">
        <v>24</v>
      </c>
      <c r="M312" t="s">
        <v>25</v>
      </c>
      <c r="N312" t="s">
        <v>49</v>
      </c>
      <c r="O312">
        <f>SUMIFS(I312:I811,F312:F811,Table8[[#This Row],[Category]],N312:N811,Table8[[#This Row],[Region_Code]])</f>
        <v>7962.7800000000007</v>
      </c>
      <c r="P312" s="13">
        <f>SUMIFS(K312:K811,F312:F811,Table8[[#This Row],[Category]],N312:N811,Table8[[#This Row],[Region_Code]])</f>
        <v>2334.2400000000002</v>
      </c>
      <c r="Q312">
        <f>AVERAGEIFS(I312:I811,F312:F811,Table8[[#This Row],[Category]],N312:N811,Table8[[#This Row],[Region_Code]])</f>
        <v>796.27800000000002</v>
      </c>
      <c r="R312">
        <f>AVERAGEIFS(K312:K811,F312:F811,Table8[[#This Row],[Category]],N312:N811,Table8[[#This Row],[Region_Code]])</f>
        <v>233.42400000000004</v>
      </c>
    </row>
    <row r="313" spans="1:18" x14ac:dyDescent="0.3">
      <c r="A313" t="s">
        <v>721</v>
      </c>
      <c r="B313" t="s">
        <v>679</v>
      </c>
      <c r="C313" t="s">
        <v>266</v>
      </c>
      <c r="D313" t="s">
        <v>70</v>
      </c>
      <c r="E313" t="s">
        <v>22</v>
      </c>
      <c r="F313" t="s">
        <v>23</v>
      </c>
      <c r="G313">
        <v>39</v>
      </c>
      <c r="H313">
        <v>49.59</v>
      </c>
      <c r="I313">
        <v>1934.01</v>
      </c>
      <c r="J313">
        <v>62.79</v>
      </c>
      <c r="K313">
        <v>506.22</v>
      </c>
      <c r="L313" t="s">
        <v>33</v>
      </c>
      <c r="M313" t="s">
        <v>34</v>
      </c>
      <c r="N313" t="s">
        <v>76</v>
      </c>
      <c r="O313">
        <f>SUMIFS(I313:I812,F313:F812,Table8[[#This Row],[Category]],N313:N812,Table8[[#This Row],[Region_Code]])</f>
        <v>13189.279999999997</v>
      </c>
      <c r="P313" s="13">
        <f>SUMIFS(K313:K812,F313:F812,Table8[[#This Row],[Category]],N313:N812,Table8[[#This Row],[Region_Code]])</f>
        <v>3194.0599999999995</v>
      </c>
      <c r="Q313">
        <f>AVERAGEIFS(I313:I812,F313:F812,Table8[[#This Row],[Category]],N313:N812,Table8[[#This Row],[Region_Code]])</f>
        <v>775.8399999999998</v>
      </c>
      <c r="R313">
        <f>AVERAGEIFS(K313:K812,F313:F812,Table8[[#This Row],[Category]],N313:N812,Table8[[#This Row],[Region_Code]])</f>
        <v>187.88588235294114</v>
      </c>
    </row>
    <row r="314" spans="1:18" x14ac:dyDescent="0.3">
      <c r="A314" t="s">
        <v>722</v>
      </c>
      <c r="B314" t="s">
        <v>723</v>
      </c>
      <c r="C314" t="s">
        <v>462</v>
      </c>
      <c r="D314" t="s">
        <v>55</v>
      </c>
      <c r="E314" t="s">
        <v>46</v>
      </c>
      <c r="F314" t="s">
        <v>47</v>
      </c>
      <c r="G314">
        <v>6</v>
      </c>
      <c r="H314">
        <v>41.99</v>
      </c>
      <c r="I314">
        <v>251.94</v>
      </c>
      <c r="J314">
        <v>10.76</v>
      </c>
      <c r="K314">
        <v>49.18</v>
      </c>
      <c r="L314" t="s">
        <v>24</v>
      </c>
      <c r="M314" t="s">
        <v>25</v>
      </c>
      <c r="N314" t="s">
        <v>98</v>
      </c>
      <c r="O314">
        <f>SUMIFS(I314:I813,F314:F813,Table8[[#This Row],[Category]],N314:N813,Table8[[#This Row],[Region_Code]])</f>
        <v>10145.59</v>
      </c>
      <c r="P314" s="13">
        <f>SUMIFS(K314:K813,F314:F813,Table8[[#This Row],[Category]],N314:N813,Table8[[#This Row],[Region_Code]])</f>
        <v>2303.7699999999995</v>
      </c>
      <c r="Q314">
        <f>AVERAGEIFS(I314:I813,F314:F813,Table8[[#This Row],[Category]],N314:N813,Table8[[#This Row],[Region_Code]])</f>
        <v>845.46583333333331</v>
      </c>
      <c r="R314">
        <f>AVERAGEIFS(K314:K813,F314:F813,Table8[[#This Row],[Category]],N314:N813,Table8[[#This Row],[Region_Code]])</f>
        <v>191.98083333333329</v>
      </c>
    </row>
    <row r="315" spans="1:18" x14ac:dyDescent="0.3">
      <c r="A315" t="s">
        <v>724</v>
      </c>
      <c r="B315" t="s">
        <v>243</v>
      </c>
      <c r="C315" t="s">
        <v>113</v>
      </c>
      <c r="D315" t="s">
        <v>116</v>
      </c>
      <c r="E315" t="s">
        <v>22</v>
      </c>
      <c r="F315" t="s">
        <v>23</v>
      </c>
      <c r="G315">
        <v>12</v>
      </c>
      <c r="H315">
        <v>47.4</v>
      </c>
      <c r="I315">
        <v>568.79999999999995</v>
      </c>
      <c r="J315">
        <v>23.31</v>
      </c>
      <c r="K315">
        <v>125.49</v>
      </c>
      <c r="L315" t="s">
        <v>48</v>
      </c>
      <c r="M315" t="s">
        <v>25</v>
      </c>
      <c r="N315" t="s">
        <v>76</v>
      </c>
      <c r="O315">
        <f>SUMIFS(I315:I814,F315:F814,Table8[[#This Row],[Category]],N315:N814,Table8[[#This Row],[Region_Code]])</f>
        <v>11255.269999999999</v>
      </c>
      <c r="P315" s="13">
        <f>SUMIFS(K315:K814,F315:F814,Table8[[#This Row],[Category]],N315:N814,Table8[[#This Row],[Region_Code]])</f>
        <v>2687.8399999999997</v>
      </c>
      <c r="Q315">
        <f>AVERAGEIFS(I315:I814,F315:F814,Table8[[#This Row],[Category]],N315:N814,Table8[[#This Row],[Region_Code]])</f>
        <v>703.45437499999991</v>
      </c>
      <c r="R315">
        <f>AVERAGEIFS(K315:K814,F315:F814,Table8[[#This Row],[Category]],N315:N814,Table8[[#This Row],[Region_Code]])</f>
        <v>167.98999999999998</v>
      </c>
    </row>
    <row r="316" spans="1:18" x14ac:dyDescent="0.3">
      <c r="A316" t="s">
        <v>725</v>
      </c>
      <c r="B316" t="s">
        <v>726</v>
      </c>
      <c r="C316" t="s">
        <v>396</v>
      </c>
      <c r="D316" t="s">
        <v>123</v>
      </c>
      <c r="E316" t="s">
        <v>63</v>
      </c>
      <c r="F316" t="s">
        <v>47</v>
      </c>
      <c r="G316">
        <v>50</v>
      </c>
      <c r="H316">
        <v>34.28</v>
      </c>
      <c r="I316">
        <v>1714</v>
      </c>
      <c r="J316">
        <v>59.84</v>
      </c>
      <c r="K316">
        <v>654.16</v>
      </c>
      <c r="L316" t="s">
        <v>24</v>
      </c>
      <c r="M316" t="s">
        <v>25</v>
      </c>
      <c r="N316" t="s">
        <v>76</v>
      </c>
      <c r="O316">
        <f>SUMIFS(I316:I815,F316:F815,Table8[[#This Row],[Category]],N316:N815,Table8[[#This Row],[Region_Code]])</f>
        <v>9455.7400000000016</v>
      </c>
      <c r="P316" s="13">
        <f>SUMIFS(K316:K815,F316:F815,Table8[[#This Row],[Category]],N316:N815,Table8[[#This Row],[Region_Code]])</f>
        <v>2985.15</v>
      </c>
      <c r="Q316">
        <f>AVERAGEIFS(I316:I815,F316:F815,Table8[[#This Row],[Category]],N316:N815,Table8[[#This Row],[Region_Code]])</f>
        <v>727.36461538461549</v>
      </c>
      <c r="R316">
        <f>AVERAGEIFS(K316:K815,F316:F815,Table8[[#This Row],[Category]],N316:N815,Table8[[#This Row],[Region_Code]])</f>
        <v>229.62692307692308</v>
      </c>
    </row>
    <row r="317" spans="1:18" x14ac:dyDescent="0.3">
      <c r="A317" t="s">
        <v>727</v>
      </c>
      <c r="B317" t="s">
        <v>728</v>
      </c>
      <c r="C317" t="s">
        <v>323</v>
      </c>
      <c r="D317" t="s">
        <v>141</v>
      </c>
      <c r="E317" t="s">
        <v>32</v>
      </c>
      <c r="F317" t="s">
        <v>23</v>
      </c>
      <c r="G317">
        <v>50</v>
      </c>
      <c r="H317">
        <v>29.39</v>
      </c>
      <c r="I317">
        <v>1469.5</v>
      </c>
      <c r="J317">
        <v>101.51</v>
      </c>
      <c r="K317">
        <v>467.99</v>
      </c>
      <c r="L317" t="s">
        <v>48</v>
      </c>
      <c r="M317" t="s">
        <v>41</v>
      </c>
      <c r="N317" t="s">
        <v>142</v>
      </c>
      <c r="O317">
        <f>SUMIFS(I317:I816,F317:F816,Table8[[#This Row],[Category]],N317:N816,Table8[[#This Row],[Region_Code]])</f>
        <v>4675.3999999999996</v>
      </c>
      <c r="P317" s="13">
        <f>SUMIFS(K317:K816,F317:F816,Table8[[#This Row],[Category]],N317:N816,Table8[[#This Row],[Region_Code]])</f>
        <v>1372.4</v>
      </c>
      <c r="Q317">
        <f>AVERAGEIFS(I317:I816,F317:F816,Table8[[#This Row],[Category]],N317:N816,Table8[[#This Row],[Region_Code]])</f>
        <v>935.07999999999993</v>
      </c>
      <c r="R317">
        <f>AVERAGEIFS(K317:K816,F317:F816,Table8[[#This Row],[Category]],N317:N816,Table8[[#This Row],[Region_Code]])</f>
        <v>274.48</v>
      </c>
    </row>
    <row r="318" spans="1:18" x14ac:dyDescent="0.3">
      <c r="A318" t="s">
        <v>729</v>
      </c>
      <c r="B318" t="s">
        <v>423</v>
      </c>
      <c r="C318" t="s">
        <v>182</v>
      </c>
      <c r="D318" t="s">
        <v>45</v>
      </c>
      <c r="E318" t="s">
        <v>32</v>
      </c>
      <c r="F318" t="s">
        <v>23</v>
      </c>
      <c r="G318">
        <v>46</v>
      </c>
      <c r="H318">
        <v>30.34</v>
      </c>
      <c r="I318">
        <v>1395.64</v>
      </c>
      <c r="J318">
        <v>104.2</v>
      </c>
      <c r="K318">
        <v>463.44</v>
      </c>
      <c r="L318" t="s">
        <v>24</v>
      </c>
      <c r="M318" t="s">
        <v>34</v>
      </c>
      <c r="N318" t="s">
        <v>49</v>
      </c>
      <c r="O318">
        <f>SUMIFS(I318:I817,F318:F817,Table8[[#This Row],[Category]],N318:N817,Table8[[#This Row],[Region_Code]])</f>
        <v>1395.64</v>
      </c>
      <c r="P318" s="13">
        <f>SUMIFS(K318:K817,F318:F817,Table8[[#This Row],[Category]],N318:N817,Table8[[#This Row],[Region_Code]])</f>
        <v>463.44</v>
      </c>
      <c r="Q318">
        <f>AVERAGEIFS(I318:I817,F318:F817,Table8[[#This Row],[Category]],N318:N817,Table8[[#This Row],[Region_Code]])</f>
        <v>1395.64</v>
      </c>
      <c r="R318">
        <f>AVERAGEIFS(K318:K817,F318:F817,Table8[[#This Row],[Category]],N318:N817,Table8[[#This Row],[Region_Code]])</f>
        <v>463.44</v>
      </c>
    </row>
    <row r="319" spans="1:18" x14ac:dyDescent="0.3">
      <c r="A319" t="s">
        <v>730</v>
      </c>
      <c r="B319" t="s">
        <v>731</v>
      </c>
      <c r="C319" t="s">
        <v>732</v>
      </c>
      <c r="D319" t="s">
        <v>116</v>
      </c>
      <c r="E319" t="s">
        <v>86</v>
      </c>
      <c r="F319" t="s">
        <v>47</v>
      </c>
      <c r="G319">
        <v>50</v>
      </c>
      <c r="H319">
        <v>18.809999999999999</v>
      </c>
      <c r="I319">
        <v>940.5</v>
      </c>
      <c r="J319">
        <v>40.25</v>
      </c>
      <c r="K319">
        <v>262.75</v>
      </c>
      <c r="L319" t="s">
        <v>33</v>
      </c>
      <c r="M319" t="s">
        <v>34</v>
      </c>
      <c r="N319" t="s">
        <v>76</v>
      </c>
      <c r="O319">
        <f>SUMIFS(I319:I818,F319:F818,Table8[[#This Row],[Category]],N319:N818,Table8[[#This Row],[Region_Code]])</f>
        <v>7741.74</v>
      </c>
      <c r="P319" s="13">
        <f>SUMIFS(K319:K818,F319:F818,Table8[[#This Row],[Category]],N319:N818,Table8[[#This Row],[Region_Code]])</f>
        <v>2330.9900000000002</v>
      </c>
      <c r="Q319">
        <f>AVERAGEIFS(I319:I818,F319:F818,Table8[[#This Row],[Category]],N319:N818,Table8[[#This Row],[Region_Code]])</f>
        <v>645.14499999999998</v>
      </c>
      <c r="R319">
        <f>AVERAGEIFS(K319:K818,F319:F818,Table8[[#This Row],[Category]],N319:N818,Table8[[#This Row],[Region_Code]])</f>
        <v>194.2491666666667</v>
      </c>
    </row>
    <row r="320" spans="1:18" x14ac:dyDescent="0.3">
      <c r="A320" t="s">
        <v>733</v>
      </c>
      <c r="B320" t="s">
        <v>734</v>
      </c>
      <c r="C320" t="s">
        <v>323</v>
      </c>
      <c r="D320" t="s">
        <v>206</v>
      </c>
      <c r="E320" t="s">
        <v>67</v>
      </c>
      <c r="F320" t="s">
        <v>68</v>
      </c>
      <c r="G320">
        <v>2</v>
      </c>
      <c r="H320">
        <v>29.64</v>
      </c>
      <c r="I320">
        <v>59.28</v>
      </c>
      <c r="J320">
        <v>4.59</v>
      </c>
      <c r="K320">
        <v>9.69</v>
      </c>
      <c r="L320" t="s">
        <v>33</v>
      </c>
      <c r="M320" t="s">
        <v>41</v>
      </c>
      <c r="N320" t="s">
        <v>207</v>
      </c>
      <c r="O320">
        <f>SUMIFS(I320:I819,F320:F819,Table8[[#This Row],[Category]],N320:N819,Table8[[#This Row],[Region_Code]])</f>
        <v>4408.4299999999994</v>
      </c>
      <c r="P320" s="13">
        <f>SUMIFS(K320:K819,F320:F819,Table8[[#This Row],[Category]],N320:N819,Table8[[#This Row],[Region_Code]])</f>
        <v>1395.88</v>
      </c>
      <c r="Q320">
        <f>AVERAGEIFS(I320:I819,F320:F819,Table8[[#This Row],[Category]],N320:N819,Table8[[#This Row],[Region_Code]])</f>
        <v>881.68599999999992</v>
      </c>
      <c r="R320">
        <f>AVERAGEIFS(K320:K819,F320:F819,Table8[[#This Row],[Category]],N320:N819,Table8[[#This Row],[Region_Code]])</f>
        <v>279.17600000000004</v>
      </c>
    </row>
    <row r="321" spans="1:18" x14ac:dyDescent="0.3">
      <c r="A321" t="s">
        <v>735</v>
      </c>
      <c r="B321" t="s">
        <v>736</v>
      </c>
      <c r="C321" t="s">
        <v>574</v>
      </c>
      <c r="D321" t="s">
        <v>116</v>
      </c>
      <c r="E321" t="s">
        <v>67</v>
      </c>
      <c r="F321" t="s">
        <v>68</v>
      </c>
      <c r="G321">
        <v>48</v>
      </c>
      <c r="H321">
        <v>27.9</v>
      </c>
      <c r="I321">
        <v>1339.2</v>
      </c>
      <c r="J321">
        <v>66.31</v>
      </c>
      <c r="K321">
        <v>192.89</v>
      </c>
      <c r="L321" t="s">
        <v>33</v>
      </c>
      <c r="M321" t="s">
        <v>41</v>
      </c>
      <c r="N321" t="s">
        <v>76</v>
      </c>
      <c r="O321">
        <f>SUMIFS(I321:I820,F321:F820,Table8[[#This Row],[Category]],N321:N820,Table8[[#This Row],[Region_Code]])</f>
        <v>28527.880000000008</v>
      </c>
      <c r="P321" s="13">
        <f>SUMIFS(K321:K820,F321:F820,Table8[[#This Row],[Category]],N321:N820,Table8[[#This Row],[Region_Code]])</f>
        <v>7923.2900000000018</v>
      </c>
      <c r="Q321">
        <f>AVERAGEIFS(I321:I820,F321:F820,Table8[[#This Row],[Category]],N321:N820,Table8[[#This Row],[Region_Code]])</f>
        <v>1056.5881481481485</v>
      </c>
      <c r="R321">
        <f>AVERAGEIFS(K321:K820,F321:F820,Table8[[#This Row],[Category]],N321:N820,Table8[[#This Row],[Region_Code]])</f>
        <v>293.45518518518526</v>
      </c>
    </row>
    <row r="322" spans="1:18" x14ac:dyDescent="0.3">
      <c r="A322" t="s">
        <v>737</v>
      </c>
      <c r="B322" t="s">
        <v>527</v>
      </c>
      <c r="C322" t="s">
        <v>465</v>
      </c>
      <c r="D322" t="s">
        <v>171</v>
      </c>
      <c r="E322" t="s">
        <v>74</v>
      </c>
      <c r="F322" t="s">
        <v>75</v>
      </c>
      <c r="G322">
        <v>28</v>
      </c>
      <c r="H322">
        <v>38.520000000000003</v>
      </c>
      <c r="I322">
        <v>1078.56</v>
      </c>
      <c r="J322">
        <v>64.510000000000005</v>
      </c>
      <c r="K322">
        <v>314.05</v>
      </c>
      <c r="L322" t="s">
        <v>24</v>
      </c>
      <c r="M322" t="s">
        <v>34</v>
      </c>
      <c r="N322" t="s">
        <v>35</v>
      </c>
      <c r="O322">
        <f>SUMIFS(I322:I821,F322:F821,Table8[[#This Row],[Category]],N322:N821,Table8[[#This Row],[Region_Code]])</f>
        <v>5272.82</v>
      </c>
      <c r="P322" s="13">
        <f>SUMIFS(K322:K821,F322:F821,Table8[[#This Row],[Category]],N322:N821,Table8[[#This Row],[Region_Code]])</f>
        <v>1232.33</v>
      </c>
      <c r="Q322">
        <f>AVERAGEIFS(I322:I821,F322:F821,Table8[[#This Row],[Category]],N322:N821,Table8[[#This Row],[Region_Code]])</f>
        <v>878.80333333333328</v>
      </c>
      <c r="R322">
        <f>AVERAGEIFS(K322:K821,F322:F821,Table8[[#This Row],[Category]],N322:N821,Table8[[#This Row],[Region_Code]])</f>
        <v>205.38833333333332</v>
      </c>
    </row>
    <row r="323" spans="1:18" x14ac:dyDescent="0.3">
      <c r="A323" t="s">
        <v>738</v>
      </c>
      <c r="B323" t="s">
        <v>449</v>
      </c>
      <c r="C323" t="s">
        <v>288</v>
      </c>
      <c r="D323" t="s">
        <v>31</v>
      </c>
      <c r="E323" t="s">
        <v>67</v>
      </c>
      <c r="F323" t="s">
        <v>68</v>
      </c>
      <c r="G323">
        <v>11</v>
      </c>
      <c r="H323">
        <v>31.08</v>
      </c>
      <c r="I323">
        <v>341.88</v>
      </c>
      <c r="J323">
        <v>17.18</v>
      </c>
      <c r="K323">
        <v>77.2</v>
      </c>
      <c r="L323" t="s">
        <v>48</v>
      </c>
      <c r="M323" t="s">
        <v>41</v>
      </c>
      <c r="N323" t="s">
        <v>35</v>
      </c>
      <c r="O323">
        <f>SUMIFS(I323:I822,F323:F822,Table8[[#This Row],[Category]],N323:N822,Table8[[#This Row],[Region_Code]])</f>
        <v>13021.110000000002</v>
      </c>
      <c r="P323" s="13">
        <f>SUMIFS(K323:K822,F323:F822,Table8[[#This Row],[Category]],N323:N822,Table8[[#This Row],[Region_Code]])</f>
        <v>3546.8100000000004</v>
      </c>
      <c r="Q323">
        <f>AVERAGEIFS(I323:I822,F323:F822,Table8[[#This Row],[Category]],N323:N822,Table8[[#This Row],[Region_Code]])</f>
        <v>930.0792857142859</v>
      </c>
      <c r="R323">
        <f>AVERAGEIFS(K323:K822,F323:F822,Table8[[#This Row],[Category]],N323:N822,Table8[[#This Row],[Region_Code]])</f>
        <v>253.34357142857147</v>
      </c>
    </row>
    <row r="324" spans="1:18" x14ac:dyDescent="0.3">
      <c r="A324" t="s">
        <v>739</v>
      </c>
      <c r="B324" t="s">
        <v>740</v>
      </c>
      <c r="C324" t="s">
        <v>391</v>
      </c>
      <c r="D324" t="s">
        <v>62</v>
      </c>
      <c r="E324" t="s">
        <v>63</v>
      </c>
      <c r="F324" t="s">
        <v>47</v>
      </c>
      <c r="G324">
        <v>42</v>
      </c>
      <c r="H324">
        <v>25.95</v>
      </c>
      <c r="I324">
        <v>1089.9000000000001</v>
      </c>
      <c r="J324">
        <v>27.5</v>
      </c>
      <c r="K324">
        <v>222.4</v>
      </c>
      <c r="L324" t="s">
        <v>48</v>
      </c>
      <c r="M324" t="s">
        <v>41</v>
      </c>
      <c r="N324" t="s">
        <v>98</v>
      </c>
      <c r="O324">
        <f>SUMIFS(I324:I823,F324:F823,Table8[[#This Row],[Category]],N324:N823,Table8[[#This Row],[Region_Code]])</f>
        <v>9893.65</v>
      </c>
      <c r="P324" s="13">
        <f>SUMIFS(K324:K823,F324:F823,Table8[[#This Row],[Category]],N324:N823,Table8[[#This Row],[Region_Code]])</f>
        <v>2254.59</v>
      </c>
      <c r="Q324">
        <f>AVERAGEIFS(I324:I823,F324:F823,Table8[[#This Row],[Category]],N324:N823,Table8[[#This Row],[Region_Code]])</f>
        <v>899.42272727272723</v>
      </c>
      <c r="R324">
        <f>AVERAGEIFS(K324:K823,F324:F823,Table8[[#This Row],[Category]],N324:N823,Table8[[#This Row],[Region_Code]])</f>
        <v>204.96272727272728</v>
      </c>
    </row>
    <row r="325" spans="1:18" x14ac:dyDescent="0.3">
      <c r="A325" t="s">
        <v>741</v>
      </c>
      <c r="B325" t="s">
        <v>393</v>
      </c>
      <c r="C325" t="s">
        <v>630</v>
      </c>
      <c r="D325" t="s">
        <v>116</v>
      </c>
      <c r="E325" t="s">
        <v>74</v>
      </c>
      <c r="F325" t="s">
        <v>75</v>
      </c>
      <c r="G325">
        <v>30</v>
      </c>
      <c r="H325">
        <v>30.16</v>
      </c>
      <c r="I325">
        <v>904.8</v>
      </c>
      <c r="J325">
        <v>70.13</v>
      </c>
      <c r="K325">
        <v>84.67</v>
      </c>
      <c r="L325" t="s">
        <v>33</v>
      </c>
      <c r="M325" t="s">
        <v>25</v>
      </c>
      <c r="N325" t="s">
        <v>76</v>
      </c>
      <c r="O325">
        <f>SUMIFS(I325:I824,F325:F824,Table8[[#This Row],[Category]],N325:N824,Table8[[#This Row],[Region_Code]])</f>
        <v>8714.0300000000007</v>
      </c>
      <c r="P325" s="13">
        <f>SUMIFS(K325:K824,F325:F824,Table8[[#This Row],[Category]],N325:N824,Table8[[#This Row],[Region_Code]])</f>
        <v>2068.5</v>
      </c>
      <c r="Q325">
        <f>AVERAGEIFS(I325:I824,F325:F824,Table8[[#This Row],[Category]],N325:N824,Table8[[#This Row],[Region_Code]])</f>
        <v>1089.2537500000001</v>
      </c>
      <c r="R325">
        <f>AVERAGEIFS(K325:K824,F325:F824,Table8[[#This Row],[Category]],N325:N824,Table8[[#This Row],[Region_Code]])</f>
        <v>258.5625</v>
      </c>
    </row>
    <row r="326" spans="1:18" x14ac:dyDescent="0.3">
      <c r="A326" t="s">
        <v>742</v>
      </c>
      <c r="B326" t="s">
        <v>464</v>
      </c>
      <c r="C326" t="s">
        <v>743</v>
      </c>
      <c r="D326" t="s">
        <v>45</v>
      </c>
      <c r="E326" t="s">
        <v>63</v>
      </c>
      <c r="F326" t="s">
        <v>47</v>
      </c>
      <c r="G326">
        <v>40</v>
      </c>
      <c r="H326">
        <v>30.03</v>
      </c>
      <c r="I326">
        <v>1201.2</v>
      </c>
      <c r="J326">
        <v>71.97</v>
      </c>
      <c r="K326">
        <v>329.23</v>
      </c>
      <c r="L326" t="s">
        <v>33</v>
      </c>
      <c r="M326" t="s">
        <v>25</v>
      </c>
      <c r="N326" t="s">
        <v>49</v>
      </c>
      <c r="O326">
        <f>SUMIFS(I326:I825,F326:F825,Table8[[#This Row],[Category]],N326:N825,Table8[[#This Row],[Region_Code]])</f>
        <v>7601.16</v>
      </c>
      <c r="P326" s="13">
        <f>SUMIFS(K326:K825,F326:F825,Table8[[#This Row],[Category]],N326:N825,Table8[[#This Row],[Region_Code]])</f>
        <v>2210.5</v>
      </c>
      <c r="Q326">
        <f>AVERAGEIFS(I326:I825,F326:F825,Table8[[#This Row],[Category]],N326:N825,Table8[[#This Row],[Region_Code]])</f>
        <v>844.57333333333327</v>
      </c>
      <c r="R326">
        <f>AVERAGEIFS(K326:K825,F326:F825,Table8[[#This Row],[Category]],N326:N825,Table8[[#This Row],[Region_Code]])</f>
        <v>245.61111111111111</v>
      </c>
    </row>
    <row r="327" spans="1:18" x14ac:dyDescent="0.3">
      <c r="A327" t="s">
        <v>744</v>
      </c>
      <c r="B327" t="s">
        <v>745</v>
      </c>
      <c r="C327" t="s">
        <v>162</v>
      </c>
      <c r="D327" t="s">
        <v>141</v>
      </c>
      <c r="E327" t="s">
        <v>63</v>
      </c>
      <c r="F327" t="s">
        <v>47</v>
      </c>
      <c r="G327">
        <v>15</v>
      </c>
      <c r="H327">
        <v>27.12</v>
      </c>
      <c r="I327">
        <v>406.8</v>
      </c>
      <c r="J327">
        <v>24.28</v>
      </c>
      <c r="K327">
        <v>82.52</v>
      </c>
      <c r="L327" t="s">
        <v>33</v>
      </c>
      <c r="M327" t="s">
        <v>34</v>
      </c>
      <c r="N327" t="s">
        <v>142</v>
      </c>
      <c r="O327">
        <f>SUMIFS(I327:I826,F327:F826,Table8[[#This Row],[Category]],N327:N826,Table8[[#This Row],[Region_Code]])</f>
        <v>2210.5300000000002</v>
      </c>
      <c r="P327" s="13">
        <f>SUMIFS(K327:K826,F327:F826,Table8[[#This Row],[Category]],N327:N826,Table8[[#This Row],[Region_Code]])</f>
        <v>644.02</v>
      </c>
      <c r="Q327">
        <f>AVERAGEIFS(I327:I826,F327:F826,Table8[[#This Row],[Category]],N327:N826,Table8[[#This Row],[Region_Code]])</f>
        <v>736.84333333333336</v>
      </c>
      <c r="R327">
        <f>AVERAGEIFS(K327:K826,F327:F826,Table8[[#This Row],[Category]],N327:N826,Table8[[#This Row],[Region_Code]])</f>
        <v>214.67333333333332</v>
      </c>
    </row>
    <row r="328" spans="1:18" x14ac:dyDescent="0.3">
      <c r="A328" t="s">
        <v>746</v>
      </c>
      <c r="B328" t="s">
        <v>567</v>
      </c>
      <c r="C328" t="s">
        <v>257</v>
      </c>
      <c r="D328" t="s">
        <v>171</v>
      </c>
      <c r="E328" t="s">
        <v>86</v>
      </c>
      <c r="F328" t="s">
        <v>47</v>
      </c>
      <c r="G328">
        <v>35</v>
      </c>
      <c r="H328">
        <v>18.350000000000001</v>
      </c>
      <c r="I328">
        <v>642.25</v>
      </c>
      <c r="J328">
        <v>29.35</v>
      </c>
      <c r="K328">
        <v>166.65</v>
      </c>
      <c r="L328" t="s">
        <v>24</v>
      </c>
      <c r="M328" t="s">
        <v>34</v>
      </c>
      <c r="N328" t="s">
        <v>35</v>
      </c>
      <c r="O328">
        <f>SUMIFS(I328:I827,F328:F827,Table8[[#This Row],[Category]],N328:N827,Table8[[#This Row],[Region_Code]])</f>
        <v>12063.050000000001</v>
      </c>
      <c r="P328" s="13">
        <f>SUMIFS(K328:K827,F328:F827,Table8[[#This Row],[Category]],N328:N827,Table8[[#This Row],[Region_Code]])</f>
        <v>3884.56</v>
      </c>
      <c r="Q328">
        <f>AVERAGEIFS(I328:I827,F328:F827,Table8[[#This Row],[Category]],N328:N827,Table8[[#This Row],[Region_Code]])</f>
        <v>670.16944444444448</v>
      </c>
      <c r="R328">
        <f>AVERAGEIFS(K328:K827,F328:F827,Table8[[#This Row],[Category]],N328:N827,Table8[[#This Row],[Region_Code]])</f>
        <v>215.80888888888887</v>
      </c>
    </row>
    <row r="329" spans="1:18" x14ac:dyDescent="0.3">
      <c r="A329" t="s">
        <v>747</v>
      </c>
      <c r="B329" t="s">
        <v>696</v>
      </c>
      <c r="C329" t="s">
        <v>646</v>
      </c>
      <c r="D329" t="s">
        <v>141</v>
      </c>
      <c r="E329" t="s">
        <v>22</v>
      </c>
      <c r="F329" t="s">
        <v>23</v>
      </c>
      <c r="G329">
        <v>21</v>
      </c>
      <c r="H329">
        <v>52.59</v>
      </c>
      <c r="I329">
        <v>1104.3900000000001</v>
      </c>
      <c r="J329">
        <v>57.06</v>
      </c>
      <c r="K329">
        <v>312.33</v>
      </c>
      <c r="L329" t="s">
        <v>33</v>
      </c>
      <c r="M329" t="s">
        <v>34</v>
      </c>
      <c r="N329" t="s">
        <v>142</v>
      </c>
      <c r="O329">
        <f>SUMIFS(I329:I828,F329:F828,Table8[[#This Row],[Category]],N329:N828,Table8[[#This Row],[Region_Code]])</f>
        <v>3205.8999999999996</v>
      </c>
      <c r="P329" s="13">
        <f>SUMIFS(K329:K828,F329:F828,Table8[[#This Row],[Category]],N329:N828,Table8[[#This Row],[Region_Code]])</f>
        <v>904.41000000000008</v>
      </c>
      <c r="Q329">
        <f>AVERAGEIFS(I329:I828,F329:F828,Table8[[#This Row],[Category]],N329:N828,Table8[[#This Row],[Region_Code]])</f>
        <v>801.47499999999991</v>
      </c>
      <c r="R329">
        <f>AVERAGEIFS(K329:K828,F329:F828,Table8[[#This Row],[Category]],N329:N828,Table8[[#This Row],[Region_Code]])</f>
        <v>226.10250000000002</v>
      </c>
    </row>
    <row r="330" spans="1:18" x14ac:dyDescent="0.3">
      <c r="A330" t="s">
        <v>748</v>
      </c>
      <c r="B330" t="s">
        <v>749</v>
      </c>
      <c r="C330" t="s">
        <v>574</v>
      </c>
      <c r="D330" t="s">
        <v>51</v>
      </c>
      <c r="E330" t="s">
        <v>137</v>
      </c>
      <c r="F330" t="s">
        <v>68</v>
      </c>
      <c r="G330">
        <v>10</v>
      </c>
      <c r="H330">
        <v>44.2</v>
      </c>
      <c r="I330">
        <v>442</v>
      </c>
      <c r="J330">
        <v>18.45</v>
      </c>
      <c r="K330">
        <v>143.55000000000001</v>
      </c>
      <c r="L330" t="s">
        <v>24</v>
      </c>
      <c r="M330" t="s">
        <v>25</v>
      </c>
      <c r="N330" t="s">
        <v>76</v>
      </c>
      <c r="O330">
        <f>SUMIFS(I330:I829,F330:F829,Table8[[#This Row],[Category]],N330:N829,Table8[[#This Row],[Region_Code]])</f>
        <v>27188.680000000008</v>
      </c>
      <c r="P330" s="13">
        <f>SUMIFS(K330:K829,F330:F829,Table8[[#This Row],[Category]],N330:N829,Table8[[#This Row],[Region_Code]])</f>
        <v>7730.4000000000005</v>
      </c>
      <c r="Q330">
        <f>AVERAGEIFS(I330:I829,F330:F829,Table8[[#This Row],[Category]],N330:N829,Table8[[#This Row],[Region_Code]])</f>
        <v>1045.7184615384617</v>
      </c>
      <c r="R330">
        <f>AVERAGEIFS(K330:K829,F330:F829,Table8[[#This Row],[Category]],N330:N829,Table8[[#This Row],[Region_Code]])</f>
        <v>297.32307692307694</v>
      </c>
    </row>
    <row r="331" spans="1:18" x14ac:dyDescent="0.3">
      <c r="A331" t="s">
        <v>750</v>
      </c>
      <c r="B331" t="s">
        <v>532</v>
      </c>
      <c r="C331" t="s">
        <v>331</v>
      </c>
      <c r="D331" t="s">
        <v>51</v>
      </c>
      <c r="E331" t="s">
        <v>22</v>
      </c>
      <c r="F331" t="s">
        <v>23</v>
      </c>
      <c r="G331">
        <v>11</v>
      </c>
      <c r="H331">
        <v>60.9</v>
      </c>
      <c r="I331">
        <v>669.9</v>
      </c>
      <c r="J331">
        <v>26.28</v>
      </c>
      <c r="K331">
        <v>258.62</v>
      </c>
      <c r="L331" t="s">
        <v>33</v>
      </c>
      <c r="M331" t="s">
        <v>34</v>
      </c>
      <c r="N331" t="s">
        <v>76</v>
      </c>
      <c r="O331">
        <f>SUMIFS(I331:I830,F331:F830,Table8[[#This Row],[Category]],N331:N830,Table8[[#This Row],[Region_Code]])</f>
        <v>10686.47</v>
      </c>
      <c r="P331" s="13">
        <f>SUMIFS(K331:K830,F331:F830,Table8[[#This Row],[Category]],N331:N830,Table8[[#This Row],[Region_Code]])</f>
        <v>2562.35</v>
      </c>
      <c r="Q331">
        <f>AVERAGEIFS(I331:I830,F331:F830,Table8[[#This Row],[Category]],N331:N830,Table8[[#This Row],[Region_Code]])</f>
        <v>712.43133333333333</v>
      </c>
      <c r="R331">
        <f>AVERAGEIFS(K331:K830,F331:F830,Table8[[#This Row],[Category]],N331:N830,Table8[[#This Row],[Region_Code]])</f>
        <v>170.82333333333332</v>
      </c>
    </row>
    <row r="332" spans="1:18" x14ac:dyDescent="0.3">
      <c r="A332" t="s">
        <v>751</v>
      </c>
      <c r="B332" t="s">
        <v>752</v>
      </c>
      <c r="C332" t="s">
        <v>73</v>
      </c>
      <c r="D332" t="s">
        <v>123</v>
      </c>
      <c r="E332" t="s">
        <v>86</v>
      </c>
      <c r="F332" t="s">
        <v>47</v>
      </c>
      <c r="G332">
        <v>26</v>
      </c>
      <c r="H332">
        <v>22.32</v>
      </c>
      <c r="I332">
        <v>580.32000000000005</v>
      </c>
      <c r="J332">
        <v>45.08</v>
      </c>
      <c r="K332">
        <v>203.74</v>
      </c>
      <c r="L332" t="s">
        <v>33</v>
      </c>
      <c r="M332" t="s">
        <v>34</v>
      </c>
      <c r="N332" t="s">
        <v>76</v>
      </c>
      <c r="O332">
        <f>SUMIFS(I332:I831,F332:F831,Table8[[#This Row],[Category]],N332:N831,Table8[[#This Row],[Region_Code]])</f>
        <v>6801.24</v>
      </c>
      <c r="P332" s="13">
        <f>SUMIFS(K332:K831,F332:F831,Table8[[#This Row],[Category]],N332:N831,Table8[[#This Row],[Region_Code]])</f>
        <v>2068.2400000000002</v>
      </c>
      <c r="Q332">
        <f>AVERAGEIFS(I332:I831,F332:F831,Table8[[#This Row],[Category]],N332:N831,Table8[[#This Row],[Region_Code]])</f>
        <v>618.29454545454541</v>
      </c>
      <c r="R332">
        <f>AVERAGEIFS(K332:K831,F332:F831,Table8[[#This Row],[Category]],N332:N831,Table8[[#This Row],[Region_Code]])</f>
        <v>188.02181818181819</v>
      </c>
    </row>
    <row r="333" spans="1:18" x14ac:dyDescent="0.3">
      <c r="A333" t="s">
        <v>753</v>
      </c>
      <c r="B333" t="s">
        <v>754</v>
      </c>
      <c r="C333" t="s">
        <v>417</v>
      </c>
      <c r="D333" t="s">
        <v>51</v>
      </c>
      <c r="E333" t="s">
        <v>137</v>
      </c>
      <c r="F333" t="s">
        <v>68</v>
      </c>
      <c r="G333">
        <v>46</v>
      </c>
      <c r="H333">
        <v>41.89</v>
      </c>
      <c r="I333">
        <v>1926.94</v>
      </c>
      <c r="J333">
        <v>97.39</v>
      </c>
      <c r="K333">
        <v>541.54999999999995</v>
      </c>
      <c r="L333" t="s">
        <v>24</v>
      </c>
      <c r="M333" t="s">
        <v>41</v>
      </c>
      <c r="N333" t="s">
        <v>76</v>
      </c>
      <c r="O333">
        <f>SUMIFS(I333:I832,F333:F832,Table8[[#This Row],[Category]],N333:N832,Table8[[#This Row],[Region_Code]])</f>
        <v>26746.680000000008</v>
      </c>
      <c r="P333" s="13">
        <f>SUMIFS(K333:K832,F333:F832,Table8[[#This Row],[Category]],N333:N832,Table8[[#This Row],[Region_Code]])</f>
        <v>7586.8500000000013</v>
      </c>
      <c r="Q333">
        <f>AVERAGEIFS(I333:I832,F333:F832,Table8[[#This Row],[Category]],N333:N832,Table8[[#This Row],[Region_Code]])</f>
        <v>1069.8672000000004</v>
      </c>
      <c r="R333">
        <f>AVERAGEIFS(K333:K832,F333:F832,Table8[[#This Row],[Category]],N333:N832,Table8[[#This Row],[Region_Code]])</f>
        <v>303.47400000000005</v>
      </c>
    </row>
    <row r="334" spans="1:18" x14ac:dyDescent="0.3">
      <c r="A334" t="s">
        <v>755</v>
      </c>
      <c r="B334" t="s">
        <v>495</v>
      </c>
      <c r="C334" t="s">
        <v>277</v>
      </c>
      <c r="D334" t="s">
        <v>31</v>
      </c>
      <c r="E334" t="s">
        <v>86</v>
      </c>
      <c r="F334" t="s">
        <v>47</v>
      </c>
      <c r="G334">
        <v>43</v>
      </c>
      <c r="H334">
        <v>21.24</v>
      </c>
      <c r="I334">
        <v>913.32</v>
      </c>
      <c r="J334">
        <v>50.32</v>
      </c>
      <c r="K334">
        <v>314.75</v>
      </c>
      <c r="L334" t="s">
        <v>33</v>
      </c>
      <c r="M334" t="s">
        <v>25</v>
      </c>
      <c r="N334" t="s">
        <v>35</v>
      </c>
      <c r="O334">
        <f>SUMIFS(I334:I833,F334:F833,Table8[[#This Row],[Category]],N334:N833,Table8[[#This Row],[Region_Code]])</f>
        <v>11420.8</v>
      </c>
      <c r="P334" s="13">
        <f>SUMIFS(K334:K833,F334:F833,Table8[[#This Row],[Category]],N334:N833,Table8[[#This Row],[Region_Code]])</f>
        <v>3717.9100000000003</v>
      </c>
      <c r="Q334">
        <f>AVERAGEIFS(I334:I833,F334:F833,Table8[[#This Row],[Category]],N334:N833,Table8[[#This Row],[Region_Code]])</f>
        <v>671.8117647058823</v>
      </c>
      <c r="R334">
        <f>AVERAGEIFS(K334:K833,F334:F833,Table8[[#This Row],[Category]],N334:N833,Table8[[#This Row],[Region_Code]])</f>
        <v>218.70058823529413</v>
      </c>
    </row>
    <row r="335" spans="1:18" x14ac:dyDescent="0.3">
      <c r="A335" t="s">
        <v>756</v>
      </c>
      <c r="B335" t="s">
        <v>658</v>
      </c>
      <c r="C335" t="s">
        <v>757</v>
      </c>
      <c r="D335" t="s">
        <v>241</v>
      </c>
      <c r="E335" t="s">
        <v>67</v>
      </c>
      <c r="F335" t="s">
        <v>68</v>
      </c>
      <c r="G335">
        <v>28</v>
      </c>
      <c r="H335">
        <v>33.700000000000003</v>
      </c>
      <c r="I335">
        <v>943.6</v>
      </c>
      <c r="J335">
        <v>20.170000000000002</v>
      </c>
      <c r="K335">
        <v>293.43</v>
      </c>
      <c r="L335" t="s">
        <v>24</v>
      </c>
      <c r="M335" t="s">
        <v>34</v>
      </c>
      <c r="N335" t="s">
        <v>35</v>
      </c>
      <c r="O335">
        <f>SUMIFS(I335:I834,F335:F834,Table8[[#This Row],[Category]],N335:N834,Table8[[#This Row],[Region_Code]])</f>
        <v>12679.230000000003</v>
      </c>
      <c r="P335" s="13">
        <f>SUMIFS(K335:K834,F335:F834,Table8[[#This Row],[Category]],N335:N834,Table8[[#This Row],[Region_Code]])</f>
        <v>3469.6100000000006</v>
      </c>
      <c r="Q335">
        <f>AVERAGEIFS(I335:I834,F335:F834,Table8[[#This Row],[Category]],N335:N834,Table8[[#This Row],[Region_Code]])</f>
        <v>975.32538461538491</v>
      </c>
      <c r="R335">
        <f>AVERAGEIFS(K335:K834,F335:F834,Table8[[#This Row],[Category]],N335:N834,Table8[[#This Row],[Region_Code]])</f>
        <v>266.89307692307699</v>
      </c>
    </row>
    <row r="336" spans="1:18" x14ac:dyDescent="0.3">
      <c r="A336" t="s">
        <v>758</v>
      </c>
      <c r="B336" t="s">
        <v>759</v>
      </c>
      <c r="C336" t="s">
        <v>334</v>
      </c>
      <c r="D336" t="s">
        <v>70</v>
      </c>
      <c r="E336" t="s">
        <v>22</v>
      </c>
      <c r="F336" t="s">
        <v>23</v>
      </c>
      <c r="G336">
        <v>41</v>
      </c>
      <c r="H336">
        <v>42.74</v>
      </c>
      <c r="I336">
        <v>1752.34</v>
      </c>
      <c r="J336">
        <v>92.09</v>
      </c>
      <c r="K336">
        <v>225.25</v>
      </c>
      <c r="L336" t="s">
        <v>48</v>
      </c>
      <c r="M336" t="s">
        <v>25</v>
      </c>
      <c r="N336" t="s">
        <v>76</v>
      </c>
      <c r="O336">
        <f>SUMIFS(I336:I835,F336:F835,Table8[[#This Row],[Category]],N336:N835,Table8[[#This Row],[Region_Code]])</f>
        <v>10016.57</v>
      </c>
      <c r="P336" s="13">
        <f>SUMIFS(K336:K835,F336:F835,Table8[[#This Row],[Category]],N336:N835,Table8[[#This Row],[Region_Code]])</f>
        <v>2303.73</v>
      </c>
      <c r="Q336">
        <f>AVERAGEIFS(I336:I835,F336:F835,Table8[[#This Row],[Category]],N336:N835,Table8[[#This Row],[Region_Code]])</f>
        <v>715.46928571428566</v>
      </c>
      <c r="R336">
        <f>AVERAGEIFS(K336:K835,F336:F835,Table8[[#This Row],[Category]],N336:N835,Table8[[#This Row],[Region_Code]])</f>
        <v>164.55214285714285</v>
      </c>
    </row>
    <row r="337" spans="1:18" x14ac:dyDescent="0.3">
      <c r="A337" t="s">
        <v>760</v>
      </c>
      <c r="B337" t="s">
        <v>761</v>
      </c>
      <c r="C337" t="s">
        <v>646</v>
      </c>
      <c r="D337" t="s">
        <v>31</v>
      </c>
      <c r="E337" t="s">
        <v>63</v>
      </c>
      <c r="F337" t="s">
        <v>47</v>
      </c>
      <c r="G337">
        <v>24</v>
      </c>
      <c r="H337">
        <v>30.18</v>
      </c>
      <c r="I337">
        <v>724.32</v>
      </c>
      <c r="J337">
        <v>44.97</v>
      </c>
      <c r="K337">
        <v>199.35</v>
      </c>
      <c r="L337" t="s">
        <v>24</v>
      </c>
      <c r="M337" t="s">
        <v>25</v>
      </c>
      <c r="N337" t="s">
        <v>35</v>
      </c>
      <c r="O337">
        <f>SUMIFS(I337:I836,F337:F836,Table8[[#This Row],[Category]],N337:N836,Table8[[#This Row],[Region_Code]])</f>
        <v>10507.48</v>
      </c>
      <c r="P337" s="13">
        <f>SUMIFS(K337:K836,F337:F836,Table8[[#This Row],[Category]],N337:N836,Table8[[#This Row],[Region_Code]])</f>
        <v>3403.1600000000003</v>
      </c>
      <c r="Q337">
        <f>AVERAGEIFS(I337:I836,F337:F836,Table8[[#This Row],[Category]],N337:N836,Table8[[#This Row],[Region_Code]])</f>
        <v>656.71749999999997</v>
      </c>
      <c r="R337">
        <f>AVERAGEIFS(K337:K836,F337:F836,Table8[[#This Row],[Category]],N337:N836,Table8[[#This Row],[Region_Code]])</f>
        <v>212.69750000000002</v>
      </c>
    </row>
    <row r="338" spans="1:18" x14ac:dyDescent="0.3">
      <c r="A338" t="s">
        <v>762</v>
      </c>
      <c r="B338" t="s">
        <v>354</v>
      </c>
      <c r="C338" t="s">
        <v>177</v>
      </c>
      <c r="D338" t="s">
        <v>127</v>
      </c>
      <c r="E338" t="s">
        <v>81</v>
      </c>
      <c r="F338" t="s">
        <v>68</v>
      </c>
      <c r="G338">
        <v>44</v>
      </c>
      <c r="H338">
        <v>20.02</v>
      </c>
      <c r="I338">
        <v>880.88</v>
      </c>
      <c r="J338">
        <v>60.27</v>
      </c>
      <c r="K338">
        <v>138.61000000000001</v>
      </c>
      <c r="L338" t="s">
        <v>33</v>
      </c>
      <c r="M338" t="s">
        <v>34</v>
      </c>
      <c r="N338" t="s">
        <v>76</v>
      </c>
      <c r="O338">
        <f>SUMIFS(I338:I837,F338:F837,Table8[[#This Row],[Category]],N338:N837,Table8[[#This Row],[Region_Code]])</f>
        <v>24819.740000000005</v>
      </c>
      <c r="P338" s="13">
        <f>SUMIFS(K338:K837,F338:F837,Table8[[#This Row],[Category]],N338:N837,Table8[[#This Row],[Region_Code]])</f>
        <v>7045.300000000002</v>
      </c>
      <c r="Q338">
        <f>AVERAGEIFS(I338:I837,F338:F837,Table8[[#This Row],[Category]],N338:N837,Table8[[#This Row],[Region_Code]])</f>
        <v>1034.1558333333335</v>
      </c>
      <c r="R338">
        <f>AVERAGEIFS(K338:K837,F338:F837,Table8[[#This Row],[Category]],N338:N837,Table8[[#This Row],[Region_Code]])</f>
        <v>293.55416666666673</v>
      </c>
    </row>
    <row r="339" spans="1:18" x14ac:dyDescent="0.3">
      <c r="A339" t="s">
        <v>763</v>
      </c>
      <c r="B339" t="s">
        <v>585</v>
      </c>
      <c r="C339" t="s">
        <v>174</v>
      </c>
      <c r="D339" t="s">
        <v>31</v>
      </c>
      <c r="E339" t="s">
        <v>63</v>
      </c>
      <c r="F339" t="s">
        <v>47</v>
      </c>
      <c r="G339">
        <v>12</v>
      </c>
      <c r="H339">
        <v>27.45</v>
      </c>
      <c r="I339">
        <v>329.4</v>
      </c>
      <c r="J339">
        <v>13.22</v>
      </c>
      <c r="K339">
        <v>76.180000000000007</v>
      </c>
      <c r="L339" t="s">
        <v>48</v>
      </c>
      <c r="M339" t="s">
        <v>41</v>
      </c>
      <c r="N339" t="s">
        <v>35</v>
      </c>
      <c r="O339">
        <f>SUMIFS(I339:I838,F339:F838,Table8[[#This Row],[Category]],N339:N838,Table8[[#This Row],[Region_Code]])</f>
        <v>9783.16</v>
      </c>
      <c r="P339" s="13">
        <f>SUMIFS(K339:K838,F339:F838,Table8[[#This Row],[Category]],N339:N838,Table8[[#This Row],[Region_Code]])</f>
        <v>3203.81</v>
      </c>
      <c r="Q339">
        <f>AVERAGEIFS(I339:I838,F339:F838,Table8[[#This Row],[Category]],N339:N838,Table8[[#This Row],[Region_Code]])</f>
        <v>652.21066666666661</v>
      </c>
      <c r="R339">
        <f>AVERAGEIFS(K339:K838,F339:F838,Table8[[#This Row],[Category]],N339:N838,Table8[[#This Row],[Region_Code]])</f>
        <v>213.58733333333333</v>
      </c>
    </row>
    <row r="340" spans="1:18" x14ac:dyDescent="0.3">
      <c r="A340" t="s">
        <v>764</v>
      </c>
      <c r="B340" t="s">
        <v>306</v>
      </c>
      <c r="C340" t="s">
        <v>145</v>
      </c>
      <c r="D340" t="s">
        <v>141</v>
      </c>
      <c r="E340" t="s">
        <v>63</v>
      </c>
      <c r="F340" t="s">
        <v>47</v>
      </c>
      <c r="G340">
        <v>26</v>
      </c>
      <c r="H340">
        <v>30.57</v>
      </c>
      <c r="I340">
        <v>794.82</v>
      </c>
      <c r="J340">
        <v>19.45</v>
      </c>
      <c r="K340">
        <v>255.37</v>
      </c>
      <c r="L340" t="s">
        <v>48</v>
      </c>
      <c r="M340" t="s">
        <v>34</v>
      </c>
      <c r="N340" t="s">
        <v>142</v>
      </c>
      <c r="O340">
        <f>SUMIFS(I340:I839,F340:F839,Table8[[#This Row],[Category]],N340:N839,Table8[[#This Row],[Region_Code]])</f>
        <v>1803.73</v>
      </c>
      <c r="P340" s="13">
        <f>SUMIFS(K340:K839,F340:F839,Table8[[#This Row],[Category]],N340:N839,Table8[[#This Row],[Region_Code]])</f>
        <v>561.5</v>
      </c>
      <c r="Q340">
        <f>AVERAGEIFS(I340:I839,F340:F839,Table8[[#This Row],[Category]],N340:N839,Table8[[#This Row],[Region_Code]])</f>
        <v>901.86500000000001</v>
      </c>
      <c r="R340">
        <f>AVERAGEIFS(K340:K839,F340:F839,Table8[[#This Row],[Category]],N340:N839,Table8[[#This Row],[Region_Code]])</f>
        <v>280.75</v>
      </c>
    </row>
    <row r="341" spans="1:18" x14ac:dyDescent="0.3">
      <c r="A341" t="s">
        <v>765</v>
      </c>
      <c r="B341" t="s">
        <v>766</v>
      </c>
      <c r="C341" t="s">
        <v>185</v>
      </c>
      <c r="D341" t="s">
        <v>127</v>
      </c>
      <c r="E341" t="s">
        <v>74</v>
      </c>
      <c r="F341" t="s">
        <v>75</v>
      </c>
      <c r="G341">
        <v>46</v>
      </c>
      <c r="H341">
        <v>32.19</v>
      </c>
      <c r="I341">
        <v>1480.74</v>
      </c>
      <c r="J341">
        <v>111.13</v>
      </c>
      <c r="K341">
        <v>219.61</v>
      </c>
      <c r="L341" t="s">
        <v>48</v>
      </c>
      <c r="M341" t="s">
        <v>34</v>
      </c>
      <c r="N341" t="s">
        <v>76</v>
      </c>
      <c r="O341">
        <f>SUMIFS(I341:I840,F341:F840,Table8[[#This Row],[Category]],N341:N840,Table8[[#This Row],[Region_Code]])</f>
        <v>7809.2300000000014</v>
      </c>
      <c r="P341" s="13">
        <f>SUMIFS(K341:K840,F341:F840,Table8[[#This Row],[Category]],N341:N840,Table8[[#This Row],[Region_Code]])</f>
        <v>1983.83</v>
      </c>
      <c r="Q341">
        <f>AVERAGEIFS(I341:I840,F341:F840,Table8[[#This Row],[Category]],N341:N840,Table8[[#This Row],[Region_Code]])</f>
        <v>1115.6042857142859</v>
      </c>
      <c r="R341">
        <f>AVERAGEIFS(K341:K840,F341:F840,Table8[[#This Row],[Category]],N341:N840,Table8[[#This Row],[Region_Code]])</f>
        <v>283.40428571428572</v>
      </c>
    </row>
    <row r="342" spans="1:18" x14ac:dyDescent="0.3">
      <c r="A342" t="s">
        <v>767</v>
      </c>
      <c r="B342" t="s">
        <v>768</v>
      </c>
      <c r="C342" t="s">
        <v>140</v>
      </c>
      <c r="D342" t="s">
        <v>116</v>
      </c>
      <c r="E342" t="s">
        <v>32</v>
      </c>
      <c r="F342" t="s">
        <v>23</v>
      </c>
      <c r="G342">
        <v>20</v>
      </c>
      <c r="H342">
        <v>31.79</v>
      </c>
      <c r="I342">
        <v>635.79999999999995</v>
      </c>
      <c r="J342">
        <v>38.43</v>
      </c>
      <c r="K342">
        <v>237.37</v>
      </c>
      <c r="L342" t="s">
        <v>24</v>
      </c>
      <c r="M342" t="s">
        <v>34</v>
      </c>
      <c r="N342" t="s">
        <v>76</v>
      </c>
      <c r="O342">
        <f>SUMIFS(I342:I841,F342:F841,Table8[[#This Row],[Category]],N342:N841,Table8[[#This Row],[Region_Code]])</f>
        <v>8264.23</v>
      </c>
      <c r="P342" s="13">
        <f>SUMIFS(K342:K841,F342:F841,Table8[[#This Row],[Category]],N342:N841,Table8[[#This Row],[Region_Code]])</f>
        <v>2078.48</v>
      </c>
      <c r="Q342">
        <f>AVERAGEIFS(I342:I841,F342:F841,Table8[[#This Row],[Category]],N342:N841,Table8[[#This Row],[Region_Code]])</f>
        <v>635.70999999999992</v>
      </c>
      <c r="R342">
        <f>AVERAGEIFS(K342:K841,F342:F841,Table8[[#This Row],[Category]],N342:N841,Table8[[#This Row],[Region_Code]])</f>
        <v>159.88307692307691</v>
      </c>
    </row>
    <row r="343" spans="1:18" x14ac:dyDescent="0.3">
      <c r="A343" t="s">
        <v>769</v>
      </c>
      <c r="B343" t="s">
        <v>770</v>
      </c>
      <c r="C343" t="s">
        <v>20</v>
      </c>
      <c r="D343" t="s">
        <v>206</v>
      </c>
      <c r="E343" t="s">
        <v>32</v>
      </c>
      <c r="F343" t="s">
        <v>23</v>
      </c>
      <c r="G343">
        <v>8</v>
      </c>
      <c r="H343">
        <v>28.94</v>
      </c>
      <c r="I343">
        <v>231.52</v>
      </c>
      <c r="J343">
        <v>7</v>
      </c>
      <c r="K343">
        <v>80.52</v>
      </c>
      <c r="L343" t="s">
        <v>48</v>
      </c>
      <c r="M343" t="s">
        <v>34</v>
      </c>
      <c r="N343" t="s">
        <v>207</v>
      </c>
      <c r="O343">
        <f>SUMIFS(I343:I842,F343:F842,Table8[[#This Row],[Category]],N343:N842,Table8[[#This Row],[Region_Code]])</f>
        <v>3569.6000000000004</v>
      </c>
      <c r="P343" s="13">
        <f>SUMIFS(K343:K842,F343:F842,Table8[[#This Row],[Category]],N343:N842,Table8[[#This Row],[Region_Code]])</f>
        <v>770.44</v>
      </c>
      <c r="Q343">
        <f>AVERAGEIFS(I343:I842,F343:F842,Table8[[#This Row],[Category]],N343:N842,Table8[[#This Row],[Region_Code]])</f>
        <v>1189.8666666666668</v>
      </c>
      <c r="R343">
        <f>AVERAGEIFS(K343:K842,F343:F842,Table8[[#This Row],[Category]],N343:N842,Table8[[#This Row],[Region_Code]])</f>
        <v>256.81333333333333</v>
      </c>
    </row>
    <row r="344" spans="1:18" x14ac:dyDescent="0.3">
      <c r="A344" t="s">
        <v>771</v>
      </c>
      <c r="B344" t="s">
        <v>772</v>
      </c>
      <c r="C344" t="s">
        <v>334</v>
      </c>
      <c r="D344" t="s">
        <v>171</v>
      </c>
      <c r="E344" t="s">
        <v>32</v>
      </c>
      <c r="F344" t="s">
        <v>23</v>
      </c>
      <c r="G344">
        <v>40</v>
      </c>
      <c r="H344">
        <v>30.66</v>
      </c>
      <c r="I344">
        <v>1226.4000000000001</v>
      </c>
      <c r="J344">
        <v>85.24</v>
      </c>
      <c r="K344">
        <v>421.16</v>
      </c>
      <c r="L344" t="s">
        <v>24</v>
      </c>
      <c r="M344" t="s">
        <v>25</v>
      </c>
      <c r="N344" t="s">
        <v>35</v>
      </c>
      <c r="O344">
        <f>SUMIFS(I344:I843,F344:F843,Table8[[#This Row],[Category]],N344:N843,Table8[[#This Row],[Region_Code]])</f>
        <v>10826.980000000001</v>
      </c>
      <c r="P344" s="13">
        <f>SUMIFS(K344:K843,F344:F843,Table8[[#This Row],[Category]],N344:N843,Table8[[#This Row],[Region_Code]])</f>
        <v>3034.02</v>
      </c>
      <c r="Q344">
        <f>AVERAGEIFS(I344:I843,F344:F843,Table8[[#This Row],[Category]],N344:N843,Table8[[#This Row],[Region_Code]])</f>
        <v>1202.9977777777779</v>
      </c>
      <c r="R344">
        <f>AVERAGEIFS(K344:K843,F344:F843,Table8[[#This Row],[Category]],N344:N843,Table8[[#This Row],[Region_Code]])</f>
        <v>337.11333333333334</v>
      </c>
    </row>
    <row r="345" spans="1:18" x14ac:dyDescent="0.3">
      <c r="A345" t="s">
        <v>773</v>
      </c>
      <c r="B345" t="s">
        <v>316</v>
      </c>
      <c r="C345" t="s">
        <v>539</v>
      </c>
      <c r="D345" t="s">
        <v>206</v>
      </c>
      <c r="E345" t="s">
        <v>46</v>
      </c>
      <c r="F345" t="s">
        <v>47</v>
      </c>
      <c r="G345">
        <v>44</v>
      </c>
      <c r="H345">
        <v>54.09</v>
      </c>
      <c r="I345">
        <v>2379.96</v>
      </c>
      <c r="J345">
        <v>106.39</v>
      </c>
      <c r="K345">
        <v>865.57</v>
      </c>
      <c r="L345" t="s">
        <v>24</v>
      </c>
      <c r="M345" t="s">
        <v>34</v>
      </c>
      <c r="N345" t="s">
        <v>207</v>
      </c>
      <c r="O345">
        <f>SUMIFS(I345:I844,F345:F844,Table8[[#This Row],[Category]],N345:N844,Table8[[#This Row],[Region_Code]])</f>
        <v>2559.56</v>
      </c>
      <c r="P345" s="13">
        <f>SUMIFS(K345:K844,F345:F844,Table8[[#This Row],[Category]],N345:N844,Table8[[#This Row],[Region_Code]])</f>
        <v>900.2700000000001</v>
      </c>
      <c r="Q345">
        <f>AVERAGEIFS(I345:I844,F345:F844,Table8[[#This Row],[Category]],N345:N844,Table8[[#This Row],[Region_Code]])</f>
        <v>853.18666666666661</v>
      </c>
      <c r="R345">
        <f>AVERAGEIFS(K345:K844,F345:F844,Table8[[#This Row],[Category]],N345:N844,Table8[[#This Row],[Region_Code]])</f>
        <v>300.09000000000003</v>
      </c>
    </row>
    <row r="346" spans="1:18" x14ac:dyDescent="0.3">
      <c r="A346" t="s">
        <v>774</v>
      </c>
      <c r="B346" t="s">
        <v>615</v>
      </c>
      <c r="C346" t="s">
        <v>177</v>
      </c>
      <c r="D346" t="s">
        <v>116</v>
      </c>
      <c r="E346" t="s">
        <v>56</v>
      </c>
      <c r="F346" t="s">
        <v>57</v>
      </c>
      <c r="G346">
        <v>32</v>
      </c>
      <c r="H346">
        <v>68.89</v>
      </c>
      <c r="I346">
        <v>2204.48</v>
      </c>
      <c r="J346">
        <v>152.05000000000001</v>
      </c>
      <c r="K346">
        <v>772.43</v>
      </c>
      <c r="L346" t="s">
        <v>24</v>
      </c>
      <c r="M346" t="s">
        <v>34</v>
      </c>
      <c r="N346" t="s">
        <v>76</v>
      </c>
      <c r="O346">
        <f>SUMIFS(I346:I845,F346:F845,Table8[[#This Row],[Category]],N346:N845,Table8[[#This Row],[Region_Code]])</f>
        <v>11150.619999999999</v>
      </c>
      <c r="P346" s="13">
        <f>SUMIFS(K346:K845,F346:F845,Table8[[#This Row],[Category]],N346:N845,Table8[[#This Row],[Region_Code]])</f>
        <v>2987.72</v>
      </c>
      <c r="Q346">
        <f>AVERAGEIFS(I346:I845,F346:F845,Table8[[#This Row],[Category]],N346:N845,Table8[[#This Row],[Region_Code]])</f>
        <v>1393.8274999999999</v>
      </c>
      <c r="R346">
        <f>AVERAGEIFS(K346:K845,F346:F845,Table8[[#This Row],[Category]],N346:N845,Table8[[#This Row],[Region_Code]])</f>
        <v>373.46499999999997</v>
      </c>
    </row>
    <row r="347" spans="1:18" x14ac:dyDescent="0.3">
      <c r="A347" t="s">
        <v>775</v>
      </c>
      <c r="B347" t="s">
        <v>776</v>
      </c>
      <c r="C347" t="s">
        <v>732</v>
      </c>
      <c r="D347" t="s">
        <v>70</v>
      </c>
      <c r="E347" t="s">
        <v>22</v>
      </c>
      <c r="F347" t="s">
        <v>23</v>
      </c>
      <c r="G347">
        <v>44</v>
      </c>
      <c r="H347">
        <v>43.35</v>
      </c>
      <c r="I347">
        <v>1907.4</v>
      </c>
      <c r="J347">
        <v>99.05</v>
      </c>
      <c r="K347">
        <v>268.35000000000002</v>
      </c>
      <c r="L347" t="s">
        <v>48</v>
      </c>
      <c r="M347" t="s">
        <v>34</v>
      </c>
      <c r="N347" t="s">
        <v>76</v>
      </c>
      <c r="O347">
        <f>SUMIFS(I347:I846,F347:F846,Table8[[#This Row],[Category]],N347:N846,Table8[[#This Row],[Region_Code]])</f>
        <v>7628.4299999999994</v>
      </c>
      <c r="P347" s="13">
        <f>SUMIFS(K347:K846,F347:F846,Table8[[#This Row],[Category]],N347:N846,Table8[[#This Row],[Region_Code]])</f>
        <v>1841.1100000000004</v>
      </c>
      <c r="Q347">
        <f>AVERAGEIFS(I347:I846,F347:F846,Table8[[#This Row],[Category]],N347:N846,Table8[[#This Row],[Region_Code]])</f>
        <v>635.70249999999999</v>
      </c>
      <c r="R347">
        <f>AVERAGEIFS(K347:K846,F347:F846,Table8[[#This Row],[Category]],N347:N846,Table8[[#This Row],[Region_Code]])</f>
        <v>153.42583333333337</v>
      </c>
    </row>
    <row r="348" spans="1:18" x14ac:dyDescent="0.3">
      <c r="A348" t="s">
        <v>777</v>
      </c>
      <c r="B348" t="s">
        <v>778</v>
      </c>
      <c r="C348" t="s">
        <v>30</v>
      </c>
      <c r="D348" t="s">
        <v>62</v>
      </c>
      <c r="E348" t="s">
        <v>137</v>
      </c>
      <c r="F348" t="s">
        <v>68</v>
      </c>
      <c r="G348">
        <v>24</v>
      </c>
      <c r="H348">
        <v>34</v>
      </c>
      <c r="I348">
        <v>816</v>
      </c>
      <c r="J348">
        <v>42.15</v>
      </c>
      <c r="K348">
        <v>101.85</v>
      </c>
      <c r="L348" t="s">
        <v>48</v>
      </c>
      <c r="M348" t="s">
        <v>25</v>
      </c>
      <c r="N348" t="s">
        <v>98</v>
      </c>
      <c r="O348">
        <f>SUMIFS(I348:I847,F348:F847,Table8[[#This Row],[Category]],N348:N847,Table8[[#This Row],[Region_Code]])</f>
        <v>10834.080000000002</v>
      </c>
      <c r="P348" s="13">
        <f>SUMIFS(K348:K847,F348:F847,Table8[[#This Row],[Category]],N348:N847,Table8[[#This Row],[Region_Code]])</f>
        <v>3237.35</v>
      </c>
      <c r="Q348">
        <f>AVERAGEIFS(I348:I847,F348:F847,Table8[[#This Row],[Category]],N348:N847,Table8[[#This Row],[Region_Code]])</f>
        <v>1083.4080000000001</v>
      </c>
      <c r="R348">
        <f>AVERAGEIFS(K348:K847,F348:F847,Table8[[#This Row],[Category]],N348:N847,Table8[[#This Row],[Region_Code]])</f>
        <v>323.73500000000001</v>
      </c>
    </row>
    <row r="349" spans="1:18" x14ac:dyDescent="0.3">
      <c r="A349" t="s">
        <v>779</v>
      </c>
      <c r="B349" t="s">
        <v>633</v>
      </c>
      <c r="C349" t="s">
        <v>238</v>
      </c>
      <c r="D349" t="s">
        <v>51</v>
      </c>
      <c r="E349" t="s">
        <v>32</v>
      </c>
      <c r="F349" t="s">
        <v>23</v>
      </c>
      <c r="G349">
        <v>41</v>
      </c>
      <c r="H349">
        <v>30.25</v>
      </c>
      <c r="I349">
        <v>1240.25</v>
      </c>
      <c r="J349">
        <v>92.86</v>
      </c>
      <c r="K349">
        <v>409.39</v>
      </c>
      <c r="L349" t="s">
        <v>24</v>
      </c>
      <c r="M349" t="s">
        <v>25</v>
      </c>
      <c r="N349" t="s">
        <v>76</v>
      </c>
      <c r="O349">
        <f>SUMIFS(I349:I848,F349:F848,Table8[[#This Row],[Category]],N349:N848,Table8[[#This Row],[Region_Code]])</f>
        <v>5721.0300000000007</v>
      </c>
      <c r="P349" s="13">
        <f>SUMIFS(K349:K848,F349:F848,Table8[[#This Row],[Category]],N349:N848,Table8[[#This Row],[Region_Code]])</f>
        <v>1572.76</v>
      </c>
      <c r="Q349">
        <f>AVERAGEIFS(I349:I848,F349:F848,Table8[[#This Row],[Category]],N349:N848,Table8[[#This Row],[Region_Code]])</f>
        <v>520.09363636363639</v>
      </c>
      <c r="R349">
        <f>AVERAGEIFS(K349:K848,F349:F848,Table8[[#This Row],[Category]],N349:N848,Table8[[#This Row],[Region_Code]])</f>
        <v>142.97818181818181</v>
      </c>
    </row>
    <row r="350" spans="1:18" x14ac:dyDescent="0.3">
      <c r="A350" t="s">
        <v>780</v>
      </c>
      <c r="B350" t="s">
        <v>781</v>
      </c>
      <c r="C350" t="s">
        <v>20</v>
      </c>
      <c r="D350" t="s">
        <v>141</v>
      </c>
      <c r="E350" t="s">
        <v>81</v>
      </c>
      <c r="F350" t="s">
        <v>68</v>
      </c>
      <c r="G350">
        <v>15</v>
      </c>
      <c r="H350">
        <v>23.71</v>
      </c>
      <c r="I350">
        <v>355.65</v>
      </c>
      <c r="J350">
        <v>7.22</v>
      </c>
      <c r="K350">
        <v>115.93</v>
      </c>
      <c r="L350" t="s">
        <v>33</v>
      </c>
      <c r="M350" t="s">
        <v>34</v>
      </c>
      <c r="N350" t="s">
        <v>142</v>
      </c>
      <c r="O350">
        <f>SUMIFS(I350:I849,F350:F849,Table8[[#This Row],[Category]],N350:N849,Table8[[#This Row],[Region_Code]])</f>
        <v>3972.13</v>
      </c>
      <c r="P350" s="13">
        <f>SUMIFS(K350:K849,F350:F849,Table8[[#This Row],[Category]],N350:N849,Table8[[#This Row],[Region_Code]])</f>
        <v>1196.43</v>
      </c>
      <c r="Q350">
        <f>AVERAGEIFS(I350:I849,F350:F849,Table8[[#This Row],[Category]],N350:N849,Table8[[#This Row],[Region_Code]])</f>
        <v>794.42600000000004</v>
      </c>
      <c r="R350">
        <f>AVERAGEIFS(K350:K849,F350:F849,Table8[[#This Row],[Category]],N350:N849,Table8[[#This Row],[Region_Code]])</f>
        <v>239.286</v>
      </c>
    </row>
    <row r="351" spans="1:18" x14ac:dyDescent="0.3">
      <c r="A351" t="s">
        <v>782</v>
      </c>
      <c r="B351" t="s">
        <v>276</v>
      </c>
      <c r="C351" t="s">
        <v>197</v>
      </c>
      <c r="D351" t="s">
        <v>116</v>
      </c>
      <c r="E351" t="s">
        <v>46</v>
      </c>
      <c r="F351" t="s">
        <v>47</v>
      </c>
      <c r="G351">
        <v>33</v>
      </c>
      <c r="H351">
        <v>48.64</v>
      </c>
      <c r="I351">
        <v>1605.12</v>
      </c>
      <c r="J351">
        <v>98.71</v>
      </c>
      <c r="K351">
        <v>450.41</v>
      </c>
      <c r="L351" t="s">
        <v>24</v>
      </c>
      <c r="M351" t="s">
        <v>34</v>
      </c>
      <c r="N351" t="s">
        <v>76</v>
      </c>
      <c r="O351">
        <f>SUMIFS(I351:I850,F351:F850,Table8[[#This Row],[Category]],N351:N850,Table8[[#This Row],[Region_Code]])</f>
        <v>6220.9199999999992</v>
      </c>
      <c r="P351" s="13">
        <f>SUMIFS(K351:K850,F351:F850,Table8[[#This Row],[Category]],N351:N850,Table8[[#This Row],[Region_Code]])</f>
        <v>1864.5000000000002</v>
      </c>
      <c r="Q351">
        <f>AVERAGEIFS(I351:I850,F351:F850,Table8[[#This Row],[Category]],N351:N850,Table8[[#This Row],[Region_Code]])</f>
        <v>622.09199999999987</v>
      </c>
      <c r="R351">
        <f>AVERAGEIFS(K351:K850,F351:F850,Table8[[#This Row],[Category]],N351:N850,Table8[[#This Row],[Region_Code]])</f>
        <v>186.45000000000002</v>
      </c>
    </row>
    <row r="352" spans="1:18" x14ac:dyDescent="0.3">
      <c r="A352" t="s">
        <v>783</v>
      </c>
      <c r="B352" t="s">
        <v>784</v>
      </c>
      <c r="C352" t="s">
        <v>44</v>
      </c>
      <c r="D352" t="s">
        <v>241</v>
      </c>
      <c r="E352" t="s">
        <v>22</v>
      </c>
      <c r="F352" t="s">
        <v>23</v>
      </c>
      <c r="G352">
        <v>7</v>
      </c>
      <c r="H352">
        <v>50.94</v>
      </c>
      <c r="I352">
        <v>356.58</v>
      </c>
      <c r="J352">
        <v>11.19</v>
      </c>
      <c r="K352">
        <v>100.39</v>
      </c>
      <c r="L352" t="s">
        <v>33</v>
      </c>
      <c r="M352" t="s">
        <v>25</v>
      </c>
      <c r="N352" t="s">
        <v>35</v>
      </c>
      <c r="O352">
        <f>SUMIFS(I352:I851,F352:F851,Table8[[#This Row],[Category]],N352:N851,Table8[[#This Row],[Region_Code]])</f>
        <v>9600.5800000000017</v>
      </c>
      <c r="P352" s="13">
        <f>SUMIFS(K352:K851,F352:F851,Table8[[#This Row],[Category]],N352:N851,Table8[[#This Row],[Region_Code]])</f>
        <v>2612.86</v>
      </c>
      <c r="Q352">
        <f>AVERAGEIFS(I352:I851,F352:F851,Table8[[#This Row],[Category]],N352:N851,Table8[[#This Row],[Region_Code]])</f>
        <v>1200.0725000000002</v>
      </c>
      <c r="R352">
        <f>AVERAGEIFS(K352:K851,F352:F851,Table8[[#This Row],[Category]],N352:N851,Table8[[#This Row],[Region_Code]])</f>
        <v>326.60750000000002</v>
      </c>
    </row>
    <row r="353" spans="1:18" x14ac:dyDescent="0.3">
      <c r="A353" t="s">
        <v>785</v>
      </c>
      <c r="B353" t="s">
        <v>786</v>
      </c>
      <c r="C353" t="s">
        <v>323</v>
      </c>
      <c r="D353" t="s">
        <v>206</v>
      </c>
      <c r="E353" t="s">
        <v>63</v>
      </c>
      <c r="F353" t="s">
        <v>47</v>
      </c>
      <c r="G353">
        <v>1</v>
      </c>
      <c r="H353">
        <v>31.4</v>
      </c>
      <c r="I353">
        <v>31.4</v>
      </c>
      <c r="J353">
        <v>1.1399999999999999</v>
      </c>
      <c r="K353">
        <v>10.26</v>
      </c>
      <c r="L353" t="s">
        <v>48</v>
      </c>
      <c r="M353" t="s">
        <v>34</v>
      </c>
      <c r="N353" t="s">
        <v>207</v>
      </c>
      <c r="O353">
        <f>SUMIFS(I353:I852,F353:F852,Table8[[#This Row],[Category]],N353:N852,Table8[[#This Row],[Region_Code]])</f>
        <v>179.6</v>
      </c>
      <c r="P353" s="13">
        <f>SUMIFS(K353:K852,F353:F852,Table8[[#This Row],[Category]],N353:N852,Table8[[#This Row],[Region_Code]])</f>
        <v>34.700000000000003</v>
      </c>
      <c r="Q353">
        <f>AVERAGEIFS(I353:I852,F353:F852,Table8[[#This Row],[Category]],N353:N852,Table8[[#This Row],[Region_Code]])</f>
        <v>89.8</v>
      </c>
      <c r="R353">
        <f>AVERAGEIFS(K353:K852,F353:F852,Table8[[#This Row],[Category]],N353:N852,Table8[[#This Row],[Region_Code]])</f>
        <v>17.350000000000001</v>
      </c>
    </row>
    <row r="354" spans="1:18" x14ac:dyDescent="0.3">
      <c r="A354" t="s">
        <v>787</v>
      </c>
      <c r="B354" t="s">
        <v>408</v>
      </c>
      <c r="C354" t="s">
        <v>317</v>
      </c>
      <c r="D354" t="s">
        <v>37</v>
      </c>
      <c r="E354" t="s">
        <v>86</v>
      </c>
      <c r="F354" t="s">
        <v>47</v>
      </c>
      <c r="G354">
        <v>28</v>
      </c>
      <c r="H354">
        <v>18.59</v>
      </c>
      <c r="I354">
        <v>520.52</v>
      </c>
      <c r="J354">
        <v>14.08</v>
      </c>
      <c r="K354">
        <v>149.44</v>
      </c>
      <c r="L354" t="s">
        <v>24</v>
      </c>
      <c r="M354" t="s">
        <v>25</v>
      </c>
      <c r="N354" t="s">
        <v>35</v>
      </c>
      <c r="O354">
        <f>SUMIFS(I354:I853,F354:F853,Table8[[#This Row],[Category]],N354:N853,Table8[[#This Row],[Region_Code]])</f>
        <v>9453.76</v>
      </c>
      <c r="P354" s="13">
        <f>SUMIFS(K354:K853,F354:F853,Table8[[#This Row],[Category]],N354:N853,Table8[[#This Row],[Region_Code]])</f>
        <v>3127.63</v>
      </c>
      <c r="Q354">
        <f>AVERAGEIFS(I354:I853,F354:F853,Table8[[#This Row],[Category]],N354:N853,Table8[[#This Row],[Region_Code]])</f>
        <v>675.26857142857148</v>
      </c>
      <c r="R354">
        <f>AVERAGEIFS(K354:K853,F354:F853,Table8[[#This Row],[Category]],N354:N853,Table8[[#This Row],[Region_Code]])</f>
        <v>223.40214285714288</v>
      </c>
    </row>
    <row r="355" spans="1:18" x14ac:dyDescent="0.3">
      <c r="A355" t="s">
        <v>788</v>
      </c>
      <c r="B355" t="s">
        <v>789</v>
      </c>
      <c r="C355" t="s">
        <v>790</v>
      </c>
      <c r="D355" t="s">
        <v>171</v>
      </c>
      <c r="E355" t="s">
        <v>81</v>
      </c>
      <c r="F355" t="s">
        <v>68</v>
      </c>
      <c r="G355">
        <v>50</v>
      </c>
      <c r="H355">
        <v>20.66</v>
      </c>
      <c r="I355">
        <v>1033</v>
      </c>
      <c r="J355">
        <v>34.130000000000003</v>
      </c>
      <c r="K355">
        <v>223.87</v>
      </c>
      <c r="L355" t="s">
        <v>48</v>
      </c>
      <c r="M355" t="s">
        <v>34</v>
      </c>
      <c r="N355" t="s">
        <v>35</v>
      </c>
      <c r="O355">
        <f>SUMIFS(I355:I854,F355:F854,Table8[[#This Row],[Category]],N355:N854,Table8[[#This Row],[Region_Code]])</f>
        <v>11735.630000000001</v>
      </c>
      <c r="P355" s="13">
        <f>SUMIFS(K355:K854,F355:F854,Table8[[#This Row],[Category]],N355:N854,Table8[[#This Row],[Region_Code]])</f>
        <v>3176.1800000000003</v>
      </c>
      <c r="Q355">
        <f>AVERAGEIFS(I355:I854,F355:F854,Table8[[#This Row],[Category]],N355:N854,Table8[[#This Row],[Region_Code]])</f>
        <v>977.96916666666675</v>
      </c>
      <c r="R355">
        <f>AVERAGEIFS(K355:K854,F355:F854,Table8[[#This Row],[Category]],N355:N854,Table8[[#This Row],[Region_Code]])</f>
        <v>264.68166666666667</v>
      </c>
    </row>
    <row r="356" spans="1:18" x14ac:dyDescent="0.3">
      <c r="A356" t="s">
        <v>791</v>
      </c>
      <c r="B356" t="s">
        <v>547</v>
      </c>
      <c r="C356" t="s">
        <v>249</v>
      </c>
      <c r="D356" t="s">
        <v>51</v>
      </c>
      <c r="E356" t="s">
        <v>22</v>
      </c>
      <c r="F356" t="s">
        <v>23</v>
      </c>
      <c r="G356">
        <v>4</v>
      </c>
      <c r="H356">
        <v>46.62</v>
      </c>
      <c r="I356">
        <v>186.48</v>
      </c>
      <c r="J356">
        <v>13.29</v>
      </c>
      <c r="K356">
        <v>33.19</v>
      </c>
      <c r="L356" t="s">
        <v>33</v>
      </c>
      <c r="M356" t="s">
        <v>25</v>
      </c>
      <c r="N356" t="s">
        <v>76</v>
      </c>
      <c r="O356">
        <f>SUMIFS(I356:I855,F356:F855,Table8[[#This Row],[Category]],N356:N855,Table8[[#This Row],[Region_Code]])</f>
        <v>4480.78</v>
      </c>
      <c r="P356" s="13">
        <f>SUMIFS(K356:K855,F356:F855,Table8[[#This Row],[Category]],N356:N855,Table8[[#This Row],[Region_Code]])</f>
        <v>1163.3700000000001</v>
      </c>
      <c r="Q356">
        <f>AVERAGEIFS(I356:I855,F356:F855,Table8[[#This Row],[Category]],N356:N855,Table8[[#This Row],[Region_Code]])</f>
        <v>448.07799999999997</v>
      </c>
      <c r="R356">
        <f>AVERAGEIFS(K356:K855,F356:F855,Table8[[#This Row],[Category]],N356:N855,Table8[[#This Row],[Region_Code]])</f>
        <v>116.33700000000002</v>
      </c>
    </row>
    <row r="357" spans="1:18" x14ac:dyDescent="0.3">
      <c r="A357" t="s">
        <v>792</v>
      </c>
      <c r="B357" t="s">
        <v>547</v>
      </c>
      <c r="C357" t="s">
        <v>732</v>
      </c>
      <c r="D357" t="s">
        <v>141</v>
      </c>
      <c r="E357" t="s">
        <v>81</v>
      </c>
      <c r="F357" t="s">
        <v>68</v>
      </c>
      <c r="G357">
        <v>37</v>
      </c>
      <c r="H357">
        <v>21.81</v>
      </c>
      <c r="I357">
        <v>806.97</v>
      </c>
      <c r="J357">
        <v>19.63</v>
      </c>
      <c r="K357">
        <v>213.84</v>
      </c>
      <c r="L357" t="s">
        <v>48</v>
      </c>
      <c r="M357" t="s">
        <v>41</v>
      </c>
      <c r="N357" t="s">
        <v>142</v>
      </c>
      <c r="O357">
        <f>SUMIFS(I357:I856,F357:F856,Table8[[#This Row],[Category]],N357:N856,Table8[[#This Row],[Region_Code]])</f>
        <v>3616.4800000000005</v>
      </c>
      <c r="P357" s="13">
        <f>SUMIFS(K357:K856,F357:F856,Table8[[#This Row],[Category]],N357:N856,Table8[[#This Row],[Region_Code]])</f>
        <v>1080.5</v>
      </c>
      <c r="Q357">
        <f>AVERAGEIFS(I357:I856,F357:F856,Table8[[#This Row],[Category]],N357:N856,Table8[[#This Row],[Region_Code]])</f>
        <v>904.12000000000012</v>
      </c>
      <c r="R357">
        <f>AVERAGEIFS(K357:K856,F357:F856,Table8[[#This Row],[Category]],N357:N856,Table8[[#This Row],[Region_Code]])</f>
        <v>270.125</v>
      </c>
    </row>
    <row r="358" spans="1:18" x14ac:dyDescent="0.3">
      <c r="A358" t="s">
        <v>793</v>
      </c>
      <c r="B358" t="s">
        <v>100</v>
      </c>
      <c r="C358" t="s">
        <v>216</v>
      </c>
      <c r="D358" t="s">
        <v>51</v>
      </c>
      <c r="E358" t="s">
        <v>81</v>
      </c>
      <c r="F358" t="s">
        <v>68</v>
      </c>
      <c r="G358">
        <v>48</v>
      </c>
      <c r="H358">
        <v>26.68</v>
      </c>
      <c r="I358">
        <v>1280.6400000000001</v>
      </c>
      <c r="J358">
        <v>55.36</v>
      </c>
      <c r="K358">
        <v>481.28</v>
      </c>
      <c r="L358" t="s">
        <v>24</v>
      </c>
      <c r="M358" t="s">
        <v>34</v>
      </c>
      <c r="N358" t="s">
        <v>76</v>
      </c>
      <c r="O358">
        <f>SUMIFS(I358:I857,F358:F857,Table8[[#This Row],[Category]],N358:N857,Table8[[#This Row],[Region_Code]])</f>
        <v>23938.860000000008</v>
      </c>
      <c r="P358" s="13">
        <f>SUMIFS(K358:K857,F358:F857,Table8[[#This Row],[Category]],N358:N857,Table8[[#This Row],[Region_Code]])</f>
        <v>6906.6900000000014</v>
      </c>
      <c r="Q358">
        <f>AVERAGEIFS(I358:I857,F358:F857,Table8[[#This Row],[Category]],N358:N857,Table8[[#This Row],[Region_Code]])</f>
        <v>1040.8200000000004</v>
      </c>
      <c r="R358">
        <f>AVERAGEIFS(K358:K857,F358:F857,Table8[[#This Row],[Category]],N358:N857,Table8[[#This Row],[Region_Code]])</f>
        <v>300.29086956521746</v>
      </c>
    </row>
    <row r="359" spans="1:18" x14ac:dyDescent="0.3">
      <c r="A359" t="s">
        <v>794</v>
      </c>
      <c r="B359" t="s">
        <v>795</v>
      </c>
      <c r="C359" t="s">
        <v>191</v>
      </c>
      <c r="D359" t="s">
        <v>45</v>
      </c>
      <c r="E359" t="s">
        <v>74</v>
      </c>
      <c r="F359" t="s">
        <v>75</v>
      </c>
      <c r="G359">
        <v>24</v>
      </c>
      <c r="H359">
        <v>42.82</v>
      </c>
      <c r="I359">
        <v>1027.68</v>
      </c>
      <c r="J359">
        <v>69.95</v>
      </c>
      <c r="K359">
        <v>357.73</v>
      </c>
      <c r="L359" t="s">
        <v>24</v>
      </c>
      <c r="M359" t="s">
        <v>25</v>
      </c>
      <c r="N359" t="s">
        <v>49</v>
      </c>
      <c r="O359">
        <f>SUMIFS(I359:I858,F359:F858,Table8[[#This Row],[Category]],N359:N858,Table8[[#This Row],[Region_Code]])</f>
        <v>4392.63</v>
      </c>
      <c r="P359" s="13">
        <f>SUMIFS(K359:K858,F359:F858,Table8[[#This Row],[Category]],N359:N858,Table8[[#This Row],[Region_Code]])</f>
        <v>1652.3</v>
      </c>
      <c r="Q359">
        <f>AVERAGEIFS(I359:I858,F359:F858,Table8[[#This Row],[Category]],N359:N858,Table8[[#This Row],[Region_Code]])</f>
        <v>1464.21</v>
      </c>
      <c r="R359">
        <f>AVERAGEIFS(K359:K858,F359:F858,Table8[[#This Row],[Category]],N359:N858,Table8[[#This Row],[Region_Code]])</f>
        <v>550.76666666666665</v>
      </c>
    </row>
    <row r="360" spans="1:18" x14ac:dyDescent="0.3">
      <c r="A360" t="s">
        <v>796</v>
      </c>
      <c r="B360" t="s">
        <v>179</v>
      </c>
      <c r="C360" t="s">
        <v>194</v>
      </c>
      <c r="D360" t="s">
        <v>206</v>
      </c>
      <c r="E360" t="s">
        <v>67</v>
      </c>
      <c r="F360" t="s">
        <v>68</v>
      </c>
      <c r="G360">
        <v>26</v>
      </c>
      <c r="H360">
        <v>34.4</v>
      </c>
      <c r="I360">
        <v>894.4</v>
      </c>
      <c r="J360">
        <v>40.42</v>
      </c>
      <c r="K360">
        <v>268.98</v>
      </c>
      <c r="L360" t="s">
        <v>24</v>
      </c>
      <c r="M360" t="s">
        <v>25</v>
      </c>
      <c r="N360" t="s">
        <v>207</v>
      </c>
      <c r="O360">
        <f>SUMIFS(I360:I859,F360:F859,Table8[[#This Row],[Category]],N360:N859,Table8[[#This Row],[Region_Code]])</f>
        <v>4349.1499999999996</v>
      </c>
      <c r="P360" s="13">
        <f>SUMIFS(K360:K859,F360:F859,Table8[[#This Row],[Category]],N360:N859,Table8[[#This Row],[Region_Code]])</f>
        <v>1386.19</v>
      </c>
      <c r="Q360">
        <f>AVERAGEIFS(I360:I859,F360:F859,Table8[[#This Row],[Category]],N360:N859,Table8[[#This Row],[Region_Code]])</f>
        <v>1087.2874999999999</v>
      </c>
      <c r="R360">
        <f>AVERAGEIFS(K360:K859,F360:F859,Table8[[#This Row],[Category]],N360:N859,Table8[[#This Row],[Region_Code]])</f>
        <v>346.54750000000001</v>
      </c>
    </row>
    <row r="361" spans="1:18" x14ac:dyDescent="0.3">
      <c r="A361" t="s">
        <v>797</v>
      </c>
      <c r="B361" t="s">
        <v>798</v>
      </c>
      <c r="C361" t="s">
        <v>321</v>
      </c>
      <c r="D361" t="s">
        <v>37</v>
      </c>
      <c r="E361" t="s">
        <v>22</v>
      </c>
      <c r="F361" t="s">
        <v>23</v>
      </c>
      <c r="G361">
        <v>47</v>
      </c>
      <c r="H361">
        <v>44.89</v>
      </c>
      <c r="I361">
        <v>2109.83</v>
      </c>
      <c r="J361">
        <v>45.91</v>
      </c>
      <c r="K361">
        <v>418.92</v>
      </c>
      <c r="L361" t="s">
        <v>24</v>
      </c>
      <c r="M361" t="s">
        <v>34</v>
      </c>
      <c r="N361" t="s">
        <v>35</v>
      </c>
      <c r="O361">
        <f>SUMIFS(I361:I860,F361:F860,Table8[[#This Row],[Category]],N361:N860,Table8[[#This Row],[Region_Code]])</f>
        <v>9244.0000000000018</v>
      </c>
      <c r="P361" s="13">
        <f>SUMIFS(K361:K860,F361:F860,Table8[[#This Row],[Category]],N361:N860,Table8[[#This Row],[Region_Code]])</f>
        <v>2512.4699999999998</v>
      </c>
      <c r="Q361">
        <f>AVERAGEIFS(I361:I860,F361:F860,Table8[[#This Row],[Category]],N361:N860,Table8[[#This Row],[Region_Code]])</f>
        <v>1320.5714285714289</v>
      </c>
      <c r="R361">
        <f>AVERAGEIFS(K361:K860,F361:F860,Table8[[#This Row],[Category]],N361:N860,Table8[[#This Row],[Region_Code]])</f>
        <v>358.9242857142857</v>
      </c>
    </row>
    <row r="362" spans="1:18" x14ac:dyDescent="0.3">
      <c r="A362" t="s">
        <v>799</v>
      </c>
      <c r="B362" t="s">
        <v>688</v>
      </c>
      <c r="C362" t="s">
        <v>285</v>
      </c>
      <c r="D362" t="s">
        <v>51</v>
      </c>
      <c r="E362" t="s">
        <v>81</v>
      </c>
      <c r="F362" t="s">
        <v>68</v>
      </c>
      <c r="G362">
        <v>1</v>
      </c>
      <c r="H362">
        <v>18.739999999999998</v>
      </c>
      <c r="I362">
        <v>18.739999999999998</v>
      </c>
      <c r="J362">
        <v>0.5</v>
      </c>
      <c r="K362">
        <v>2.74</v>
      </c>
      <c r="L362" t="s">
        <v>48</v>
      </c>
      <c r="M362" t="s">
        <v>34</v>
      </c>
      <c r="N362" t="s">
        <v>76</v>
      </c>
      <c r="O362">
        <f>SUMIFS(I362:I861,F362:F861,Table8[[#This Row],[Category]],N362:N861,Table8[[#This Row],[Region_Code]])</f>
        <v>22658.220000000005</v>
      </c>
      <c r="P362" s="13">
        <f>SUMIFS(K362:K861,F362:F861,Table8[[#This Row],[Category]],N362:N861,Table8[[#This Row],[Region_Code]])</f>
        <v>6425.4100000000008</v>
      </c>
      <c r="Q362">
        <f>AVERAGEIFS(I362:I861,F362:F861,Table8[[#This Row],[Category]],N362:N861,Table8[[#This Row],[Region_Code]])</f>
        <v>1029.9190909090912</v>
      </c>
      <c r="R362">
        <f>AVERAGEIFS(K362:K861,F362:F861,Table8[[#This Row],[Category]],N362:N861,Table8[[#This Row],[Region_Code]])</f>
        <v>292.06409090909096</v>
      </c>
    </row>
    <row r="363" spans="1:18" x14ac:dyDescent="0.3">
      <c r="A363" t="s">
        <v>800</v>
      </c>
      <c r="B363" t="s">
        <v>156</v>
      </c>
      <c r="C363" t="s">
        <v>272</v>
      </c>
      <c r="D363" t="s">
        <v>116</v>
      </c>
      <c r="E363" t="s">
        <v>67</v>
      </c>
      <c r="F363" t="s">
        <v>68</v>
      </c>
      <c r="G363">
        <v>27</v>
      </c>
      <c r="H363">
        <v>36.270000000000003</v>
      </c>
      <c r="I363">
        <v>979.29</v>
      </c>
      <c r="J363">
        <v>54.58</v>
      </c>
      <c r="K363">
        <v>317.20999999999998</v>
      </c>
      <c r="L363" t="s">
        <v>33</v>
      </c>
      <c r="M363" t="s">
        <v>34</v>
      </c>
      <c r="N363" t="s">
        <v>76</v>
      </c>
      <c r="O363">
        <f>SUMIFS(I363:I862,F363:F862,Table8[[#This Row],[Category]],N363:N862,Table8[[#This Row],[Region_Code]])</f>
        <v>22639.480000000007</v>
      </c>
      <c r="P363" s="13">
        <f>SUMIFS(K363:K862,F363:F862,Table8[[#This Row],[Category]],N363:N862,Table8[[#This Row],[Region_Code]])</f>
        <v>6422.670000000001</v>
      </c>
      <c r="Q363">
        <f>AVERAGEIFS(I363:I862,F363:F862,Table8[[#This Row],[Category]],N363:N862,Table8[[#This Row],[Region_Code]])</f>
        <v>1078.0704761904765</v>
      </c>
      <c r="R363">
        <f>AVERAGEIFS(K363:K862,F363:F862,Table8[[#This Row],[Category]],N363:N862,Table8[[#This Row],[Region_Code]])</f>
        <v>305.84142857142859</v>
      </c>
    </row>
    <row r="364" spans="1:18" x14ac:dyDescent="0.3">
      <c r="A364" t="s">
        <v>801</v>
      </c>
      <c r="B364" t="s">
        <v>261</v>
      </c>
      <c r="C364" t="s">
        <v>151</v>
      </c>
      <c r="D364" t="s">
        <v>241</v>
      </c>
      <c r="E364" t="s">
        <v>86</v>
      </c>
      <c r="F364" t="s">
        <v>47</v>
      </c>
      <c r="G364">
        <v>13</v>
      </c>
      <c r="H364">
        <v>18.82</v>
      </c>
      <c r="I364">
        <v>244.66</v>
      </c>
      <c r="J364">
        <v>6.49</v>
      </c>
      <c r="K364">
        <v>72.42</v>
      </c>
      <c r="L364" t="s">
        <v>48</v>
      </c>
      <c r="M364" t="s">
        <v>34</v>
      </c>
      <c r="N364" t="s">
        <v>35</v>
      </c>
      <c r="O364">
        <f>SUMIFS(I364:I863,F364:F863,Table8[[#This Row],[Category]],N364:N863,Table8[[#This Row],[Region_Code]])</f>
        <v>8933.24</v>
      </c>
      <c r="P364" s="13">
        <f>SUMIFS(K364:K863,F364:F863,Table8[[#This Row],[Category]],N364:N863,Table8[[#This Row],[Region_Code]])</f>
        <v>2978.19</v>
      </c>
      <c r="Q364">
        <f>AVERAGEIFS(I364:I863,F364:F863,Table8[[#This Row],[Category]],N364:N863,Table8[[#This Row],[Region_Code]])</f>
        <v>687.17230769230764</v>
      </c>
      <c r="R364">
        <f>AVERAGEIFS(K364:K863,F364:F863,Table8[[#This Row],[Category]],N364:N863,Table8[[#This Row],[Region_Code]])</f>
        <v>229.09153846153848</v>
      </c>
    </row>
    <row r="365" spans="1:18" x14ac:dyDescent="0.3">
      <c r="A365" t="s">
        <v>802</v>
      </c>
      <c r="B365" t="s">
        <v>139</v>
      </c>
      <c r="C365" t="s">
        <v>539</v>
      </c>
      <c r="D365" t="s">
        <v>206</v>
      </c>
      <c r="E365" t="s">
        <v>137</v>
      </c>
      <c r="F365" t="s">
        <v>68</v>
      </c>
      <c r="G365">
        <v>41</v>
      </c>
      <c r="H365">
        <v>43.19</v>
      </c>
      <c r="I365">
        <v>1770.79</v>
      </c>
      <c r="J365">
        <v>83.28</v>
      </c>
      <c r="K365">
        <v>539.51</v>
      </c>
      <c r="L365" t="s">
        <v>33</v>
      </c>
      <c r="M365" t="s">
        <v>25</v>
      </c>
      <c r="N365" t="s">
        <v>207</v>
      </c>
      <c r="O365">
        <f>SUMIFS(I365:I864,F365:F864,Table8[[#This Row],[Category]],N365:N864,Table8[[#This Row],[Region_Code]])</f>
        <v>3454.75</v>
      </c>
      <c r="P365" s="13">
        <f>SUMIFS(K365:K864,F365:F864,Table8[[#This Row],[Category]],N365:N864,Table8[[#This Row],[Region_Code]])</f>
        <v>1117.21</v>
      </c>
      <c r="Q365">
        <f>AVERAGEIFS(I365:I864,F365:F864,Table8[[#This Row],[Category]],N365:N864,Table8[[#This Row],[Region_Code]])</f>
        <v>1151.5833333333333</v>
      </c>
      <c r="R365">
        <f>AVERAGEIFS(K365:K864,F365:F864,Table8[[#This Row],[Category]],N365:N864,Table8[[#This Row],[Region_Code]])</f>
        <v>372.40333333333336</v>
      </c>
    </row>
    <row r="366" spans="1:18" x14ac:dyDescent="0.3">
      <c r="A366" t="s">
        <v>803</v>
      </c>
      <c r="B366" t="s">
        <v>804</v>
      </c>
      <c r="C366" t="s">
        <v>110</v>
      </c>
      <c r="D366" t="s">
        <v>51</v>
      </c>
      <c r="E366" t="s">
        <v>137</v>
      </c>
      <c r="F366" t="s">
        <v>68</v>
      </c>
      <c r="G366">
        <v>40</v>
      </c>
      <c r="H366">
        <v>42.31</v>
      </c>
      <c r="I366">
        <v>1692.4</v>
      </c>
      <c r="J366">
        <v>118.59</v>
      </c>
      <c r="K366">
        <v>453.81</v>
      </c>
      <c r="L366" t="s">
        <v>33</v>
      </c>
      <c r="M366" t="s">
        <v>41</v>
      </c>
      <c r="N366" t="s">
        <v>76</v>
      </c>
      <c r="O366">
        <f>SUMIFS(I366:I865,F366:F865,Table8[[#This Row],[Category]],N366:N865,Table8[[#This Row],[Region_Code]])</f>
        <v>21660.190000000006</v>
      </c>
      <c r="P366" s="13">
        <f>SUMIFS(K366:K865,F366:F865,Table8[[#This Row],[Category]],N366:N865,Table8[[#This Row],[Region_Code]])</f>
        <v>6105.4600000000019</v>
      </c>
      <c r="Q366">
        <f>AVERAGEIFS(I366:I865,F366:F865,Table8[[#This Row],[Category]],N366:N865,Table8[[#This Row],[Region_Code]])</f>
        <v>1083.0095000000003</v>
      </c>
      <c r="R366">
        <f>AVERAGEIFS(K366:K865,F366:F865,Table8[[#This Row],[Category]],N366:N865,Table8[[#This Row],[Region_Code]])</f>
        <v>305.27300000000008</v>
      </c>
    </row>
    <row r="367" spans="1:18" x14ac:dyDescent="0.3">
      <c r="A367" t="s">
        <v>805</v>
      </c>
      <c r="B367" t="s">
        <v>536</v>
      </c>
      <c r="C367" t="s">
        <v>440</v>
      </c>
      <c r="D367" t="s">
        <v>70</v>
      </c>
      <c r="E367" t="s">
        <v>46</v>
      </c>
      <c r="F367" t="s">
        <v>47</v>
      </c>
      <c r="G367">
        <v>1</v>
      </c>
      <c r="H367">
        <v>57.15</v>
      </c>
      <c r="I367">
        <v>57.15</v>
      </c>
      <c r="J367">
        <v>4.1100000000000003</v>
      </c>
      <c r="K367">
        <v>21.04</v>
      </c>
      <c r="L367" t="s">
        <v>33</v>
      </c>
      <c r="M367" t="s">
        <v>25</v>
      </c>
      <c r="N367" t="s">
        <v>76</v>
      </c>
      <c r="O367">
        <f>SUMIFS(I367:I866,F367:F866,Table8[[#This Row],[Category]],N367:N866,Table8[[#This Row],[Region_Code]])</f>
        <v>4615.8</v>
      </c>
      <c r="P367" s="13">
        <f>SUMIFS(K367:K866,F367:F866,Table8[[#This Row],[Category]],N367:N866,Table8[[#This Row],[Region_Code]])</f>
        <v>1414.0900000000004</v>
      </c>
      <c r="Q367">
        <f>AVERAGEIFS(I367:I866,F367:F866,Table8[[#This Row],[Category]],N367:N866,Table8[[#This Row],[Region_Code]])</f>
        <v>512.86666666666667</v>
      </c>
      <c r="R367">
        <f>AVERAGEIFS(K367:K866,F367:F866,Table8[[#This Row],[Category]],N367:N866,Table8[[#This Row],[Region_Code]])</f>
        <v>157.12111111111116</v>
      </c>
    </row>
    <row r="368" spans="1:18" x14ac:dyDescent="0.3">
      <c r="A368" t="s">
        <v>806</v>
      </c>
      <c r="B368" t="s">
        <v>196</v>
      </c>
      <c r="C368" t="s">
        <v>269</v>
      </c>
      <c r="D368" t="s">
        <v>55</v>
      </c>
      <c r="E368" t="s">
        <v>63</v>
      </c>
      <c r="F368" t="s">
        <v>47</v>
      </c>
      <c r="G368">
        <v>15</v>
      </c>
      <c r="H368">
        <v>30.03</v>
      </c>
      <c r="I368">
        <v>450.45</v>
      </c>
      <c r="J368">
        <v>29.99</v>
      </c>
      <c r="K368">
        <v>120.46</v>
      </c>
      <c r="L368" t="s">
        <v>48</v>
      </c>
      <c r="M368" t="s">
        <v>34</v>
      </c>
      <c r="N368" t="s">
        <v>98</v>
      </c>
      <c r="O368">
        <f>SUMIFS(I368:I867,F368:F867,Table8[[#This Row],[Category]],N368:N867,Table8[[#This Row],[Region_Code]])</f>
        <v>8803.75</v>
      </c>
      <c r="P368" s="13">
        <f>SUMIFS(K368:K867,F368:F867,Table8[[#This Row],[Category]],N368:N867,Table8[[#This Row],[Region_Code]])</f>
        <v>2032.19</v>
      </c>
      <c r="Q368">
        <f>AVERAGEIFS(I368:I867,F368:F867,Table8[[#This Row],[Category]],N368:N867,Table8[[#This Row],[Region_Code]])</f>
        <v>880.375</v>
      </c>
      <c r="R368">
        <f>AVERAGEIFS(K368:K867,F368:F867,Table8[[#This Row],[Category]],N368:N867,Table8[[#This Row],[Region_Code]])</f>
        <v>203.21899999999999</v>
      </c>
    </row>
    <row r="369" spans="1:18" x14ac:dyDescent="0.3">
      <c r="A369" t="s">
        <v>807</v>
      </c>
      <c r="B369" t="s">
        <v>808</v>
      </c>
      <c r="C369" t="s">
        <v>257</v>
      </c>
      <c r="D369" t="s">
        <v>45</v>
      </c>
      <c r="E369" t="s">
        <v>63</v>
      </c>
      <c r="F369" t="s">
        <v>47</v>
      </c>
      <c r="G369">
        <v>48</v>
      </c>
      <c r="H369">
        <v>30.91</v>
      </c>
      <c r="I369">
        <v>1483.68</v>
      </c>
      <c r="J369">
        <v>85.5</v>
      </c>
      <c r="K369">
        <v>438.18</v>
      </c>
      <c r="L369" t="s">
        <v>24</v>
      </c>
      <c r="M369" t="s">
        <v>34</v>
      </c>
      <c r="N369" t="s">
        <v>49</v>
      </c>
      <c r="O369">
        <f>SUMIFS(I369:I868,F369:F868,Table8[[#This Row],[Category]],N369:N868,Table8[[#This Row],[Region_Code]])</f>
        <v>6399.96</v>
      </c>
      <c r="P369" s="13">
        <f>SUMIFS(K369:K868,F369:F868,Table8[[#This Row],[Category]],N369:N868,Table8[[#This Row],[Region_Code]])</f>
        <v>1881.2700000000002</v>
      </c>
      <c r="Q369">
        <f>AVERAGEIFS(I369:I868,F369:F868,Table8[[#This Row],[Category]],N369:N868,Table8[[#This Row],[Region_Code]])</f>
        <v>799.995</v>
      </c>
      <c r="R369">
        <f>AVERAGEIFS(K369:K868,F369:F868,Table8[[#This Row],[Category]],N369:N868,Table8[[#This Row],[Region_Code]])</f>
        <v>235.15875000000003</v>
      </c>
    </row>
    <row r="370" spans="1:18" x14ac:dyDescent="0.3">
      <c r="A370" t="s">
        <v>809</v>
      </c>
      <c r="B370" t="s">
        <v>810</v>
      </c>
      <c r="C370" t="s">
        <v>511</v>
      </c>
      <c r="D370" t="s">
        <v>62</v>
      </c>
      <c r="E370" t="s">
        <v>67</v>
      </c>
      <c r="F370" t="s">
        <v>68</v>
      </c>
      <c r="G370">
        <v>8</v>
      </c>
      <c r="H370">
        <v>32.19</v>
      </c>
      <c r="I370">
        <v>257.52</v>
      </c>
      <c r="J370">
        <v>11.85</v>
      </c>
      <c r="K370">
        <v>65.67</v>
      </c>
      <c r="L370" t="s">
        <v>24</v>
      </c>
      <c r="M370" t="s">
        <v>25</v>
      </c>
      <c r="N370" t="s">
        <v>98</v>
      </c>
      <c r="O370">
        <f>SUMIFS(I370:I869,F370:F869,Table8[[#This Row],[Category]],N370:N869,Table8[[#This Row],[Region_Code]])</f>
        <v>10018.080000000002</v>
      </c>
      <c r="P370" s="13">
        <f>SUMIFS(K370:K869,F370:F869,Table8[[#This Row],[Category]],N370:N869,Table8[[#This Row],[Region_Code]])</f>
        <v>3135.5</v>
      </c>
      <c r="Q370">
        <f>AVERAGEIFS(I370:I869,F370:F869,Table8[[#This Row],[Category]],N370:N869,Table8[[#This Row],[Region_Code]])</f>
        <v>1113.1200000000001</v>
      </c>
      <c r="R370">
        <f>AVERAGEIFS(K370:K869,F370:F869,Table8[[#This Row],[Category]],N370:N869,Table8[[#This Row],[Region_Code]])</f>
        <v>348.38888888888891</v>
      </c>
    </row>
    <row r="371" spans="1:18" x14ac:dyDescent="0.3">
      <c r="A371" t="s">
        <v>811</v>
      </c>
      <c r="B371" t="s">
        <v>812</v>
      </c>
      <c r="C371" t="s">
        <v>235</v>
      </c>
      <c r="D371" t="s">
        <v>123</v>
      </c>
      <c r="E371" t="s">
        <v>56</v>
      </c>
      <c r="F371" t="s">
        <v>57</v>
      </c>
      <c r="G371">
        <v>22</v>
      </c>
      <c r="H371">
        <v>60.75</v>
      </c>
      <c r="I371">
        <v>1336.5</v>
      </c>
      <c r="J371">
        <v>38.340000000000003</v>
      </c>
      <c r="K371">
        <v>418.16</v>
      </c>
      <c r="L371" t="s">
        <v>24</v>
      </c>
      <c r="M371" t="s">
        <v>34</v>
      </c>
      <c r="N371" t="s">
        <v>76</v>
      </c>
      <c r="O371">
        <f>SUMIFS(I371:I870,F371:F870,Table8[[#This Row],[Category]],N371:N870,Table8[[#This Row],[Region_Code]])</f>
        <v>8946.14</v>
      </c>
      <c r="P371" s="13">
        <f>SUMIFS(K371:K870,F371:F870,Table8[[#This Row],[Category]],N371:N870,Table8[[#This Row],[Region_Code]])</f>
        <v>2215.29</v>
      </c>
      <c r="Q371">
        <f>AVERAGEIFS(I371:I870,F371:F870,Table8[[#This Row],[Category]],N371:N870,Table8[[#This Row],[Region_Code]])</f>
        <v>1278.02</v>
      </c>
      <c r="R371">
        <f>AVERAGEIFS(K371:K870,F371:F870,Table8[[#This Row],[Category]],N371:N870,Table8[[#This Row],[Region_Code]])</f>
        <v>316.46999999999997</v>
      </c>
    </row>
    <row r="372" spans="1:18" x14ac:dyDescent="0.3">
      <c r="A372" t="s">
        <v>813</v>
      </c>
      <c r="B372" t="s">
        <v>319</v>
      </c>
      <c r="C372" t="s">
        <v>191</v>
      </c>
      <c r="D372" t="s">
        <v>37</v>
      </c>
      <c r="E372" t="s">
        <v>56</v>
      </c>
      <c r="F372" t="s">
        <v>57</v>
      </c>
      <c r="G372">
        <v>38</v>
      </c>
      <c r="H372">
        <v>66.06</v>
      </c>
      <c r="I372">
        <v>2510.2800000000002</v>
      </c>
      <c r="J372">
        <v>50.37</v>
      </c>
      <c r="K372">
        <v>939.91</v>
      </c>
      <c r="L372" t="s">
        <v>24</v>
      </c>
      <c r="M372" t="s">
        <v>25</v>
      </c>
      <c r="N372" t="s">
        <v>35</v>
      </c>
      <c r="O372">
        <f>SUMIFS(I372:I871,F372:F871,Table8[[#This Row],[Category]],N372:N871,Table8[[#This Row],[Region_Code]])</f>
        <v>2926.15</v>
      </c>
      <c r="P372" s="13">
        <f>SUMIFS(K372:K871,F372:F871,Table8[[#This Row],[Category]],N372:N871,Table8[[#This Row],[Region_Code]])</f>
        <v>1050.27</v>
      </c>
      <c r="Q372">
        <f>AVERAGEIFS(I372:I871,F372:F871,Table8[[#This Row],[Category]],N372:N871,Table8[[#This Row],[Region_Code]])</f>
        <v>1463.075</v>
      </c>
      <c r="R372">
        <f>AVERAGEIFS(K372:K871,F372:F871,Table8[[#This Row],[Category]],N372:N871,Table8[[#This Row],[Region_Code]])</f>
        <v>525.13499999999999</v>
      </c>
    </row>
    <row r="373" spans="1:18" x14ac:dyDescent="0.3">
      <c r="A373" t="s">
        <v>814</v>
      </c>
      <c r="B373" t="s">
        <v>502</v>
      </c>
      <c r="C373" t="s">
        <v>157</v>
      </c>
      <c r="D373" t="s">
        <v>21</v>
      </c>
      <c r="E373" t="s">
        <v>22</v>
      </c>
      <c r="F373" t="s">
        <v>23</v>
      </c>
      <c r="G373">
        <v>33</v>
      </c>
      <c r="H373">
        <v>50.88</v>
      </c>
      <c r="I373">
        <v>1679.04</v>
      </c>
      <c r="J373">
        <v>61.48</v>
      </c>
      <c r="K373">
        <v>462.56</v>
      </c>
      <c r="L373" t="s">
        <v>24</v>
      </c>
      <c r="M373" t="s">
        <v>34</v>
      </c>
      <c r="N373" t="s">
        <v>98</v>
      </c>
      <c r="O373">
        <f>SUMIFS(I373:I872,F373:F872,Table8[[#This Row],[Category]],N373:N872,Table8[[#This Row],[Region_Code]])</f>
        <v>2448.5100000000002</v>
      </c>
      <c r="P373" s="13">
        <f>SUMIFS(K373:K872,F373:F872,Table8[[#This Row],[Category]],N373:N872,Table8[[#This Row],[Region_Code]])</f>
        <v>609.25</v>
      </c>
      <c r="Q373">
        <f>AVERAGEIFS(I373:I872,F373:F872,Table8[[#This Row],[Category]],N373:N872,Table8[[#This Row],[Region_Code]])</f>
        <v>816.17000000000007</v>
      </c>
      <c r="R373">
        <f>AVERAGEIFS(K373:K872,F373:F872,Table8[[#This Row],[Category]],N373:N872,Table8[[#This Row],[Region_Code]])</f>
        <v>203.08333333333334</v>
      </c>
    </row>
    <row r="374" spans="1:18" x14ac:dyDescent="0.3">
      <c r="A374" t="s">
        <v>815</v>
      </c>
      <c r="B374" t="s">
        <v>816</v>
      </c>
      <c r="C374" t="s">
        <v>417</v>
      </c>
      <c r="D374" t="s">
        <v>51</v>
      </c>
      <c r="E374" t="s">
        <v>137</v>
      </c>
      <c r="F374" t="s">
        <v>68</v>
      </c>
      <c r="G374">
        <v>49</v>
      </c>
      <c r="H374">
        <v>34.479999999999997</v>
      </c>
      <c r="I374">
        <v>1689.52</v>
      </c>
      <c r="J374">
        <v>53.06</v>
      </c>
      <c r="K374">
        <v>264.45999999999998</v>
      </c>
      <c r="L374" t="s">
        <v>48</v>
      </c>
      <c r="M374" t="s">
        <v>41</v>
      </c>
      <c r="N374" t="s">
        <v>76</v>
      </c>
      <c r="O374">
        <f>SUMIFS(I374:I873,F374:F873,Table8[[#This Row],[Category]],N374:N873,Table8[[#This Row],[Region_Code]])</f>
        <v>19967.790000000005</v>
      </c>
      <c r="P374" s="13">
        <f>SUMIFS(K374:K873,F374:F873,Table8[[#This Row],[Category]],N374:N873,Table8[[#This Row],[Region_Code]])</f>
        <v>5651.6500000000015</v>
      </c>
      <c r="Q374">
        <f>AVERAGEIFS(I374:I873,F374:F873,Table8[[#This Row],[Category]],N374:N873,Table8[[#This Row],[Region_Code]])</f>
        <v>1050.9363157894738</v>
      </c>
      <c r="R374">
        <f>AVERAGEIFS(K374:K873,F374:F873,Table8[[#This Row],[Category]],N374:N873,Table8[[#This Row],[Region_Code]])</f>
        <v>297.45526315789482</v>
      </c>
    </row>
    <row r="375" spans="1:18" x14ac:dyDescent="0.3">
      <c r="A375" t="s">
        <v>817</v>
      </c>
      <c r="B375" t="s">
        <v>736</v>
      </c>
      <c r="C375" t="s">
        <v>269</v>
      </c>
      <c r="D375" t="s">
        <v>127</v>
      </c>
      <c r="E375" t="s">
        <v>63</v>
      </c>
      <c r="F375" t="s">
        <v>47</v>
      </c>
      <c r="G375">
        <v>31</v>
      </c>
      <c r="H375">
        <v>25.43</v>
      </c>
      <c r="I375">
        <v>788.33</v>
      </c>
      <c r="J375">
        <v>57.81</v>
      </c>
      <c r="K375">
        <v>110.52</v>
      </c>
      <c r="L375" t="s">
        <v>24</v>
      </c>
      <c r="M375" t="s">
        <v>34</v>
      </c>
      <c r="N375" t="s">
        <v>76</v>
      </c>
      <c r="O375">
        <f>SUMIFS(I375:I874,F375:F874,Table8[[#This Row],[Category]],N375:N874,Table8[[#This Row],[Region_Code]])</f>
        <v>4558.6500000000005</v>
      </c>
      <c r="P375" s="13">
        <f>SUMIFS(K375:K874,F375:F874,Table8[[#This Row],[Category]],N375:N874,Table8[[#This Row],[Region_Code]])</f>
        <v>1393.0500000000004</v>
      </c>
      <c r="Q375">
        <f>AVERAGEIFS(I375:I874,F375:F874,Table8[[#This Row],[Category]],N375:N874,Table8[[#This Row],[Region_Code]])</f>
        <v>569.83125000000007</v>
      </c>
      <c r="R375">
        <f>AVERAGEIFS(K375:K874,F375:F874,Table8[[#This Row],[Category]],N375:N874,Table8[[#This Row],[Region_Code]])</f>
        <v>174.13125000000005</v>
      </c>
    </row>
    <row r="376" spans="1:18" x14ac:dyDescent="0.3">
      <c r="A376" t="s">
        <v>818</v>
      </c>
      <c r="B376" t="s">
        <v>467</v>
      </c>
      <c r="C376" t="s">
        <v>360</v>
      </c>
      <c r="D376" t="s">
        <v>241</v>
      </c>
      <c r="E376" t="s">
        <v>63</v>
      </c>
      <c r="F376" t="s">
        <v>47</v>
      </c>
      <c r="G376">
        <v>29</v>
      </c>
      <c r="H376">
        <v>31.68</v>
      </c>
      <c r="I376">
        <v>918.72</v>
      </c>
      <c r="J376">
        <v>22.22</v>
      </c>
      <c r="K376">
        <v>316.5</v>
      </c>
      <c r="L376" t="s">
        <v>48</v>
      </c>
      <c r="M376" t="s">
        <v>25</v>
      </c>
      <c r="N376" t="s">
        <v>35</v>
      </c>
      <c r="O376">
        <f>SUMIFS(I376:I875,F376:F875,Table8[[#This Row],[Category]],N376:N875,Table8[[#This Row],[Region_Code]])</f>
        <v>8688.5799999999981</v>
      </c>
      <c r="P376" s="13">
        <f>SUMIFS(K376:K875,F376:F875,Table8[[#This Row],[Category]],N376:N875,Table8[[#This Row],[Region_Code]])</f>
        <v>2905.77</v>
      </c>
      <c r="Q376">
        <f>AVERAGEIFS(I376:I875,F376:F875,Table8[[#This Row],[Category]],N376:N875,Table8[[#This Row],[Region_Code]])</f>
        <v>724.04833333333318</v>
      </c>
      <c r="R376">
        <f>AVERAGEIFS(K376:K875,F376:F875,Table8[[#This Row],[Category]],N376:N875,Table8[[#This Row],[Region_Code]])</f>
        <v>242.14750000000001</v>
      </c>
    </row>
    <row r="377" spans="1:18" x14ac:dyDescent="0.3">
      <c r="A377" t="s">
        <v>819</v>
      </c>
      <c r="B377" t="s">
        <v>590</v>
      </c>
      <c r="C377" t="s">
        <v>559</v>
      </c>
      <c r="D377" t="s">
        <v>116</v>
      </c>
      <c r="E377" t="s">
        <v>137</v>
      </c>
      <c r="F377" t="s">
        <v>68</v>
      </c>
      <c r="G377">
        <v>42</v>
      </c>
      <c r="H377">
        <v>33.89</v>
      </c>
      <c r="I377">
        <v>1423.38</v>
      </c>
      <c r="J377">
        <v>85.4</v>
      </c>
      <c r="K377">
        <v>161.97999999999999</v>
      </c>
      <c r="L377" t="s">
        <v>48</v>
      </c>
      <c r="M377" t="s">
        <v>25</v>
      </c>
      <c r="N377" t="s">
        <v>76</v>
      </c>
      <c r="O377">
        <f>SUMIFS(I377:I876,F377:F876,Table8[[#This Row],[Category]],N377:N876,Table8[[#This Row],[Region_Code]])</f>
        <v>18278.27</v>
      </c>
      <c r="P377" s="13">
        <f>SUMIFS(K377:K876,F377:F876,Table8[[#This Row],[Category]],N377:N876,Table8[[#This Row],[Region_Code]])</f>
        <v>5387.1900000000014</v>
      </c>
      <c r="Q377">
        <f>AVERAGEIFS(I377:I876,F377:F876,Table8[[#This Row],[Category]],N377:N876,Table8[[#This Row],[Region_Code]])</f>
        <v>1015.4594444444444</v>
      </c>
      <c r="R377">
        <f>AVERAGEIFS(K377:K876,F377:F876,Table8[[#This Row],[Category]],N377:N876,Table8[[#This Row],[Region_Code]])</f>
        <v>299.28833333333341</v>
      </c>
    </row>
    <row r="378" spans="1:18" x14ac:dyDescent="0.3">
      <c r="A378" t="s">
        <v>820</v>
      </c>
      <c r="B378" t="s">
        <v>821</v>
      </c>
      <c r="C378" t="s">
        <v>66</v>
      </c>
      <c r="D378" t="s">
        <v>116</v>
      </c>
      <c r="E378" t="s">
        <v>32</v>
      </c>
      <c r="F378" t="s">
        <v>23</v>
      </c>
      <c r="G378">
        <v>13</v>
      </c>
      <c r="H378">
        <v>21.75</v>
      </c>
      <c r="I378">
        <v>282.75</v>
      </c>
      <c r="J378">
        <v>12.5</v>
      </c>
      <c r="K378">
        <v>36.25</v>
      </c>
      <c r="L378" t="s">
        <v>48</v>
      </c>
      <c r="M378" t="s">
        <v>34</v>
      </c>
      <c r="N378" t="s">
        <v>76</v>
      </c>
      <c r="O378">
        <f>SUMIFS(I378:I877,F378:F877,Table8[[#This Row],[Category]],N378:N877,Table8[[#This Row],[Region_Code]])</f>
        <v>4294.3</v>
      </c>
      <c r="P378" s="13">
        <f>SUMIFS(K378:K877,F378:F877,Table8[[#This Row],[Category]],N378:N877,Table8[[#This Row],[Region_Code]])</f>
        <v>1130.18</v>
      </c>
      <c r="Q378">
        <f>AVERAGEIFS(I378:I877,F378:F877,Table8[[#This Row],[Category]],N378:N877,Table8[[#This Row],[Region_Code]])</f>
        <v>477.14444444444445</v>
      </c>
      <c r="R378">
        <f>AVERAGEIFS(K378:K877,F378:F877,Table8[[#This Row],[Category]],N378:N877,Table8[[#This Row],[Region_Code]])</f>
        <v>125.57555555555557</v>
      </c>
    </row>
    <row r="379" spans="1:18" x14ac:dyDescent="0.3">
      <c r="A379" t="s">
        <v>822</v>
      </c>
      <c r="B379" t="s">
        <v>823</v>
      </c>
      <c r="C379" t="s">
        <v>162</v>
      </c>
      <c r="D379" t="s">
        <v>127</v>
      </c>
      <c r="E379" t="s">
        <v>67</v>
      </c>
      <c r="F379" t="s">
        <v>68</v>
      </c>
      <c r="G379">
        <v>25</v>
      </c>
      <c r="H379">
        <v>37.58</v>
      </c>
      <c r="I379">
        <v>939.5</v>
      </c>
      <c r="J379">
        <v>48.44</v>
      </c>
      <c r="K379">
        <v>328.56</v>
      </c>
      <c r="L379" t="s">
        <v>48</v>
      </c>
      <c r="M379" t="s">
        <v>41</v>
      </c>
      <c r="N379" t="s">
        <v>76</v>
      </c>
      <c r="O379">
        <f>SUMIFS(I379:I878,F379:F878,Table8[[#This Row],[Category]],N379:N878,Table8[[#This Row],[Region_Code]])</f>
        <v>16854.89</v>
      </c>
      <c r="P379" s="13">
        <f>SUMIFS(K379:K878,F379:F878,Table8[[#This Row],[Category]],N379:N878,Table8[[#This Row],[Region_Code]])</f>
        <v>5225.2100000000009</v>
      </c>
      <c r="Q379">
        <f>AVERAGEIFS(I379:I878,F379:F878,Table8[[#This Row],[Category]],N379:N878,Table8[[#This Row],[Region_Code]])</f>
        <v>991.46411764705874</v>
      </c>
      <c r="R379">
        <f>AVERAGEIFS(K379:K878,F379:F878,Table8[[#This Row],[Category]],N379:N878,Table8[[#This Row],[Region_Code]])</f>
        <v>307.36529411764712</v>
      </c>
    </row>
    <row r="380" spans="1:18" x14ac:dyDescent="0.3">
      <c r="A380" t="s">
        <v>824</v>
      </c>
      <c r="B380" t="s">
        <v>825</v>
      </c>
      <c r="C380" t="s">
        <v>480</v>
      </c>
      <c r="D380" t="s">
        <v>241</v>
      </c>
      <c r="E380" t="s">
        <v>63</v>
      </c>
      <c r="F380" t="s">
        <v>47</v>
      </c>
      <c r="G380">
        <v>16</v>
      </c>
      <c r="H380">
        <v>25.25</v>
      </c>
      <c r="I380">
        <v>404</v>
      </c>
      <c r="J380">
        <v>18.75</v>
      </c>
      <c r="K380">
        <v>65.25</v>
      </c>
      <c r="L380" t="s">
        <v>33</v>
      </c>
      <c r="M380" t="s">
        <v>41</v>
      </c>
      <c r="N380" t="s">
        <v>35</v>
      </c>
      <c r="O380">
        <f>SUMIFS(I380:I879,F380:F879,Table8[[#This Row],[Category]],N380:N879,Table8[[#This Row],[Region_Code]])</f>
        <v>7769.8599999999988</v>
      </c>
      <c r="P380" s="13">
        <f>SUMIFS(K380:K879,F380:F879,Table8[[#This Row],[Category]],N380:N879,Table8[[#This Row],[Region_Code]])</f>
        <v>2589.2700000000004</v>
      </c>
      <c r="Q380">
        <f>AVERAGEIFS(I380:I879,F380:F879,Table8[[#This Row],[Category]],N380:N879,Table8[[#This Row],[Region_Code]])</f>
        <v>706.350909090909</v>
      </c>
      <c r="R380">
        <f>AVERAGEIFS(K380:K879,F380:F879,Table8[[#This Row],[Category]],N380:N879,Table8[[#This Row],[Region_Code]])</f>
        <v>235.38818181818186</v>
      </c>
    </row>
    <row r="381" spans="1:18" x14ac:dyDescent="0.3">
      <c r="A381" t="s">
        <v>826</v>
      </c>
      <c r="B381" t="s">
        <v>131</v>
      </c>
      <c r="C381" t="s">
        <v>381</v>
      </c>
      <c r="D381" t="s">
        <v>127</v>
      </c>
      <c r="E381" t="s">
        <v>81</v>
      </c>
      <c r="F381" t="s">
        <v>68</v>
      </c>
      <c r="G381">
        <v>37</v>
      </c>
      <c r="H381">
        <v>25.85</v>
      </c>
      <c r="I381">
        <v>956.45</v>
      </c>
      <c r="J381">
        <v>31.7</v>
      </c>
      <c r="K381">
        <v>351.25</v>
      </c>
      <c r="L381" t="s">
        <v>48</v>
      </c>
      <c r="M381" t="s">
        <v>41</v>
      </c>
      <c r="N381" t="s">
        <v>76</v>
      </c>
      <c r="O381">
        <f>SUMIFS(I381:I880,F381:F880,Table8[[#This Row],[Category]],N381:N880,Table8[[#This Row],[Region_Code]])</f>
        <v>15915.39</v>
      </c>
      <c r="P381" s="13">
        <f>SUMIFS(K381:K880,F381:F880,Table8[[#This Row],[Category]],N381:N880,Table8[[#This Row],[Region_Code]])</f>
        <v>4896.6500000000015</v>
      </c>
      <c r="Q381">
        <f>AVERAGEIFS(I381:I880,F381:F880,Table8[[#This Row],[Category]],N381:N880,Table8[[#This Row],[Region_Code]])</f>
        <v>994.71187499999996</v>
      </c>
      <c r="R381">
        <f>AVERAGEIFS(K381:K880,F381:F880,Table8[[#This Row],[Category]],N381:N880,Table8[[#This Row],[Region_Code]])</f>
        <v>306.04062500000009</v>
      </c>
    </row>
    <row r="382" spans="1:18" x14ac:dyDescent="0.3">
      <c r="A382" t="s">
        <v>827</v>
      </c>
      <c r="B382" t="s">
        <v>421</v>
      </c>
      <c r="C382" t="s">
        <v>73</v>
      </c>
      <c r="D382" t="s">
        <v>116</v>
      </c>
      <c r="E382" t="s">
        <v>63</v>
      </c>
      <c r="F382" t="s">
        <v>47</v>
      </c>
      <c r="G382">
        <v>1</v>
      </c>
      <c r="H382">
        <v>25.72</v>
      </c>
      <c r="I382">
        <v>25.72</v>
      </c>
      <c r="J382">
        <v>2.04</v>
      </c>
      <c r="K382">
        <v>3.68</v>
      </c>
      <c r="L382" t="s">
        <v>48</v>
      </c>
      <c r="M382" t="s">
        <v>41</v>
      </c>
      <c r="N382" t="s">
        <v>76</v>
      </c>
      <c r="O382">
        <f>SUMIFS(I382:I881,F382:F881,Table8[[#This Row],[Category]],N382:N881,Table8[[#This Row],[Region_Code]])</f>
        <v>3770.3200000000006</v>
      </c>
      <c r="P382" s="13">
        <f>SUMIFS(K382:K881,F382:F881,Table8[[#This Row],[Category]],N382:N881,Table8[[#This Row],[Region_Code]])</f>
        <v>1282.5300000000002</v>
      </c>
      <c r="Q382">
        <f>AVERAGEIFS(I382:I881,F382:F881,Table8[[#This Row],[Category]],N382:N881,Table8[[#This Row],[Region_Code]])</f>
        <v>538.61714285714299</v>
      </c>
      <c r="R382">
        <f>AVERAGEIFS(K382:K881,F382:F881,Table8[[#This Row],[Category]],N382:N881,Table8[[#This Row],[Region_Code]])</f>
        <v>183.21857142857147</v>
      </c>
    </row>
    <row r="383" spans="1:18" x14ac:dyDescent="0.3">
      <c r="A383" t="s">
        <v>828</v>
      </c>
      <c r="B383" t="s">
        <v>229</v>
      </c>
      <c r="C383" t="s">
        <v>539</v>
      </c>
      <c r="D383" t="s">
        <v>116</v>
      </c>
      <c r="E383" t="s">
        <v>137</v>
      </c>
      <c r="F383" t="s">
        <v>68</v>
      </c>
      <c r="G383">
        <v>48</v>
      </c>
      <c r="H383">
        <v>47.05</v>
      </c>
      <c r="I383">
        <v>2258.4</v>
      </c>
      <c r="J383">
        <v>179.44</v>
      </c>
      <c r="K383">
        <v>734.96</v>
      </c>
      <c r="L383" t="s">
        <v>33</v>
      </c>
      <c r="M383" t="s">
        <v>34</v>
      </c>
      <c r="N383" t="s">
        <v>76</v>
      </c>
      <c r="O383">
        <f>SUMIFS(I383:I882,F383:F882,Table8[[#This Row],[Category]],N383:N882,Table8[[#This Row],[Region_Code]])</f>
        <v>14958.94</v>
      </c>
      <c r="P383" s="13">
        <f>SUMIFS(K383:K882,F383:F882,Table8[[#This Row],[Category]],N383:N882,Table8[[#This Row],[Region_Code]])</f>
        <v>4545.4000000000015</v>
      </c>
      <c r="Q383">
        <f>AVERAGEIFS(I383:I882,F383:F882,Table8[[#This Row],[Category]],N383:N882,Table8[[#This Row],[Region_Code]])</f>
        <v>997.26266666666675</v>
      </c>
      <c r="R383">
        <f>AVERAGEIFS(K383:K882,F383:F882,Table8[[#This Row],[Category]],N383:N882,Table8[[#This Row],[Region_Code]])</f>
        <v>303.02666666666676</v>
      </c>
    </row>
    <row r="384" spans="1:18" x14ac:dyDescent="0.3">
      <c r="A384" t="s">
        <v>829</v>
      </c>
      <c r="B384" t="s">
        <v>830</v>
      </c>
      <c r="C384" t="s">
        <v>197</v>
      </c>
      <c r="D384" t="s">
        <v>45</v>
      </c>
      <c r="E384" t="s">
        <v>63</v>
      </c>
      <c r="F384" t="s">
        <v>47</v>
      </c>
      <c r="G384">
        <v>48</v>
      </c>
      <c r="H384">
        <v>29.94</v>
      </c>
      <c r="I384">
        <v>1437.12</v>
      </c>
      <c r="J384">
        <v>30.14</v>
      </c>
      <c r="K384">
        <v>446.98</v>
      </c>
      <c r="L384" t="s">
        <v>33</v>
      </c>
      <c r="M384" t="s">
        <v>34</v>
      </c>
      <c r="N384" t="s">
        <v>49</v>
      </c>
      <c r="O384">
        <f>SUMIFS(I384:I883,F384:F883,Table8[[#This Row],[Category]],N384:N883,Table8[[#This Row],[Region_Code]])</f>
        <v>4916.28</v>
      </c>
      <c r="P384" s="13">
        <f>SUMIFS(K384:K883,F384:F883,Table8[[#This Row],[Category]],N384:N883,Table8[[#This Row],[Region_Code]])</f>
        <v>1443.09</v>
      </c>
      <c r="Q384">
        <f>AVERAGEIFS(I384:I883,F384:F883,Table8[[#This Row],[Category]],N384:N883,Table8[[#This Row],[Region_Code]])</f>
        <v>702.3257142857143</v>
      </c>
      <c r="R384">
        <f>AVERAGEIFS(K384:K883,F384:F883,Table8[[#This Row],[Category]],N384:N883,Table8[[#This Row],[Region_Code]])</f>
        <v>206.15571428571428</v>
      </c>
    </row>
    <row r="385" spans="1:18" x14ac:dyDescent="0.3">
      <c r="A385" t="s">
        <v>831</v>
      </c>
      <c r="B385" t="s">
        <v>832</v>
      </c>
      <c r="C385" t="s">
        <v>586</v>
      </c>
      <c r="D385" t="s">
        <v>37</v>
      </c>
      <c r="E385" t="s">
        <v>67</v>
      </c>
      <c r="F385" t="s">
        <v>68</v>
      </c>
      <c r="G385">
        <v>12</v>
      </c>
      <c r="H385">
        <v>35.68</v>
      </c>
      <c r="I385">
        <v>428.16</v>
      </c>
      <c r="J385">
        <v>13.07</v>
      </c>
      <c r="K385">
        <v>145.09</v>
      </c>
      <c r="L385" t="s">
        <v>33</v>
      </c>
      <c r="M385" t="s">
        <v>41</v>
      </c>
      <c r="N385" t="s">
        <v>35</v>
      </c>
      <c r="O385">
        <f>SUMIFS(I385:I884,F385:F884,Table8[[#This Row],[Category]],N385:N884,Table8[[#This Row],[Region_Code]])</f>
        <v>10702.630000000001</v>
      </c>
      <c r="P385" s="13">
        <f>SUMIFS(K385:K884,F385:F884,Table8[[#This Row],[Category]],N385:N884,Table8[[#This Row],[Region_Code]])</f>
        <v>2952.3100000000004</v>
      </c>
      <c r="Q385">
        <f>AVERAGEIFS(I385:I884,F385:F884,Table8[[#This Row],[Category]],N385:N884,Table8[[#This Row],[Region_Code]])</f>
        <v>972.96636363636378</v>
      </c>
      <c r="R385">
        <f>AVERAGEIFS(K385:K884,F385:F884,Table8[[#This Row],[Category]],N385:N884,Table8[[#This Row],[Region_Code]])</f>
        <v>268.39181818181822</v>
      </c>
    </row>
    <row r="386" spans="1:18" x14ac:dyDescent="0.3">
      <c r="A386" t="s">
        <v>833</v>
      </c>
      <c r="B386" t="s">
        <v>706</v>
      </c>
      <c r="C386" t="s">
        <v>455</v>
      </c>
      <c r="D386" t="s">
        <v>21</v>
      </c>
      <c r="E386" t="s">
        <v>46</v>
      </c>
      <c r="F386" t="s">
        <v>47</v>
      </c>
      <c r="G386">
        <v>30</v>
      </c>
      <c r="H386">
        <v>49.32</v>
      </c>
      <c r="I386">
        <v>1479.6</v>
      </c>
      <c r="J386">
        <v>105.97</v>
      </c>
      <c r="K386">
        <v>413.63</v>
      </c>
      <c r="L386" t="s">
        <v>33</v>
      </c>
      <c r="M386" t="s">
        <v>34</v>
      </c>
      <c r="N386" t="s">
        <v>98</v>
      </c>
      <c r="O386">
        <f>SUMIFS(I386:I885,F386:F885,Table8[[#This Row],[Category]],N386:N885,Table8[[#This Row],[Region_Code]])</f>
        <v>8353.2999999999993</v>
      </c>
      <c r="P386" s="13">
        <f>SUMIFS(K386:K885,F386:F885,Table8[[#This Row],[Category]],N386:N885,Table8[[#This Row],[Region_Code]])</f>
        <v>1911.7299999999998</v>
      </c>
      <c r="Q386">
        <f>AVERAGEIFS(I386:I885,F386:F885,Table8[[#This Row],[Category]],N386:N885,Table8[[#This Row],[Region_Code]])</f>
        <v>928.14444444444439</v>
      </c>
      <c r="R386">
        <f>AVERAGEIFS(K386:K885,F386:F885,Table8[[#This Row],[Category]],N386:N885,Table8[[#This Row],[Region_Code]])</f>
        <v>212.41444444444443</v>
      </c>
    </row>
    <row r="387" spans="1:18" x14ac:dyDescent="0.3">
      <c r="A387" t="s">
        <v>834</v>
      </c>
      <c r="B387" t="s">
        <v>623</v>
      </c>
      <c r="C387" t="s">
        <v>475</v>
      </c>
      <c r="D387" t="s">
        <v>171</v>
      </c>
      <c r="E387" t="s">
        <v>137</v>
      </c>
      <c r="F387" t="s">
        <v>68</v>
      </c>
      <c r="G387">
        <v>27</v>
      </c>
      <c r="H387">
        <v>37.68</v>
      </c>
      <c r="I387">
        <v>1017.36</v>
      </c>
      <c r="J387">
        <v>80.739999999999995</v>
      </c>
      <c r="K387">
        <v>180.62</v>
      </c>
      <c r="L387" t="s">
        <v>48</v>
      </c>
      <c r="M387" t="s">
        <v>25</v>
      </c>
      <c r="N387" t="s">
        <v>35</v>
      </c>
      <c r="O387">
        <f>SUMIFS(I387:I886,F387:F886,Table8[[#This Row],[Category]],N387:N886,Table8[[#This Row],[Region_Code]])</f>
        <v>10274.470000000001</v>
      </c>
      <c r="P387" s="13">
        <f>SUMIFS(K387:K886,F387:F886,Table8[[#This Row],[Category]],N387:N886,Table8[[#This Row],[Region_Code]])</f>
        <v>2807.2200000000003</v>
      </c>
      <c r="Q387">
        <f>AVERAGEIFS(I387:I886,F387:F886,Table8[[#This Row],[Category]],N387:N886,Table8[[#This Row],[Region_Code]])</f>
        <v>1027.4470000000001</v>
      </c>
      <c r="R387">
        <f>AVERAGEIFS(K387:K886,F387:F886,Table8[[#This Row],[Category]],N387:N886,Table8[[#This Row],[Region_Code]])</f>
        <v>280.72200000000004</v>
      </c>
    </row>
    <row r="388" spans="1:18" x14ac:dyDescent="0.3">
      <c r="A388" t="s">
        <v>835</v>
      </c>
      <c r="B388" t="s">
        <v>836</v>
      </c>
      <c r="C388" t="s">
        <v>277</v>
      </c>
      <c r="D388" t="s">
        <v>37</v>
      </c>
      <c r="E388" t="s">
        <v>74</v>
      </c>
      <c r="F388" t="s">
        <v>75</v>
      </c>
      <c r="G388">
        <v>39</v>
      </c>
      <c r="H388">
        <v>36.340000000000003</v>
      </c>
      <c r="I388">
        <v>1417.26</v>
      </c>
      <c r="J388">
        <v>67</v>
      </c>
      <c r="K388">
        <v>375.26</v>
      </c>
      <c r="L388" t="s">
        <v>48</v>
      </c>
      <c r="M388" t="s">
        <v>34</v>
      </c>
      <c r="N388" t="s">
        <v>35</v>
      </c>
      <c r="O388">
        <f>SUMIFS(I388:I887,F388:F887,Table8[[#This Row],[Category]],N388:N887,Table8[[#This Row],[Region_Code]])</f>
        <v>4194.26</v>
      </c>
      <c r="P388" s="13">
        <f>SUMIFS(K388:K887,F388:F887,Table8[[#This Row],[Category]],N388:N887,Table8[[#This Row],[Region_Code]])</f>
        <v>918.28</v>
      </c>
      <c r="Q388">
        <f>AVERAGEIFS(I388:I887,F388:F887,Table8[[#This Row],[Category]],N388:N887,Table8[[#This Row],[Region_Code]])</f>
        <v>838.85200000000009</v>
      </c>
      <c r="R388">
        <f>AVERAGEIFS(K388:K887,F388:F887,Table8[[#This Row],[Category]],N388:N887,Table8[[#This Row],[Region_Code]])</f>
        <v>183.65600000000001</v>
      </c>
    </row>
    <row r="389" spans="1:18" x14ac:dyDescent="0.3">
      <c r="A389" t="s">
        <v>837</v>
      </c>
      <c r="B389" t="s">
        <v>838</v>
      </c>
      <c r="C389" t="s">
        <v>73</v>
      </c>
      <c r="D389" t="s">
        <v>51</v>
      </c>
      <c r="E389" t="s">
        <v>81</v>
      </c>
      <c r="F389" t="s">
        <v>68</v>
      </c>
      <c r="G389">
        <v>16</v>
      </c>
      <c r="H389">
        <v>24.33</v>
      </c>
      <c r="I389">
        <v>389.28</v>
      </c>
      <c r="J389">
        <v>22.33</v>
      </c>
      <c r="K389">
        <v>118.95</v>
      </c>
      <c r="L389" t="s">
        <v>24</v>
      </c>
      <c r="M389" t="s">
        <v>41</v>
      </c>
      <c r="N389" t="s">
        <v>76</v>
      </c>
      <c r="O389">
        <f>SUMIFS(I389:I888,F389:F888,Table8[[#This Row],[Category]],N389:N888,Table8[[#This Row],[Region_Code]])</f>
        <v>12700.539999999999</v>
      </c>
      <c r="P389" s="13">
        <f>SUMIFS(K389:K888,F389:F888,Table8[[#This Row],[Category]],N389:N888,Table8[[#This Row],[Region_Code]])</f>
        <v>3810.4400000000005</v>
      </c>
      <c r="Q389">
        <f>AVERAGEIFS(I389:I888,F389:F888,Table8[[#This Row],[Category]],N389:N888,Table8[[#This Row],[Region_Code]])</f>
        <v>907.18142857142846</v>
      </c>
      <c r="R389">
        <f>AVERAGEIFS(K389:K888,F389:F888,Table8[[#This Row],[Category]],N389:N888,Table8[[#This Row],[Region_Code]])</f>
        <v>272.17428571428576</v>
      </c>
    </row>
    <row r="390" spans="1:18" x14ac:dyDescent="0.3">
      <c r="A390" t="s">
        <v>839</v>
      </c>
      <c r="B390" t="s">
        <v>547</v>
      </c>
      <c r="C390" t="s">
        <v>475</v>
      </c>
      <c r="D390" t="s">
        <v>123</v>
      </c>
      <c r="E390" t="s">
        <v>81</v>
      </c>
      <c r="F390" t="s">
        <v>68</v>
      </c>
      <c r="G390">
        <v>40</v>
      </c>
      <c r="H390">
        <v>22.28</v>
      </c>
      <c r="I390">
        <v>891.2</v>
      </c>
      <c r="J390">
        <v>32.729999999999997</v>
      </c>
      <c r="K390">
        <v>238.47</v>
      </c>
      <c r="L390" t="s">
        <v>24</v>
      </c>
      <c r="M390" t="s">
        <v>34</v>
      </c>
      <c r="N390" t="s">
        <v>76</v>
      </c>
      <c r="O390">
        <f>SUMIFS(I390:I889,F390:F889,Table8[[#This Row],[Category]],N390:N889,Table8[[#This Row],[Region_Code]])</f>
        <v>12311.26</v>
      </c>
      <c r="P390" s="13">
        <f>SUMIFS(K390:K889,F390:F889,Table8[[#This Row],[Category]],N390:N889,Table8[[#This Row],[Region_Code]])</f>
        <v>3691.4900000000002</v>
      </c>
      <c r="Q390">
        <f>AVERAGEIFS(I390:I889,F390:F889,Table8[[#This Row],[Category]],N390:N889,Table8[[#This Row],[Region_Code]])</f>
        <v>947.02</v>
      </c>
      <c r="R390">
        <f>AVERAGEIFS(K390:K889,F390:F889,Table8[[#This Row],[Category]],N390:N889,Table8[[#This Row],[Region_Code]])</f>
        <v>283.96076923076924</v>
      </c>
    </row>
    <row r="391" spans="1:18" x14ac:dyDescent="0.3">
      <c r="A391" t="s">
        <v>840</v>
      </c>
      <c r="B391" t="s">
        <v>129</v>
      </c>
      <c r="C391" t="s">
        <v>170</v>
      </c>
      <c r="D391" t="s">
        <v>127</v>
      </c>
      <c r="E391" t="s">
        <v>86</v>
      </c>
      <c r="F391" t="s">
        <v>47</v>
      </c>
      <c r="G391">
        <v>45</v>
      </c>
      <c r="H391">
        <v>21.71</v>
      </c>
      <c r="I391">
        <v>976.95</v>
      </c>
      <c r="J391">
        <v>51.6</v>
      </c>
      <c r="K391">
        <v>351.6</v>
      </c>
      <c r="L391" t="s">
        <v>24</v>
      </c>
      <c r="M391" t="s">
        <v>25</v>
      </c>
      <c r="N391" t="s">
        <v>76</v>
      </c>
      <c r="O391">
        <f>SUMIFS(I391:I890,F391:F890,Table8[[#This Row],[Category]],N391:N890,Table8[[#This Row],[Region_Code]])</f>
        <v>3744.6000000000004</v>
      </c>
      <c r="P391" s="13">
        <f>SUMIFS(K391:K890,F391:F890,Table8[[#This Row],[Category]],N391:N890,Table8[[#This Row],[Region_Code]])</f>
        <v>1278.8500000000001</v>
      </c>
      <c r="Q391">
        <f>AVERAGEIFS(I391:I890,F391:F890,Table8[[#This Row],[Category]],N391:N890,Table8[[#This Row],[Region_Code]])</f>
        <v>624.1</v>
      </c>
      <c r="R391">
        <f>AVERAGEIFS(K391:K890,F391:F890,Table8[[#This Row],[Category]],N391:N890,Table8[[#This Row],[Region_Code]])</f>
        <v>213.14166666666668</v>
      </c>
    </row>
    <row r="392" spans="1:18" x14ac:dyDescent="0.3">
      <c r="A392" t="s">
        <v>841</v>
      </c>
      <c r="B392" t="s">
        <v>477</v>
      </c>
      <c r="C392" t="s">
        <v>288</v>
      </c>
      <c r="D392" t="s">
        <v>241</v>
      </c>
      <c r="E392" t="s">
        <v>74</v>
      </c>
      <c r="F392" t="s">
        <v>75</v>
      </c>
      <c r="G392">
        <v>8</v>
      </c>
      <c r="H392">
        <v>31.07</v>
      </c>
      <c r="I392">
        <v>248.56</v>
      </c>
      <c r="J392">
        <v>10.97</v>
      </c>
      <c r="K392">
        <v>37.590000000000003</v>
      </c>
      <c r="L392" t="s">
        <v>24</v>
      </c>
      <c r="M392" t="s">
        <v>34</v>
      </c>
      <c r="N392" t="s">
        <v>35</v>
      </c>
      <c r="O392">
        <f>SUMIFS(I392:I891,F392:F891,Table8[[#This Row],[Category]],N392:N891,Table8[[#This Row],[Region_Code]])</f>
        <v>2777</v>
      </c>
      <c r="P392" s="13">
        <f>SUMIFS(K392:K891,F392:F891,Table8[[#This Row],[Category]],N392:N891,Table8[[#This Row],[Region_Code]])</f>
        <v>543.02</v>
      </c>
      <c r="Q392">
        <f>AVERAGEIFS(I392:I891,F392:F891,Table8[[#This Row],[Category]],N392:N891,Table8[[#This Row],[Region_Code]])</f>
        <v>694.25</v>
      </c>
      <c r="R392">
        <f>AVERAGEIFS(K392:K891,F392:F891,Table8[[#This Row],[Category]],N392:N891,Table8[[#This Row],[Region_Code]])</f>
        <v>135.755</v>
      </c>
    </row>
    <row r="393" spans="1:18" x14ac:dyDescent="0.3">
      <c r="A393" t="s">
        <v>842</v>
      </c>
      <c r="B393" t="s">
        <v>843</v>
      </c>
      <c r="C393" t="s">
        <v>369</v>
      </c>
      <c r="D393" t="s">
        <v>171</v>
      </c>
      <c r="E393" t="s">
        <v>86</v>
      </c>
      <c r="F393" t="s">
        <v>47</v>
      </c>
      <c r="G393">
        <v>47</v>
      </c>
      <c r="H393">
        <v>21.93</v>
      </c>
      <c r="I393">
        <v>1030.71</v>
      </c>
      <c r="J393">
        <v>70.989999999999995</v>
      </c>
      <c r="K393">
        <v>360.47</v>
      </c>
      <c r="L393" t="s">
        <v>48</v>
      </c>
      <c r="M393" t="s">
        <v>25</v>
      </c>
      <c r="N393" t="s">
        <v>35</v>
      </c>
      <c r="O393">
        <f>SUMIFS(I393:I892,F393:F892,Table8[[#This Row],[Category]],N393:N892,Table8[[#This Row],[Region_Code]])</f>
        <v>7365.8599999999988</v>
      </c>
      <c r="P393" s="13">
        <f>SUMIFS(K393:K892,F393:F892,Table8[[#This Row],[Category]],N393:N892,Table8[[#This Row],[Region_Code]])</f>
        <v>2524.0200000000004</v>
      </c>
      <c r="Q393">
        <f>AVERAGEIFS(I393:I892,F393:F892,Table8[[#This Row],[Category]],N393:N892,Table8[[#This Row],[Region_Code]])</f>
        <v>736.5859999999999</v>
      </c>
      <c r="R393">
        <f>AVERAGEIFS(K393:K892,F393:F892,Table8[[#This Row],[Category]],N393:N892,Table8[[#This Row],[Region_Code]])</f>
        <v>252.40200000000004</v>
      </c>
    </row>
    <row r="394" spans="1:18" x14ac:dyDescent="0.3">
      <c r="A394" t="s">
        <v>844</v>
      </c>
      <c r="B394" t="s">
        <v>845</v>
      </c>
      <c r="C394" t="s">
        <v>165</v>
      </c>
      <c r="D394" t="s">
        <v>171</v>
      </c>
      <c r="E394" t="s">
        <v>86</v>
      </c>
      <c r="F394" t="s">
        <v>47</v>
      </c>
      <c r="G394">
        <v>46</v>
      </c>
      <c r="H394">
        <v>21.46</v>
      </c>
      <c r="I394">
        <v>987.16</v>
      </c>
      <c r="J394">
        <v>21.64</v>
      </c>
      <c r="K394">
        <v>379.02</v>
      </c>
      <c r="L394" t="s">
        <v>33</v>
      </c>
      <c r="M394" t="s">
        <v>25</v>
      </c>
      <c r="N394" t="s">
        <v>35</v>
      </c>
      <c r="O394">
        <f>SUMIFS(I394:I893,F394:F893,Table8[[#This Row],[Category]],N394:N893,Table8[[#This Row],[Region_Code]])</f>
        <v>6335.15</v>
      </c>
      <c r="P394" s="13">
        <f>SUMIFS(K394:K893,F394:F893,Table8[[#This Row],[Category]],N394:N893,Table8[[#This Row],[Region_Code]])</f>
        <v>2163.5500000000002</v>
      </c>
      <c r="Q394">
        <f>AVERAGEIFS(I394:I893,F394:F893,Table8[[#This Row],[Category]],N394:N893,Table8[[#This Row],[Region_Code]])</f>
        <v>703.90555555555557</v>
      </c>
      <c r="R394">
        <f>AVERAGEIFS(K394:K893,F394:F893,Table8[[#This Row],[Category]],N394:N893,Table8[[#This Row],[Region_Code]])</f>
        <v>240.39444444444447</v>
      </c>
    </row>
    <row r="395" spans="1:18" x14ac:dyDescent="0.3">
      <c r="A395" t="s">
        <v>846</v>
      </c>
      <c r="B395" t="s">
        <v>847</v>
      </c>
      <c r="C395" t="s">
        <v>126</v>
      </c>
      <c r="D395" t="s">
        <v>21</v>
      </c>
      <c r="E395" t="s">
        <v>137</v>
      </c>
      <c r="F395" t="s">
        <v>68</v>
      </c>
      <c r="G395">
        <v>45</v>
      </c>
      <c r="H395">
        <v>47.1</v>
      </c>
      <c r="I395">
        <v>2119.5</v>
      </c>
      <c r="J395">
        <v>120.16</v>
      </c>
      <c r="K395">
        <v>739.34</v>
      </c>
      <c r="L395" t="s">
        <v>33</v>
      </c>
      <c r="M395" t="s">
        <v>34</v>
      </c>
      <c r="N395" t="s">
        <v>98</v>
      </c>
      <c r="O395">
        <f>SUMIFS(I395:I894,F395:F894,Table8[[#This Row],[Category]],N395:N894,Table8[[#This Row],[Region_Code]])</f>
        <v>9760.5600000000013</v>
      </c>
      <c r="P395" s="13">
        <f>SUMIFS(K395:K894,F395:F894,Table8[[#This Row],[Category]],N395:N894,Table8[[#This Row],[Region_Code]])</f>
        <v>3069.83</v>
      </c>
      <c r="Q395">
        <f>AVERAGEIFS(I395:I894,F395:F894,Table8[[#This Row],[Category]],N395:N894,Table8[[#This Row],[Region_Code]])</f>
        <v>1220.0700000000002</v>
      </c>
      <c r="R395">
        <f>AVERAGEIFS(K395:K894,F395:F894,Table8[[#This Row],[Category]],N395:N894,Table8[[#This Row],[Region_Code]])</f>
        <v>383.72874999999999</v>
      </c>
    </row>
    <row r="396" spans="1:18" x14ac:dyDescent="0.3">
      <c r="A396" t="s">
        <v>848</v>
      </c>
      <c r="B396" t="s">
        <v>319</v>
      </c>
      <c r="C396" t="s">
        <v>20</v>
      </c>
      <c r="D396" t="s">
        <v>70</v>
      </c>
      <c r="E396" t="s">
        <v>22</v>
      </c>
      <c r="F396" t="s">
        <v>23</v>
      </c>
      <c r="G396">
        <v>2</v>
      </c>
      <c r="H396">
        <v>58.32</v>
      </c>
      <c r="I396">
        <v>116.64</v>
      </c>
      <c r="J396">
        <v>8.99</v>
      </c>
      <c r="K396">
        <v>37.65</v>
      </c>
      <c r="L396" t="s">
        <v>24</v>
      </c>
      <c r="M396" t="s">
        <v>34</v>
      </c>
      <c r="N396" t="s">
        <v>76</v>
      </c>
      <c r="O396">
        <f>SUMIFS(I396:I895,F396:F895,Table8[[#This Row],[Category]],N396:N895,Table8[[#This Row],[Region_Code]])</f>
        <v>4011.55</v>
      </c>
      <c r="P396" s="13">
        <f>SUMIFS(K396:K895,F396:F895,Table8[[#This Row],[Category]],N396:N895,Table8[[#This Row],[Region_Code]])</f>
        <v>1093.93</v>
      </c>
      <c r="Q396">
        <f>AVERAGEIFS(I396:I895,F396:F895,Table8[[#This Row],[Category]],N396:N895,Table8[[#This Row],[Region_Code]])</f>
        <v>501.44375000000002</v>
      </c>
      <c r="R396">
        <f>AVERAGEIFS(K396:K895,F396:F895,Table8[[#This Row],[Category]],N396:N895,Table8[[#This Row],[Region_Code]])</f>
        <v>136.74125000000001</v>
      </c>
    </row>
    <row r="397" spans="1:18" x14ac:dyDescent="0.3">
      <c r="A397" t="s">
        <v>849</v>
      </c>
      <c r="B397" t="s">
        <v>850</v>
      </c>
      <c r="C397" t="s">
        <v>475</v>
      </c>
      <c r="D397" t="s">
        <v>171</v>
      </c>
      <c r="E397" t="s">
        <v>22</v>
      </c>
      <c r="F397" t="s">
        <v>23</v>
      </c>
      <c r="G397">
        <v>31</v>
      </c>
      <c r="H397">
        <v>61.34</v>
      </c>
      <c r="I397">
        <v>1901.54</v>
      </c>
      <c r="J397">
        <v>147.43</v>
      </c>
      <c r="K397">
        <v>669.11</v>
      </c>
      <c r="L397" t="s">
        <v>33</v>
      </c>
      <c r="M397" t="s">
        <v>25</v>
      </c>
      <c r="N397" t="s">
        <v>35</v>
      </c>
      <c r="O397">
        <f>SUMIFS(I397:I896,F397:F896,Table8[[#This Row],[Category]],N397:N896,Table8[[#This Row],[Region_Code]])</f>
        <v>7134.17</v>
      </c>
      <c r="P397" s="13">
        <f>SUMIFS(K397:K896,F397:F896,Table8[[#This Row],[Category]],N397:N896,Table8[[#This Row],[Region_Code]])</f>
        <v>2093.5500000000002</v>
      </c>
      <c r="Q397">
        <f>AVERAGEIFS(I397:I896,F397:F896,Table8[[#This Row],[Category]],N397:N896,Table8[[#This Row],[Region_Code]])</f>
        <v>1189.0283333333334</v>
      </c>
      <c r="R397">
        <f>AVERAGEIFS(K397:K896,F397:F896,Table8[[#This Row],[Category]],N397:N896,Table8[[#This Row],[Region_Code]])</f>
        <v>348.92500000000001</v>
      </c>
    </row>
    <row r="398" spans="1:18" x14ac:dyDescent="0.3">
      <c r="A398" t="s">
        <v>851</v>
      </c>
      <c r="B398" t="s">
        <v>852</v>
      </c>
      <c r="C398" t="s">
        <v>266</v>
      </c>
      <c r="D398" t="s">
        <v>55</v>
      </c>
      <c r="E398" t="s">
        <v>74</v>
      </c>
      <c r="F398" t="s">
        <v>75</v>
      </c>
      <c r="G398">
        <v>15</v>
      </c>
      <c r="H398">
        <v>43.9</v>
      </c>
      <c r="I398">
        <v>658.5</v>
      </c>
      <c r="J398">
        <v>36.479999999999997</v>
      </c>
      <c r="K398">
        <v>247.02</v>
      </c>
      <c r="L398" t="s">
        <v>48</v>
      </c>
      <c r="M398" t="s">
        <v>34</v>
      </c>
      <c r="N398" t="s">
        <v>98</v>
      </c>
      <c r="O398">
        <f>SUMIFS(I398:I897,F398:F897,Table8[[#This Row],[Category]],N398:N897,Table8[[#This Row],[Region_Code]])</f>
        <v>720.26</v>
      </c>
      <c r="P398" s="13">
        <f>SUMIFS(K398:K897,F398:F897,Table8[[#This Row],[Category]],N398:N897,Table8[[#This Row],[Region_Code]])</f>
        <v>254.36</v>
      </c>
      <c r="Q398">
        <f>AVERAGEIFS(I398:I897,F398:F897,Table8[[#This Row],[Category]],N398:N897,Table8[[#This Row],[Region_Code]])</f>
        <v>360.13</v>
      </c>
      <c r="R398">
        <f>AVERAGEIFS(K398:K897,F398:F897,Table8[[#This Row],[Category]],N398:N897,Table8[[#This Row],[Region_Code]])</f>
        <v>127.18</v>
      </c>
    </row>
    <row r="399" spans="1:18" x14ac:dyDescent="0.3">
      <c r="A399" t="s">
        <v>853</v>
      </c>
      <c r="B399" t="s">
        <v>854</v>
      </c>
      <c r="C399" t="s">
        <v>266</v>
      </c>
      <c r="D399" t="s">
        <v>37</v>
      </c>
      <c r="E399" t="s">
        <v>86</v>
      </c>
      <c r="F399" t="s">
        <v>47</v>
      </c>
      <c r="G399">
        <v>4</v>
      </c>
      <c r="H399">
        <v>20.53</v>
      </c>
      <c r="I399">
        <v>82.12</v>
      </c>
      <c r="J399">
        <v>4.05</v>
      </c>
      <c r="K399">
        <v>27.07</v>
      </c>
      <c r="L399" t="s">
        <v>24</v>
      </c>
      <c r="M399" t="s">
        <v>41</v>
      </c>
      <c r="N399" t="s">
        <v>35</v>
      </c>
      <c r="O399">
        <f>SUMIFS(I399:I898,F399:F898,Table8[[#This Row],[Category]],N399:N898,Table8[[#This Row],[Region_Code]])</f>
        <v>5347.9899999999989</v>
      </c>
      <c r="P399" s="13">
        <f>SUMIFS(K399:K898,F399:F898,Table8[[#This Row],[Category]],N399:N898,Table8[[#This Row],[Region_Code]])</f>
        <v>1784.53</v>
      </c>
      <c r="Q399">
        <f>AVERAGEIFS(I399:I898,F399:F898,Table8[[#This Row],[Category]],N399:N898,Table8[[#This Row],[Region_Code]])</f>
        <v>668.49874999999986</v>
      </c>
      <c r="R399">
        <f>AVERAGEIFS(K399:K898,F399:F898,Table8[[#This Row],[Category]],N399:N898,Table8[[#This Row],[Region_Code]])</f>
        <v>223.06625</v>
      </c>
    </row>
    <row r="400" spans="1:18" x14ac:dyDescent="0.3">
      <c r="A400" t="s">
        <v>855</v>
      </c>
      <c r="B400" t="s">
        <v>433</v>
      </c>
      <c r="C400" t="s">
        <v>238</v>
      </c>
      <c r="D400" t="s">
        <v>206</v>
      </c>
      <c r="E400" t="s">
        <v>63</v>
      </c>
      <c r="F400" t="s">
        <v>47</v>
      </c>
      <c r="G400">
        <v>6</v>
      </c>
      <c r="H400">
        <v>24.7</v>
      </c>
      <c r="I400">
        <v>148.19999999999999</v>
      </c>
      <c r="J400">
        <v>3.76</v>
      </c>
      <c r="K400">
        <v>24.44</v>
      </c>
      <c r="L400" t="s">
        <v>48</v>
      </c>
      <c r="M400" t="s">
        <v>25</v>
      </c>
      <c r="N400" t="s">
        <v>207</v>
      </c>
      <c r="O400">
        <f>SUMIFS(I400:I899,F400:F899,Table8[[#This Row],[Category]],N400:N899,Table8[[#This Row],[Region_Code]])</f>
        <v>148.19999999999999</v>
      </c>
      <c r="P400" s="13">
        <f>SUMIFS(K400:K899,F400:F899,Table8[[#This Row],[Category]],N400:N899,Table8[[#This Row],[Region_Code]])</f>
        <v>24.44</v>
      </c>
      <c r="Q400">
        <f>AVERAGEIFS(I400:I899,F400:F899,Table8[[#This Row],[Category]],N400:N899,Table8[[#This Row],[Region_Code]])</f>
        <v>148.19999999999999</v>
      </c>
      <c r="R400">
        <f>AVERAGEIFS(K400:K899,F400:F899,Table8[[#This Row],[Category]],N400:N899,Table8[[#This Row],[Region_Code]])</f>
        <v>24.44</v>
      </c>
    </row>
    <row r="401" spans="1:18" x14ac:dyDescent="0.3">
      <c r="A401" t="s">
        <v>856</v>
      </c>
      <c r="B401" t="s">
        <v>857</v>
      </c>
      <c r="C401" t="s">
        <v>521</v>
      </c>
      <c r="D401" t="s">
        <v>45</v>
      </c>
      <c r="E401" t="s">
        <v>86</v>
      </c>
      <c r="F401" t="s">
        <v>47</v>
      </c>
      <c r="G401">
        <v>19</v>
      </c>
      <c r="H401">
        <v>19.170000000000002</v>
      </c>
      <c r="I401">
        <v>364.23</v>
      </c>
      <c r="J401">
        <v>15.16</v>
      </c>
      <c r="K401">
        <v>106.82</v>
      </c>
      <c r="L401" t="s">
        <v>33</v>
      </c>
      <c r="M401" t="s">
        <v>34</v>
      </c>
      <c r="N401" t="s">
        <v>49</v>
      </c>
      <c r="O401">
        <f>SUMIFS(I401:I900,F401:F900,Table8[[#This Row],[Category]],N401:N900,Table8[[#This Row],[Region_Code]])</f>
        <v>3479.16</v>
      </c>
      <c r="P401" s="13">
        <f>SUMIFS(K401:K900,F401:F900,Table8[[#This Row],[Category]],N401:N900,Table8[[#This Row],[Region_Code]])</f>
        <v>996.1099999999999</v>
      </c>
      <c r="Q401">
        <f>AVERAGEIFS(I401:I900,F401:F900,Table8[[#This Row],[Category]],N401:N900,Table8[[#This Row],[Region_Code]])</f>
        <v>579.86</v>
      </c>
      <c r="R401">
        <f>AVERAGEIFS(K401:K900,F401:F900,Table8[[#This Row],[Category]],N401:N900,Table8[[#This Row],[Region_Code]])</f>
        <v>166.01833333333332</v>
      </c>
    </row>
    <row r="402" spans="1:18" x14ac:dyDescent="0.3">
      <c r="A402" t="s">
        <v>858</v>
      </c>
      <c r="B402" t="s">
        <v>243</v>
      </c>
      <c r="C402" t="s">
        <v>630</v>
      </c>
      <c r="D402" t="s">
        <v>51</v>
      </c>
      <c r="E402" t="s">
        <v>56</v>
      </c>
      <c r="F402" t="s">
        <v>57</v>
      </c>
      <c r="G402">
        <v>2</v>
      </c>
      <c r="H402">
        <v>55.28</v>
      </c>
      <c r="I402">
        <v>110.56</v>
      </c>
      <c r="J402">
        <v>5.37</v>
      </c>
      <c r="K402">
        <v>25.19</v>
      </c>
      <c r="L402" t="s">
        <v>48</v>
      </c>
      <c r="M402" t="s">
        <v>34</v>
      </c>
      <c r="N402" t="s">
        <v>76</v>
      </c>
      <c r="O402">
        <f>SUMIFS(I402:I901,F402:F901,Table8[[#This Row],[Category]],N402:N901,Table8[[#This Row],[Region_Code]])</f>
        <v>7609.6399999999994</v>
      </c>
      <c r="P402" s="13">
        <f>SUMIFS(K402:K901,F402:F901,Table8[[#This Row],[Category]],N402:N901,Table8[[#This Row],[Region_Code]])</f>
        <v>1797.13</v>
      </c>
      <c r="Q402">
        <f>AVERAGEIFS(I402:I901,F402:F901,Table8[[#This Row],[Category]],N402:N901,Table8[[#This Row],[Region_Code]])</f>
        <v>1268.2733333333333</v>
      </c>
      <c r="R402">
        <f>AVERAGEIFS(K402:K901,F402:F901,Table8[[#This Row],[Category]],N402:N901,Table8[[#This Row],[Region_Code]])</f>
        <v>299.5216666666667</v>
      </c>
    </row>
    <row r="403" spans="1:18" x14ac:dyDescent="0.3">
      <c r="A403" t="s">
        <v>859</v>
      </c>
      <c r="B403" t="s">
        <v>860</v>
      </c>
      <c r="C403" t="s">
        <v>334</v>
      </c>
      <c r="D403" t="s">
        <v>45</v>
      </c>
      <c r="E403" t="s">
        <v>74</v>
      </c>
      <c r="F403" t="s">
        <v>75</v>
      </c>
      <c r="G403">
        <v>49</v>
      </c>
      <c r="H403">
        <v>43.91</v>
      </c>
      <c r="I403">
        <v>2151.59</v>
      </c>
      <c r="J403">
        <v>63.55</v>
      </c>
      <c r="K403">
        <v>863.04</v>
      </c>
      <c r="L403" t="s">
        <v>24</v>
      </c>
      <c r="M403" t="s">
        <v>34</v>
      </c>
      <c r="N403" t="s">
        <v>49</v>
      </c>
      <c r="O403">
        <f>SUMIFS(I403:I902,F403:F902,Table8[[#This Row],[Category]],N403:N902,Table8[[#This Row],[Region_Code]])</f>
        <v>3364.95</v>
      </c>
      <c r="P403" s="13">
        <f>SUMIFS(K403:K902,F403:F902,Table8[[#This Row],[Category]],N403:N902,Table8[[#This Row],[Region_Code]])</f>
        <v>1294.57</v>
      </c>
      <c r="Q403">
        <f>AVERAGEIFS(I403:I902,F403:F902,Table8[[#This Row],[Category]],N403:N902,Table8[[#This Row],[Region_Code]])</f>
        <v>1682.4749999999999</v>
      </c>
      <c r="R403">
        <f>AVERAGEIFS(K403:K902,F403:F902,Table8[[#This Row],[Category]],N403:N902,Table8[[#This Row],[Region_Code]])</f>
        <v>647.28499999999997</v>
      </c>
    </row>
    <row r="404" spans="1:18" x14ac:dyDescent="0.3">
      <c r="A404" t="s">
        <v>861</v>
      </c>
      <c r="B404" t="s">
        <v>862</v>
      </c>
      <c r="C404" t="s">
        <v>307</v>
      </c>
      <c r="D404" t="s">
        <v>45</v>
      </c>
      <c r="E404" t="s">
        <v>74</v>
      </c>
      <c r="F404" t="s">
        <v>75</v>
      </c>
      <c r="G404">
        <v>29</v>
      </c>
      <c r="H404">
        <v>41.84</v>
      </c>
      <c r="I404">
        <v>1213.3599999999999</v>
      </c>
      <c r="J404">
        <v>56.83</v>
      </c>
      <c r="K404">
        <v>431.53</v>
      </c>
      <c r="L404" t="s">
        <v>48</v>
      </c>
      <c r="M404" t="s">
        <v>41</v>
      </c>
      <c r="N404" t="s">
        <v>49</v>
      </c>
      <c r="O404">
        <f>SUMIFS(I404:I903,F404:F903,Table8[[#This Row],[Category]],N404:N903,Table8[[#This Row],[Region_Code]])</f>
        <v>1213.3599999999999</v>
      </c>
      <c r="P404" s="13">
        <f>SUMIFS(K404:K903,F404:F903,Table8[[#This Row],[Category]],N404:N903,Table8[[#This Row],[Region_Code]])</f>
        <v>431.53</v>
      </c>
      <c r="Q404">
        <f>AVERAGEIFS(I404:I903,F404:F903,Table8[[#This Row],[Category]],N404:N903,Table8[[#This Row],[Region_Code]])</f>
        <v>1213.3599999999999</v>
      </c>
      <c r="R404">
        <f>AVERAGEIFS(K404:K903,F404:F903,Table8[[#This Row],[Category]],N404:N903,Table8[[#This Row],[Region_Code]])</f>
        <v>431.53</v>
      </c>
    </row>
    <row r="405" spans="1:18" x14ac:dyDescent="0.3">
      <c r="A405" t="s">
        <v>863</v>
      </c>
      <c r="B405" t="s">
        <v>798</v>
      </c>
      <c r="C405" t="s">
        <v>282</v>
      </c>
      <c r="D405" t="s">
        <v>141</v>
      </c>
      <c r="E405" t="s">
        <v>81</v>
      </c>
      <c r="F405" t="s">
        <v>68</v>
      </c>
      <c r="G405">
        <v>43</v>
      </c>
      <c r="H405">
        <v>27.41</v>
      </c>
      <c r="I405">
        <v>1178.6300000000001</v>
      </c>
      <c r="J405">
        <v>55.82</v>
      </c>
      <c r="K405">
        <v>456.31</v>
      </c>
      <c r="L405" t="s">
        <v>48</v>
      </c>
      <c r="M405" t="s">
        <v>34</v>
      </c>
      <c r="N405" t="s">
        <v>142</v>
      </c>
      <c r="O405">
        <f>SUMIFS(I405:I904,F405:F904,Table8[[#This Row],[Category]],N405:N904,Table8[[#This Row],[Region_Code]])</f>
        <v>2809.51</v>
      </c>
      <c r="P405" s="13">
        <f>SUMIFS(K405:K904,F405:F904,Table8[[#This Row],[Category]],N405:N904,Table8[[#This Row],[Region_Code]])</f>
        <v>866.66000000000008</v>
      </c>
      <c r="Q405">
        <f>AVERAGEIFS(I405:I904,F405:F904,Table8[[#This Row],[Category]],N405:N904,Table8[[#This Row],[Region_Code]])</f>
        <v>936.50333333333344</v>
      </c>
      <c r="R405">
        <f>AVERAGEIFS(K405:K904,F405:F904,Table8[[#This Row],[Category]],N405:N904,Table8[[#This Row],[Region_Code]])</f>
        <v>288.88666666666671</v>
      </c>
    </row>
    <row r="406" spans="1:18" x14ac:dyDescent="0.3">
      <c r="A406" t="s">
        <v>864</v>
      </c>
      <c r="B406" t="s">
        <v>271</v>
      </c>
      <c r="C406" t="s">
        <v>743</v>
      </c>
      <c r="D406" t="s">
        <v>62</v>
      </c>
      <c r="E406" t="s">
        <v>63</v>
      </c>
      <c r="F406" t="s">
        <v>47</v>
      </c>
      <c r="G406">
        <v>28</v>
      </c>
      <c r="H406">
        <v>31.84</v>
      </c>
      <c r="I406">
        <v>891.52</v>
      </c>
      <c r="J406">
        <v>54.24</v>
      </c>
      <c r="K406">
        <v>277.27999999999997</v>
      </c>
      <c r="L406" t="s">
        <v>24</v>
      </c>
      <c r="M406" t="s">
        <v>34</v>
      </c>
      <c r="N406" t="s">
        <v>98</v>
      </c>
      <c r="O406">
        <f>SUMIFS(I406:I905,F406:F905,Table8[[#This Row],[Category]],N406:N905,Table8[[#This Row],[Region_Code]])</f>
        <v>6873.7</v>
      </c>
      <c r="P406" s="13">
        <f>SUMIFS(K406:K905,F406:F905,Table8[[#This Row],[Category]],N406:N905,Table8[[#This Row],[Region_Code]])</f>
        <v>1498.1000000000001</v>
      </c>
      <c r="Q406">
        <f>AVERAGEIFS(I406:I905,F406:F905,Table8[[#This Row],[Category]],N406:N905,Table8[[#This Row],[Region_Code]])</f>
        <v>859.21249999999998</v>
      </c>
      <c r="R406">
        <f>AVERAGEIFS(K406:K905,F406:F905,Table8[[#This Row],[Category]],N406:N905,Table8[[#This Row],[Region_Code]])</f>
        <v>187.26250000000002</v>
      </c>
    </row>
    <row r="407" spans="1:18" x14ac:dyDescent="0.3">
      <c r="A407" t="s">
        <v>865</v>
      </c>
      <c r="B407" t="s">
        <v>419</v>
      </c>
      <c r="C407" t="s">
        <v>462</v>
      </c>
      <c r="D407" t="s">
        <v>51</v>
      </c>
      <c r="E407" t="s">
        <v>74</v>
      </c>
      <c r="F407" t="s">
        <v>75</v>
      </c>
      <c r="G407">
        <v>42</v>
      </c>
      <c r="H407">
        <v>35.840000000000003</v>
      </c>
      <c r="I407">
        <v>1505.28</v>
      </c>
      <c r="J407">
        <v>60.65</v>
      </c>
      <c r="K407">
        <v>394.63</v>
      </c>
      <c r="L407" t="s">
        <v>48</v>
      </c>
      <c r="M407" t="s">
        <v>34</v>
      </c>
      <c r="N407" t="s">
        <v>76</v>
      </c>
      <c r="O407">
        <f>SUMIFS(I407:I906,F407:F906,Table8[[#This Row],[Category]],N407:N906,Table8[[#This Row],[Region_Code]])</f>
        <v>6328.49</v>
      </c>
      <c r="P407" s="13">
        <f>SUMIFS(K407:K906,F407:F906,Table8[[#This Row],[Category]],N407:N906,Table8[[#This Row],[Region_Code]])</f>
        <v>1764.22</v>
      </c>
      <c r="Q407">
        <f>AVERAGEIFS(I407:I906,F407:F906,Table8[[#This Row],[Category]],N407:N906,Table8[[#This Row],[Region_Code]])</f>
        <v>1054.7483333333332</v>
      </c>
      <c r="R407">
        <f>AVERAGEIFS(K407:K906,F407:F906,Table8[[#This Row],[Category]],N407:N906,Table8[[#This Row],[Region_Code]])</f>
        <v>294.03666666666669</v>
      </c>
    </row>
    <row r="408" spans="1:18" x14ac:dyDescent="0.3">
      <c r="A408" t="s">
        <v>866</v>
      </c>
      <c r="B408" t="s">
        <v>581</v>
      </c>
      <c r="C408" t="s">
        <v>85</v>
      </c>
      <c r="D408" t="s">
        <v>116</v>
      </c>
      <c r="E408" t="s">
        <v>67</v>
      </c>
      <c r="F408" t="s">
        <v>68</v>
      </c>
      <c r="G408">
        <v>22</v>
      </c>
      <c r="H408">
        <v>30.55</v>
      </c>
      <c r="I408">
        <v>672.1</v>
      </c>
      <c r="J408">
        <v>46.8</v>
      </c>
      <c r="K408">
        <v>130.30000000000001</v>
      </c>
      <c r="L408" t="s">
        <v>33</v>
      </c>
      <c r="M408" t="s">
        <v>41</v>
      </c>
      <c r="N408" t="s">
        <v>76</v>
      </c>
      <c r="O408">
        <f>SUMIFS(I408:I907,F408:F907,Table8[[#This Row],[Category]],N408:N907,Table8[[#This Row],[Region_Code]])</f>
        <v>11420.06</v>
      </c>
      <c r="P408" s="13">
        <f>SUMIFS(K408:K907,F408:F907,Table8[[#This Row],[Category]],N408:N907,Table8[[#This Row],[Region_Code]])</f>
        <v>3453.0200000000004</v>
      </c>
      <c r="Q408">
        <f>AVERAGEIFS(I408:I907,F408:F907,Table8[[#This Row],[Category]],N408:N907,Table8[[#This Row],[Region_Code]])</f>
        <v>951.67166666666662</v>
      </c>
      <c r="R408">
        <f>AVERAGEIFS(K408:K907,F408:F907,Table8[[#This Row],[Category]],N408:N907,Table8[[#This Row],[Region_Code]])</f>
        <v>287.75166666666672</v>
      </c>
    </row>
    <row r="409" spans="1:18" x14ac:dyDescent="0.3">
      <c r="A409" t="s">
        <v>867</v>
      </c>
      <c r="B409" t="s">
        <v>248</v>
      </c>
      <c r="C409" t="s">
        <v>352</v>
      </c>
      <c r="D409" t="s">
        <v>127</v>
      </c>
      <c r="E409" t="s">
        <v>137</v>
      </c>
      <c r="F409" t="s">
        <v>68</v>
      </c>
      <c r="G409">
        <v>13</v>
      </c>
      <c r="H409">
        <v>45.16</v>
      </c>
      <c r="I409">
        <v>587.08000000000004</v>
      </c>
      <c r="J409">
        <v>29.68</v>
      </c>
      <c r="K409">
        <v>193.4</v>
      </c>
      <c r="L409" t="s">
        <v>33</v>
      </c>
      <c r="M409" t="s">
        <v>34</v>
      </c>
      <c r="N409" t="s">
        <v>76</v>
      </c>
      <c r="O409">
        <f>SUMIFS(I409:I908,F409:F908,Table8[[#This Row],[Category]],N409:N908,Table8[[#This Row],[Region_Code]])</f>
        <v>10747.96</v>
      </c>
      <c r="P409" s="13">
        <f>SUMIFS(K409:K908,F409:F908,Table8[[#This Row],[Category]],N409:N908,Table8[[#This Row],[Region_Code]])</f>
        <v>3322.7200000000003</v>
      </c>
      <c r="Q409">
        <f>AVERAGEIFS(I409:I908,F409:F908,Table8[[#This Row],[Category]],N409:N908,Table8[[#This Row],[Region_Code]])</f>
        <v>977.08727272727265</v>
      </c>
      <c r="R409">
        <f>AVERAGEIFS(K409:K908,F409:F908,Table8[[#This Row],[Category]],N409:N908,Table8[[#This Row],[Region_Code]])</f>
        <v>302.06545454545454</v>
      </c>
    </row>
    <row r="410" spans="1:18" x14ac:dyDescent="0.3">
      <c r="A410" t="s">
        <v>868</v>
      </c>
      <c r="B410" t="s">
        <v>617</v>
      </c>
      <c r="C410" t="s">
        <v>227</v>
      </c>
      <c r="D410" t="s">
        <v>206</v>
      </c>
      <c r="E410" t="s">
        <v>22</v>
      </c>
      <c r="F410" t="s">
        <v>23</v>
      </c>
      <c r="G410">
        <v>40</v>
      </c>
      <c r="H410">
        <v>45.23</v>
      </c>
      <c r="I410">
        <v>1809.2</v>
      </c>
      <c r="J410">
        <v>136.25</v>
      </c>
      <c r="K410">
        <v>272.95</v>
      </c>
      <c r="L410" t="s">
        <v>48</v>
      </c>
      <c r="M410" t="s">
        <v>41</v>
      </c>
      <c r="N410" t="s">
        <v>207</v>
      </c>
      <c r="O410">
        <f>SUMIFS(I410:I909,F410:F909,Table8[[#This Row],[Category]],N410:N909,Table8[[#This Row],[Region_Code]])</f>
        <v>3338.08</v>
      </c>
      <c r="P410" s="13">
        <f>SUMIFS(K410:K909,F410:F909,Table8[[#This Row],[Category]],N410:N909,Table8[[#This Row],[Region_Code]])</f>
        <v>689.92000000000007</v>
      </c>
      <c r="Q410">
        <f>AVERAGEIFS(I410:I909,F410:F909,Table8[[#This Row],[Category]],N410:N909,Table8[[#This Row],[Region_Code]])</f>
        <v>1669.04</v>
      </c>
      <c r="R410">
        <f>AVERAGEIFS(K410:K909,F410:F909,Table8[[#This Row],[Category]],N410:N909,Table8[[#This Row],[Region_Code]])</f>
        <v>344.96000000000004</v>
      </c>
    </row>
    <row r="411" spans="1:18" x14ac:dyDescent="0.3">
      <c r="A411" t="s">
        <v>869</v>
      </c>
      <c r="B411" t="s">
        <v>629</v>
      </c>
      <c r="C411" t="s">
        <v>410</v>
      </c>
      <c r="D411" t="s">
        <v>127</v>
      </c>
      <c r="E411" t="s">
        <v>32</v>
      </c>
      <c r="F411" t="s">
        <v>23</v>
      </c>
      <c r="G411">
        <v>41</v>
      </c>
      <c r="H411">
        <v>22.78</v>
      </c>
      <c r="I411">
        <v>933.98</v>
      </c>
      <c r="J411">
        <v>38.369999999999997</v>
      </c>
      <c r="K411">
        <v>157.61000000000001</v>
      </c>
      <c r="L411" t="s">
        <v>33</v>
      </c>
      <c r="M411" t="s">
        <v>25</v>
      </c>
      <c r="N411" t="s">
        <v>76</v>
      </c>
      <c r="O411">
        <f>SUMIFS(I411:I910,F411:F910,Table8[[#This Row],[Category]],N411:N910,Table8[[#This Row],[Region_Code]])</f>
        <v>3894.91</v>
      </c>
      <c r="P411" s="13">
        <f>SUMIFS(K411:K910,F411:F910,Table8[[#This Row],[Category]],N411:N910,Table8[[#This Row],[Region_Code]])</f>
        <v>1056.28</v>
      </c>
      <c r="Q411">
        <f>AVERAGEIFS(I411:I910,F411:F910,Table8[[#This Row],[Category]],N411:N910,Table8[[#This Row],[Region_Code]])</f>
        <v>556.41571428571422</v>
      </c>
      <c r="R411">
        <f>AVERAGEIFS(K411:K910,F411:F910,Table8[[#This Row],[Category]],N411:N910,Table8[[#This Row],[Region_Code]])</f>
        <v>150.89714285714285</v>
      </c>
    </row>
    <row r="412" spans="1:18" x14ac:dyDescent="0.3">
      <c r="A412" t="s">
        <v>870</v>
      </c>
      <c r="B412" t="s">
        <v>871</v>
      </c>
      <c r="C412" t="s">
        <v>165</v>
      </c>
      <c r="D412" t="s">
        <v>171</v>
      </c>
      <c r="E412" t="s">
        <v>81</v>
      </c>
      <c r="F412" t="s">
        <v>68</v>
      </c>
      <c r="G412">
        <v>34</v>
      </c>
      <c r="H412">
        <v>24.21</v>
      </c>
      <c r="I412">
        <v>823.14</v>
      </c>
      <c r="J412">
        <v>58.25</v>
      </c>
      <c r="K412">
        <v>237.89</v>
      </c>
      <c r="L412" t="s">
        <v>24</v>
      </c>
      <c r="M412" t="s">
        <v>25</v>
      </c>
      <c r="N412" t="s">
        <v>35</v>
      </c>
      <c r="O412">
        <f>SUMIFS(I412:I911,F412:F911,Table8[[#This Row],[Category]],N412:N911,Table8[[#This Row],[Region_Code]])</f>
        <v>9257.11</v>
      </c>
      <c r="P412" s="13">
        <f>SUMIFS(K412:K911,F412:F911,Table8[[#This Row],[Category]],N412:N911,Table8[[#This Row],[Region_Code]])</f>
        <v>2626.6</v>
      </c>
      <c r="Q412">
        <f>AVERAGEIFS(I412:I911,F412:F911,Table8[[#This Row],[Category]],N412:N911,Table8[[#This Row],[Region_Code]])</f>
        <v>1028.5677777777778</v>
      </c>
      <c r="R412">
        <f>AVERAGEIFS(K412:K911,F412:F911,Table8[[#This Row],[Category]],N412:N911,Table8[[#This Row],[Region_Code]])</f>
        <v>291.84444444444443</v>
      </c>
    </row>
    <row r="413" spans="1:18" x14ac:dyDescent="0.3">
      <c r="A413" t="s">
        <v>872</v>
      </c>
      <c r="B413" t="s">
        <v>199</v>
      </c>
      <c r="C413" t="s">
        <v>185</v>
      </c>
      <c r="D413" t="s">
        <v>31</v>
      </c>
      <c r="E413" t="s">
        <v>63</v>
      </c>
      <c r="F413" t="s">
        <v>47</v>
      </c>
      <c r="G413">
        <v>46</v>
      </c>
      <c r="H413">
        <v>34.64</v>
      </c>
      <c r="I413">
        <v>1593.44</v>
      </c>
      <c r="J413">
        <v>45.93</v>
      </c>
      <c r="K413">
        <v>627.51</v>
      </c>
      <c r="L413" t="s">
        <v>48</v>
      </c>
      <c r="M413" t="s">
        <v>25</v>
      </c>
      <c r="N413" t="s">
        <v>35</v>
      </c>
      <c r="O413">
        <f>SUMIFS(I413:I912,F413:F912,Table8[[#This Row],[Category]],N413:N912,Table8[[#This Row],[Region_Code]])</f>
        <v>5265.869999999999</v>
      </c>
      <c r="P413" s="13">
        <f>SUMIFS(K413:K912,F413:F912,Table8[[#This Row],[Category]],N413:N912,Table8[[#This Row],[Region_Code]])</f>
        <v>1757.46</v>
      </c>
      <c r="Q413">
        <f>AVERAGEIFS(I413:I912,F413:F912,Table8[[#This Row],[Category]],N413:N912,Table8[[#This Row],[Region_Code]])</f>
        <v>752.26714285714274</v>
      </c>
      <c r="R413">
        <f>AVERAGEIFS(K413:K912,F413:F912,Table8[[#This Row],[Category]],N413:N912,Table8[[#This Row],[Region_Code]])</f>
        <v>251.06571428571428</v>
      </c>
    </row>
    <row r="414" spans="1:18" x14ac:dyDescent="0.3">
      <c r="A414" t="s">
        <v>873</v>
      </c>
      <c r="B414" t="s">
        <v>874</v>
      </c>
      <c r="C414" t="s">
        <v>227</v>
      </c>
      <c r="D414" t="s">
        <v>55</v>
      </c>
      <c r="E414" t="s">
        <v>63</v>
      </c>
      <c r="F414" t="s">
        <v>47</v>
      </c>
      <c r="G414">
        <v>10</v>
      </c>
      <c r="H414">
        <v>27.06</v>
      </c>
      <c r="I414">
        <v>270.60000000000002</v>
      </c>
      <c r="J414">
        <v>15.35</v>
      </c>
      <c r="K414">
        <v>55.25</v>
      </c>
      <c r="L414" t="s">
        <v>24</v>
      </c>
      <c r="M414" t="s">
        <v>41</v>
      </c>
      <c r="N414" t="s">
        <v>98</v>
      </c>
      <c r="O414">
        <f>SUMIFS(I414:I913,F414:F913,Table8[[#This Row],[Category]],N414:N913,Table8[[#This Row],[Region_Code]])</f>
        <v>5982.18</v>
      </c>
      <c r="P414" s="13">
        <f>SUMIFS(K414:K913,F414:F913,Table8[[#This Row],[Category]],N414:N913,Table8[[#This Row],[Region_Code]])</f>
        <v>1220.82</v>
      </c>
      <c r="Q414">
        <f>AVERAGEIFS(I414:I913,F414:F913,Table8[[#This Row],[Category]],N414:N913,Table8[[#This Row],[Region_Code]])</f>
        <v>854.5971428571429</v>
      </c>
      <c r="R414">
        <f>AVERAGEIFS(K414:K913,F414:F913,Table8[[#This Row],[Category]],N414:N913,Table8[[#This Row],[Region_Code]])</f>
        <v>174.40285714285713</v>
      </c>
    </row>
    <row r="415" spans="1:18" x14ac:dyDescent="0.3">
      <c r="A415" t="s">
        <v>875</v>
      </c>
      <c r="B415" t="s">
        <v>642</v>
      </c>
      <c r="C415" t="s">
        <v>222</v>
      </c>
      <c r="D415" t="s">
        <v>31</v>
      </c>
      <c r="E415" t="s">
        <v>32</v>
      </c>
      <c r="F415" t="s">
        <v>23</v>
      </c>
      <c r="G415">
        <v>11</v>
      </c>
      <c r="H415">
        <v>27.74</v>
      </c>
      <c r="I415">
        <v>305.14</v>
      </c>
      <c r="J415">
        <v>10.81</v>
      </c>
      <c r="K415">
        <v>96.33</v>
      </c>
      <c r="L415" t="s">
        <v>33</v>
      </c>
      <c r="M415" t="s">
        <v>41</v>
      </c>
      <c r="N415" t="s">
        <v>35</v>
      </c>
      <c r="O415">
        <f>SUMIFS(I415:I914,F415:F914,Table8[[#This Row],[Category]],N415:N914,Table8[[#This Row],[Region_Code]])</f>
        <v>5232.63</v>
      </c>
      <c r="P415" s="13">
        <f>SUMIFS(K415:K914,F415:F914,Table8[[#This Row],[Category]],N415:N914,Table8[[#This Row],[Region_Code]])</f>
        <v>1424.44</v>
      </c>
      <c r="Q415">
        <f>AVERAGEIFS(I415:I914,F415:F914,Table8[[#This Row],[Category]],N415:N914,Table8[[#This Row],[Region_Code]])</f>
        <v>1046.5260000000001</v>
      </c>
      <c r="R415">
        <f>AVERAGEIFS(K415:K914,F415:F914,Table8[[#This Row],[Category]],N415:N914,Table8[[#This Row],[Region_Code]])</f>
        <v>284.88800000000003</v>
      </c>
    </row>
    <row r="416" spans="1:18" x14ac:dyDescent="0.3">
      <c r="A416" t="s">
        <v>876</v>
      </c>
      <c r="B416" t="s">
        <v>877</v>
      </c>
      <c r="C416" t="s">
        <v>157</v>
      </c>
      <c r="D416" t="s">
        <v>55</v>
      </c>
      <c r="E416" t="s">
        <v>137</v>
      </c>
      <c r="F416" t="s">
        <v>68</v>
      </c>
      <c r="G416">
        <v>29</v>
      </c>
      <c r="H416">
        <v>38.08</v>
      </c>
      <c r="I416">
        <v>1104.32</v>
      </c>
      <c r="J416">
        <v>25.63</v>
      </c>
      <c r="K416">
        <v>266.69</v>
      </c>
      <c r="L416" t="s">
        <v>33</v>
      </c>
      <c r="M416" t="s">
        <v>41</v>
      </c>
      <c r="N416" t="s">
        <v>98</v>
      </c>
      <c r="O416">
        <f>SUMIFS(I416:I915,F416:F915,Table8[[#This Row],[Category]],N416:N915,Table8[[#This Row],[Region_Code]])</f>
        <v>7641.06</v>
      </c>
      <c r="P416" s="13">
        <f>SUMIFS(K416:K915,F416:F915,Table8[[#This Row],[Category]],N416:N915,Table8[[#This Row],[Region_Code]])</f>
        <v>2330.4899999999998</v>
      </c>
      <c r="Q416">
        <f>AVERAGEIFS(I416:I915,F416:F915,Table8[[#This Row],[Category]],N416:N915,Table8[[#This Row],[Region_Code]])</f>
        <v>1091.5800000000002</v>
      </c>
      <c r="R416">
        <f>AVERAGEIFS(K416:K915,F416:F915,Table8[[#This Row],[Category]],N416:N915,Table8[[#This Row],[Region_Code]])</f>
        <v>332.92714285714283</v>
      </c>
    </row>
    <row r="417" spans="1:18" x14ac:dyDescent="0.3">
      <c r="A417" t="s">
        <v>878</v>
      </c>
      <c r="B417" t="s">
        <v>340</v>
      </c>
      <c r="C417" t="s">
        <v>191</v>
      </c>
      <c r="D417" t="s">
        <v>55</v>
      </c>
      <c r="E417" t="s">
        <v>137</v>
      </c>
      <c r="F417" t="s">
        <v>68</v>
      </c>
      <c r="G417">
        <v>18</v>
      </c>
      <c r="H417">
        <v>43.65</v>
      </c>
      <c r="I417">
        <v>785.7</v>
      </c>
      <c r="J417">
        <v>54.52</v>
      </c>
      <c r="K417">
        <v>227.18</v>
      </c>
      <c r="L417" t="s">
        <v>33</v>
      </c>
      <c r="M417" t="s">
        <v>25</v>
      </c>
      <c r="N417" t="s">
        <v>98</v>
      </c>
      <c r="O417">
        <f>SUMIFS(I417:I916,F417:F916,Table8[[#This Row],[Category]],N417:N916,Table8[[#This Row],[Region_Code]])</f>
        <v>6536.74</v>
      </c>
      <c r="P417" s="13">
        <f>SUMIFS(K417:K916,F417:F916,Table8[[#This Row],[Category]],N417:N916,Table8[[#This Row],[Region_Code]])</f>
        <v>2063.7999999999997</v>
      </c>
      <c r="Q417">
        <f>AVERAGEIFS(I417:I916,F417:F916,Table8[[#This Row],[Category]],N417:N916,Table8[[#This Row],[Region_Code]])</f>
        <v>1089.4566666666667</v>
      </c>
      <c r="R417">
        <f>AVERAGEIFS(K417:K916,F417:F916,Table8[[#This Row],[Category]],N417:N916,Table8[[#This Row],[Region_Code]])</f>
        <v>343.96666666666664</v>
      </c>
    </row>
    <row r="418" spans="1:18" x14ac:dyDescent="0.3">
      <c r="A418" t="s">
        <v>879</v>
      </c>
      <c r="B418" t="s">
        <v>488</v>
      </c>
      <c r="C418" t="s">
        <v>559</v>
      </c>
      <c r="D418" t="s">
        <v>171</v>
      </c>
      <c r="E418" t="s">
        <v>22</v>
      </c>
      <c r="F418" t="s">
        <v>23</v>
      </c>
      <c r="G418">
        <v>49</v>
      </c>
      <c r="H418">
        <v>51.97</v>
      </c>
      <c r="I418">
        <v>2546.5300000000002</v>
      </c>
      <c r="J418">
        <v>112.26</v>
      </c>
      <c r="K418">
        <v>719.27</v>
      </c>
      <c r="L418" t="s">
        <v>33</v>
      </c>
      <c r="M418" t="s">
        <v>34</v>
      </c>
      <c r="N418" t="s">
        <v>35</v>
      </c>
      <c r="O418">
        <f>SUMIFS(I418:I917,F418:F917,Table8[[#This Row],[Category]],N418:N917,Table8[[#This Row],[Region_Code]])</f>
        <v>4927.49</v>
      </c>
      <c r="P418" s="13">
        <f>SUMIFS(K418:K917,F418:F917,Table8[[#This Row],[Category]],N418:N917,Table8[[#This Row],[Region_Code]])</f>
        <v>1328.1100000000001</v>
      </c>
      <c r="Q418">
        <f>AVERAGEIFS(I418:I917,F418:F917,Table8[[#This Row],[Category]],N418:N917,Table8[[#This Row],[Region_Code]])</f>
        <v>1231.8724999999999</v>
      </c>
      <c r="R418">
        <f>AVERAGEIFS(K418:K917,F418:F917,Table8[[#This Row],[Category]],N418:N917,Table8[[#This Row],[Region_Code]])</f>
        <v>332.02750000000003</v>
      </c>
    </row>
    <row r="419" spans="1:18" x14ac:dyDescent="0.3">
      <c r="A419" t="s">
        <v>880</v>
      </c>
      <c r="B419" t="s">
        <v>754</v>
      </c>
      <c r="C419" t="s">
        <v>197</v>
      </c>
      <c r="D419" t="s">
        <v>116</v>
      </c>
      <c r="E419" t="s">
        <v>74</v>
      </c>
      <c r="F419" t="s">
        <v>75</v>
      </c>
      <c r="G419">
        <v>13</v>
      </c>
      <c r="H419">
        <v>36.85</v>
      </c>
      <c r="I419">
        <v>479.05</v>
      </c>
      <c r="J419">
        <v>10.15</v>
      </c>
      <c r="K419">
        <v>143.9</v>
      </c>
      <c r="L419" t="s">
        <v>24</v>
      </c>
      <c r="M419" t="s">
        <v>41</v>
      </c>
      <c r="N419" t="s">
        <v>76</v>
      </c>
      <c r="O419">
        <f>SUMIFS(I419:I918,F419:F918,Table8[[#This Row],[Category]],N419:N918,Table8[[#This Row],[Region_Code]])</f>
        <v>4823.2100000000009</v>
      </c>
      <c r="P419" s="13">
        <f>SUMIFS(K419:K918,F419:F918,Table8[[#This Row],[Category]],N419:N918,Table8[[#This Row],[Region_Code]])</f>
        <v>1369.59</v>
      </c>
      <c r="Q419">
        <f>AVERAGEIFS(I419:I918,F419:F918,Table8[[#This Row],[Category]],N419:N918,Table8[[#This Row],[Region_Code]])</f>
        <v>964.64200000000017</v>
      </c>
      <c r="R419">
        <f>AVERAGEIFS(K419:K918,F419:F918,Table8[[#This Row],[Category]],N419:N918,Table8[[#This Row],[Region_Code]])</f>
        <v>273.91800000000001</v>
      </c>
    </row>
    <row r="420" spans="1:18" x14ac:dyDescent="0.3">
      <c r="A420" t="s">
        <v>881</v>
      </c>
      <c r="B420" t="s">
        <v>882</v>
      </c>
      <c r="C420" t="s">
        <v>122</v>
      </c>
      <c r="D420" t="s">
        <v>55</v>
      </c>
      <c r="E420" t="s">
        <v>46</v>
      </c>
      <c r="F420" t="s">
        <v>47</v>
      </c>
      <c r="G420">
        <v>33</v>
      </c>
      <c r="H420">
        <v>38.520000000000003</v>
      </c>
      <c r="I420">
        <v>1271.1600000000001</v>
      </c>
      <c r="J420">
        <v>81.459999999999994</v>
      </c>
      <c r="K420">
        <v>133.69999999999999</v>
      </c>
      <c r="L420" t="s">
        <v>24</v>
      </c>
      <c r="M420" t="s">
        <v>25</v>
      </c>
      <c r="N420" t="s">
        <v>98</v>
      </c>
      <c r="O420">
        <f>SUMIFS(I420:I919,F420:F919,Table8[[#This Row],[Category]],N420:N919,Table8[[#This Row],[Region_Code]])</f>
        <v>5711.58</v>
      </c>
      <c r="P420" s="13">
        <f>SUMIFS(K420:K919,F420:F919,Table8[[#This Row],[Category]],N420:N919,Table8[[#This Row],[Region_Code]])</f>
        <v>1165.57</v>
      </c>
      <c r="Q420">
        <f>AVERAGEIFS(I420:I919,F420:F919,Table8[[#This Row],[Category]],N420:N919,Table8[[#This Row],[Region_Code]])</f>
        <v>951.93</v>
      </c>
      <c r="R420">
        <f>AVERAGEIFS(K420:K919,F420:F919,Table8[[#This Row],[Category]],N420:N919,Table8[[#This Row],[Region_Code]])</f>
        <v>194.26166666666666</v>
      </c>
    </row>
    <row r="421" spans="1:18" x14ac:dyDescent="0.3">
      <c r="A421" t="s">
        <v>883</v>
      </c>
      <c r="B421" t="s">
        <v>169</v>
      </c>
      <c r="C421" t="s">
        <v>381</v>
      </c>
      <c r="D421" t="s">
        <v>51</v>
      </c>
      <c r="E421" t="s">
        <v>81</v>
      </c>
      <c r="F421" t="s">
        <v>68</v>
      </c>
      <c r="G421">
        <v>41</v>
      </c>
      <c r="H421">
        <v>26.98</v>
      </c>
      <c r="I421">
        <v>1106.18</v>
      </c>
      <c r="J421">
        <v>51.77</v>
      </c>
      <c r="K421">
        <v>418.91</v>
      </c>
      <c r="L421" t="s">
        <v>48</v>
      </c>
      <c r="M421" t="s">
        <v>34</v>
      </c>
      <c r="N421" t="s">
        <v>76</v>
      </c>
      <c r="O421">
        <f>SUMIFS(I421:I920,F421:F920,Table8[[#This Row],[Category]],N421:N920,Table8[[#This Row],[Region_Code]])</f>
        <v>10160.879999999999</v>
      </c>
      <c r="P421" s="13">
        <f>SUMIFS(K421:K920,F421:F920,Table8[[#This Row],[Category]],N421:N920,Table8[[#This Row],[Region_Code]])</f>
        <v>3129.32</v>
      </c>
      <c r="Q421">
        <f>AVERAGEIFS(I421:I920,F421:F920,Table8[[#This Row],[Category]],N421:N920,Table8[[#This Row],[Region_Code]])</f>
        <v>1016.088</v>
      </c>
      <c r="R421">
        <f>AVERAGEIFS(K421:K920,F421:F920,Table8[[#This Row],[Category]],N421:N920,Table8[[#This Row],[Region_Code]])</f>
        <v>312.93200000000002</v>
      </c>
    </row>
    <row r="422" spans="1:18" x14ac:dyDescent="0.3">
      <c r="A422" t="s">
        <v>884</v>
      </c>
      <c r="B422" t="s">
        <v>633</v>
      </c>
      <c r="C422" t="s">
        <v>157</v>
      </c>
      <c r="D422" t="s">
        <v>171</v>
      </c>
      <c r="E422" t="s">
        <v>81</v>
      </c>
      <c r="F422" t="s">
        <v>68</v>
      </c>
      <c r="G422">
        <v>4</v>
      </c>
      <c r="H422">
        <v>23.56</v>
      </c>
      <c r="I422">
        <v>94.24</v>
      </c>
      <c r="J422">
        <v>7.03</v>
      </c>
      <c r="K422">
        <v>25.21</v>
      </c>
      <c r="L422" t="s">
        <v>48</v>
      </c>
      <c r="M422" t="s">
        <v>41</v>
      </c>
      <c r="N422" t="s">
        <v>35</v>
      </c>
      <c r="O422">
        <f>SUMIFS(I422:I921,F422:F921,Table8[[#This Row],[Category]],N422:N921,Table8[[#This Row],[Region_Code]])</f>
        <v>8433.9700000000012</v>
      </c>
      <c r="P422" s="13">
        <f>SUMIFS(K422:K921,F422:F921,Table8[[#This Row],[Category]],N422:N921,Table8[[#This Row],[Region_Code]])</f>
        <v>2388.71</v>
      </c>
      <c r="Q422">
        <f>AVERAGEIFS(I422:I921,F422:F921,Table8[[#This Row],[Category]],N422:N921,Table8[[#This Row],[Region_Code]])</f>
        <v>1054.2462500000001</v>
      </c>
      <c r="R422">
        <f>AVERAGEIFS(K422:K921,F422:F921,Table8[[#This Row],[Category]],N422:N921,Table8[[#This Row],[Region_Code]])</f>
        <v>298.58875</v>
      </c>
    </row>
    <row r="423" spans="1:18" x14ac:dyDescent="0.3">
      <c r="A423" t="s">
        <v>885</v>
      </c>
      <c r="B423" t="s">
        <v>699</v>
      </c>
      <c r="C423" t="s">
        <v>471</v>
      </c>
      <c r="D423" t="s">
        <v>70</v>
      </c>
      <c r="E423" t="s">
        <v>46</v>
      </c>
      <c r="F423" t="s">
        <v>47</v>
      </c>
      <c r="G423">
        <v>17</v>
      </c>
      <c r="H423">
        <v>57.14</v>
      </c>
      <c r="I423">
        <v>971.38</v>
      </c>
      <c r="J423">
        <v>70.010000000000005</v>
      </c>
      <c r="K423">
        <v>357.37</v>
      </c>
      <c r="L423" t="s">
        <v>48</v>
      </c>
      <c r="M423" t="s">
        <v>34</v>
      </c>
      <c r="N423" t="s">
        <v>76</v>
      </c>
      <c r="O423">
        <f>SUMIFS(I423:I922,F423:F922,Table8[[#This Row],[Category]],N423:N922,Table8[[#This Row],[Region_Code]])</f>
        <v>2767.6499999999996</v>
      </c>
      <c r="P423" s="13">
        <f>SUMIFS(K423:K922,F423:F922,Table8[[#This Row],[Category]],N423:N922,Table8[[#This Row],[Region_Code]])</f>
        <v>927.24999999999989</v>
      </c>
      <c r="Q423">
        <f>AVERAGEIFS(I423:I922,F423:F922,Table8[[#This Row],[Category]],N423:N922,Table8[[#This Row],[Region_Code]])</f>
        <v>553.53</v>
      </c>
      <c r="R423">
        <f>AVERAGEIFS(K423:K922,F423:F922,Table8[[#This Row],[Category]],N423:N922,Table8[[#This Row],[Region_Code]])</f>
        <v>185.45</v>
      </c>
    </row>
    <row r="424" spans="1:18" x14ac:dyDescent="0.3">
      <c r="A424" t="s">
        <v>886</v>
      </c>
      <c r="B424" t="s">
        <v>887</v>
      </c>
      <c r="C424" t="s">
        <v>182</v>
      </c>
      <c r="D424" t="s">
        <v>206</v>
      </c>
      <c r="E424" t="s">
        <v>74</v>
      </c>
      <c r="F424" t="s">
        <v>75</v>
      </c>
      <c r="G424">
        <v>44</v>
      </c>
      <c r="H424">
        <v>38.14</v>
      </c>
      <c r="I424">
        <v>1678.16</v>
      </c>
      <c r="J424">
        <v>124.49</v>
      </c>
      <c r="K424">
        <v>453.67</v>
      </c>
      <c r="L424" t="s">
        <v>48</v>
      </c>
      <c r="M424" t="s">
        <v>25</v>
      </c>
      <c r="N424" t="s">
        <v>207</v>
      </c>
      <c r="O424">
        <f>SUMIFS(I424:I923,F424:F923,Table8[[#This Row],[Category]],N424:N923,Table8[[#This Row],[Region_Code]])</f>
        <v>2168.3200000000002</v>
      </c>
      <c r="P424" s="13">
        <f>SUMIFS(K424:K923,F424:F923,Table8[[#This Row],[Category]],N424:N923,Table8[[#This Row],[Region_Code]])</f>
        <v>644.86</v>
      </c>
      <c r="Q424">
        <f>AVERAGEIFS(I424:I923,F424:F923,Table8[[#This Row],[Category]],N424:N923,Table8[[#This Row],[Region_Code]])</f>
        <v>1084.1600000000001</v>
      </c>
      <c r="R424">
        <f>AVERAGEIFS(K424:K923,F424:F923,Table8[[#This Row],[Category]],N424:N923,Table8[[#This Row],[Region_Code]])</f>
        <v>322.43</v>
      </c>
    </row>
    <row r="425" spans="1:18" x14ac:dyDescent="0.3">
      <c r="A425" t="s">
        <v>888</v>
      </c>
      <c r="B425" t="s">
        <v>726</v>
      </c>
      <c r="C425" t="s">
        <v>165</v>
      </c>
      <c r="D425" t="s">
        <v>141</v>
      </c>
      <c r="E425" t="s">
        <v>32</v>
      </c>
      <c r="F425" t="s">
        <v>23</v>
      </c>
      <c r="G425">
        <v>14</v>
      </c>
      <c r="H425">
        <v>24</v>
      </c>
      <c r="I425">
        <v>336</v>
      </c>
      <c r="J425">
        <v>22.88</v>
      </c>
      <c r="K425">
        <v>61.12</v>
      </c>
      <c r="L425" t="s">
        <v>33</v>
      </c>
      <c r="M425" t="s">
        <v>34</v>
      </c>
      <c r="N425" t="s">
        <v>142</v>
      </c>
      <c r="O425">
        <f>SUMIFS(I425:I924,F425:F924,Table8[[#This Row],[Category]],N425:N924,Table8[[#This Row],[Region_Code]])</f>
        <v>2101.5099999999998</v>
      </c>
      <c r="P425" s="13">
        <f>SUMIFS(K425:K924,F425:F924,Table8[[#This Row],[Category]],N425:N924,Table8[[#This Row],[Region_Code]])</f>
        <v>592.08000000000004</v>
      </c>
      <c r="Q425">
        <f>AVERAGEIFS(I425:I924,F425:F924,Table8[[#This Row],[Category]],N425:N924,Table8[[#This Row],[Region_Code]])</f>
        <v>700.50333333333322</v>
      </c>
      <c r="R425">
        <f>AVERAGEIFS(K425:K924,F425:F924,Table8[[#This Row],[Category]],N425:N924,Table8[[#This Row],[Region_Code]])</f>
        <v>197.36</v>
      </c>
    </row>
    <row r="426" spans="1:18" x14ac:dyDescent="0.3">
      <c r="A426" t="s">
        <v>889</v>
      </c>
      <c r="B426" t="s">
        <v>890</v>
      </c>
      <c r="C426" t="s">
        <v>126</v>
      </c>
      <c r="D426" t="s">
        <v>51</v>
      </c>
      <c r="E426" t="s">
        <v>81</v>
      </c>
      <c r="F426" t="s">
        <v>68</v>
      </c>
      <c r="G426">
        <v>50</v>
      </c>
      <c r="H426">
        <v>26.91</v>
      </c>
      <c r="I426">
        <v>1345.5</v>
      </c>
      <c r="J426">
        <v>91.7</v>
      </c>
      <c r="K426">
        <v>478.8</v>
      </c>
      <c r="L426" t="s">
        <v>48</v>
      </c>
      <c r="M426" t="s">
        <v>25</v>
      </c>
      <c r="N426" t="s">
        <v>76</v>
      </c>
      <c r="O426">
        <f>SUMIFS(I426:I925,F426:F925,Table8[[#This Row],[Category]],N426:N925,Table8[[#This Row],[Region_Code]])</f>
        <v>9054.6999999999989</v>
      </c>
      <c r="P426" s="13">
        <f>SUMIFS(K426:K925,F426:F925,Table8[[#This Row],[Category]],N426:N925,Table8[[#This Row],[Region_Code]])</f>
        <v>2710.41</v>
      </c>
      <c r="Q426">
        <f>AVERAGEIFS(I426:I925,F426:F925,Table8[[#This Row],[Category]],N426:N925,Table8[[#This Row],[Region_Code]])</f>
        <v>1006.0777777777777</v>
      </c>
      <c r="R426">
        <f>AVERAGEIFS(K426:K925,F426:F925,Table8[[#This Row],[Category]],N426:N925,Table8[[#This Row],[Region_Code]])</f>
        <v>301.15666666666664</v>
      </c>
    </row>
    <row r="427" spans="1:18" x14ac:dyDescent="0.3">
      <c r="A427" t="s">
        <v>891</v>
      </c>
      <c r="B427" t="s">
        <v>892</v>
      </c>
      <c r="C427" t="s">
        <v>455</v>
      </c>
      <c r="D427" t="s">
        <v>37</v>
      </c>
      <c r="E427" t="s">
        <v>56</v>
      </c>
      <c r="F427" t="s">
        <v>57</v>
      </c>
      <c r="G427">
        <v>7</v>
      </c>
      <c r="H427">
        <v>59.41</v>
      </c>
      <c r="I427">
        <v>415.87</v>
      </c>
      <c r="J427">
        <v>25.51</v>
      </c>
      <c r="K427">
        <v>110.36</v>
      </c>
      <c r="L427" t="s">
        <v>24</v>
      </c>
      <c r="M427" t="s">
        <v>41</v>
      </c>
      <c r="N427" t="s">
        <v>35</v>
      </c>
      <c r="O427">
        <f>SUMIFS(I427:I926,F427:F926,Table8[[#This Row],[Category]],N427:N926,Table8[[#This Row],[Region_Code]])</f>
        <v>415.87</v>
      </c>
      <c r="P427" s="13">
        <f>SUMIFS(K427:K926,F427:F926,Table8[[#This Row],[Category]],N427:N926,Table8[[#This Row],[Region_Code]])</f>
        <v>110.36</v>
      </c>
      <c r="Q427">
        <f>AVERAGEIFS(I427:I926,F427:F926,Table8[[#This Row],[Category]],N427:N926,Table8[[#This Row],[Region_Code]])</f>
        <v>415.87</v>
      </c>
      <c r="R427">
        <f>AVERAGEIFS(K427:K926,F427:F926,Table8[[#This Row],[Category]],N427:N926,Table8[[#This Row],[Region_Code]])</f>
        <v>110.36</v>
      </c>
    </row>
    <row r="428" spans="1:18" x14ac:dyDescent="0.3">
      <c r="A428" t="s">
        <v>893</v>
      </c>
      <c r="B428" t="s">
        <v>416</v>
      </c>
      <c r="C428" t="s">
        <v>396</v>
      </c>
      <c r="D428" t="s">
        <v>127</v>
      </c>
      <c r="E428" t="s">
        <v>74</v>
      </c>
      <c r="F428" t="s">
        <v>75</v>
      </c>
      <c r="G428">
        <v>48</v>
      </c>
      <c r="H428">
        <v>37.31</v>
      </c>
      <c r="I428">
        <v>1790.88</v>
      </c>
      <c r="J428">
        <v>67.45</v>
      </c>
      <c r="K428">
        <v>523.42999999999995</v>
      </c>
      <c r="L428" t="s">
        <v>24</v>
      </c>
      <c r="M428" t="s">
        <v>34</v>
      </c>
      <c r="N428" t="s">
        <v>76</v>
      </c>
      <c r="O428">
        <f>SUMIFS(I428:I927,F428:F927,Table8[[#This Row],[Category]],N428:N927,Table8[[#This Row],[Region_Code]])</f>
        <v>4344.16</v>
      </c>
      <c r="P428" s="13">
        <f>SUMIFS(K428:K927,F428:F927,Table8[[#This Row],[Category]],N428:N927,Table8[[#This Row],[Region_Code]])</f>
        <v>1225.69</v>
      </c>
      <c r="Q428">
        <f>AVERAGEIFS(I428:I927,F428:F927,Table8[[#This Row],[Category]],N428:N927,Table8[[#This Row],[Region_Code]])</f>
        <v>1086.04</v>
      </c>
      <c r="R428">
        <f>AVERAGEIFS(K428:K927,F428:F927,Table8[[#This Row],[Category]],N428:N927,Table8[[#This Row],[Region_Code]])</f>
        <v>306.42250000000001</v>
      </c>
    </row>
    <row r="429" spans="1:18" x14ac:dyDescent="0.3">
      <c r="A429" t="s">
        <v>894</v>
      </c>
      <c r="B429" t="s">
        <v>133</v>
      </c>
      <c r="C429" t="s">
        <v>285</v>
      </c>
      <c r="D429" t="s">
        <v>123</v>
      </c>
      <c r="E429" t="s">
        <v>56</v>
      </c>
      <c r="F429" t="s">
        <v>57</v>
      </c>
      <c r="G429">
        <v>38</v>
      </c>
      <c r="H429">
        <v>52.91</v>
      </c>
      <c r="I429">
        <v>2010.58</v>
      </c>
      <c r="J429">
        <v>94.22</v>
      </c>
      <c r="K429">
        <v>396.36</v>
      </c>
      <c r="L429" t="s">
        <v>24</v>
      </c>
      <c r="M429" t="s">
        <v>25</v>
      </c>
      <c r="N429" t="s">
        <v>76</v>
      </c>
      <c r="O429">
        <f>SUMIFS(I429:I928,F429:F928,Table8[[#This Row],[Category]],N429:N928,Table8[[#This Row],[Region_Code]])</f>
        <v>7499.08</v>
      </c>
      <c r="P429" s="13">
        <f>SUMIFS(K429:K928,F429:F928,Table8[[#This Row],[Category]],N429:N928,Table8[[#This Row],[Region_Code]])</f>
        <v>1771.94</v>
      </c>
      <c r="Q429">
        <f>AVERAGEIFS(I429:I928,F429:F928,Table8[[#This Row],[Category]],N429:N928,Table8[[#This Row],[Region_Code]])</f>
        <v>1499.816</v>
      </c>
      <c r="R429">
        <f>AVERAGEIFS(K429:K928,F429:F928,Table8[[#This Row],[Category]],N429:N928,Table8[[#This Row],[Region_Code]])</f>
        <v>354.38800000000003</v>
      </c>
    </row>
    <row r="430" spans="1:18" x14ac:dyDescent="0.3">
      <c r="A430" t="s">
        <v>895</v>
      </c>
      <c r="B430" t="s">
        <v>896</v>
      </c>
      <c r="C430" t="s">
        <v>113</v>
      </c>
      <c r="D430" t="s">
        <v>31</v>
      </c>
      <c r="E430" t="s">
        <v>32</v>
      </c>
      <c r="F430" t="s">
        <v>23</v>
      </c>
      <c r="G430">
        <v>14</v>
      </c>
      <c r="H430">
        <v>27.09</v>
      </c>
      <c r="I430">
        <v>379.26</v>
      </c>
      <c r="J430">
        <v>14.42</v>
      </c>
      <c r="K430">
        <v>112.84</v>
      </c>
      <c r="L430" t="s">
        <v>48</v>
      </c>
      <c r="M430" t="s">
        <v>41</v>
      </c>
      <c r="N430" t="s">
        <v>35</v>
      </c>
      <c r="O430">
        <f>SUMIFS(I430:I929,F430:F929,Table8[[#This Row],[Category]],N430:N929,Table8[[#This Row],[Region_Code]])</f>
        <v>2380.96</v>
      </c>
      <c r="P430" s="13">
        <f>SUMIFS(K430:K929,F430:F929,Table8[[#This Row],[Category]],N430:N929,Table8[[#This Row],[Region_Code]])</f>
        <v>608.83999999999992</v>
      </c>
      <c r="Q430">
        <f>AVERAGEIFS(I430:I929,F430:F929,Table8[[#This Row],[Category]],N430:N929,Table8[[#This Row],[Region_Code]])</f>
        <v>793.65333333333331</v>
      </c>
      <c r="R430">
        <f>AVERAGEIFS(K430:K929,F430:F929,Table8[[#This Row],[Category]],N430:N929,Table8[[#This Row],[Region_Code]])</f>
        <v>202.94666666666663</v>
      </c>
    </row>
    <row r="431" spans="1:18" x14ac:dyDescent="0.3">
      <c r="A431" t="s">
        <v>897</v>
      </c>
      <c r="B431" t="s">
        <v>118</v>
      </c>
      <c r="C431" t="s">
        <v>182</v>
      </c>
      <c r="D431" t="s">
        <v>127</v>
      </c>
      <c r="E431" t="s">
        <v>67</v>
      </c>
      <c r="F431" t="s">
        <v>68</v>
      </c>
      <c r="G431">
        <v>41</v>
      </c>
      <c r="H431">
        <v>30.52</v>
      </c>
      <c r="I431">
        <v>1251.32</v>
      </c>
      <c r="J431">
        <v>56.88</v>
      </c>
      <c r="K431">
        <v>271.94</v>
      </c>
      <c r="L431" t="s">
        <v>24</v>
      </c>
      <c r="M431" t="s">
        <v>41</v>
      </c>
      <c r="N431" t="s">
        <v>76</v>
      </c>
      <c r="O431">
        <f>SUMIFS(I431:I930,F431:F930,Table8[[#This Row],[Category]],N431:N930,Table8[[#This Row],[Region_Code]])</f>
        <v>7709.1999999999989</v>
      </c>
      <c r="P431" s="13">
        <f>SUMIFS(K431:K930,F431:F930,Table8[[#This Row],[Category]],N431:N930,Table8[[#This Row],[Region_Code]])</f>
        <v>2231.61</v>
      </c>
      <c r="Q431">
        <f>AVERAGEIFS(I431:I930,F431:F930,Table8[[#This Row],[Category]],N431:N930,Table8[[#This Row],[Region_Code]])</f>
        <v>963.64999999999986</v>
      </c>
      <c r="R431">
        <f>AVERAGEIFS(K431:K930,F431:F930,Table8[[#This Row],[Category]],N431:N930,Table8[[#This Row],[Region_Code]])</f>
        <v>278.95125000000002</v>
      </c>
    </row>
    <row r="432" spans="1:18" x14ac:dyDescent="0.3">
      <c r="A432" t="s">
        <v>898</v>
      </c>
      <c r="B432" t="s">
        <v>899</v>
      </c>
      <c r="C432" t="s">
        <v>369</v>
      </c>
      <c r="D432" t="s">
        <v>55</v>
      </c>
      <c r="E432" t="s">
        <v>137</v>
      </c>
      <c r="F432" t="s">
        <v>68</v>
      </c>
      <c r="G432">
        <v>23</v>
      </c>
      <c r="H432">
        <v>40.94</v>
      </c>
      <c r="I432">
        <v>941.62</v>
      </c>
      <c r="J432">
        <v>71.66</v>
      </c>
      <c r="K432">
        <v>225.96</v>
      </c>
      <c r="L432" t="s">
        <v>33</v>
      </c>
      <c r="M432" t="s">
        <v>41</v>
      </c>
      <c r="N432" t="s">
        <v>98</v>
      </c>
      <c r="O432">
        <f>SUMIFS(I432:I931,F432:F931,Table8[[#This Row],[Category]],N432:N931,Table8[[#This Row],[Region_Code]])</f>
        <v>5751.04</v>
      </c>
      <c r="P432" s="13">
        <f>SUMIFS(K432:K931,F432:F931,Table8[[#This Row],[Category]],N432:N931,Table8[[#This Row],[Region_Code]])</f>
        <v>1836.62</v>
      </c>
      <c r="Q432">
        <f>AVERAGEIFS(I432:I931,F432:F931,Table8[[#This Row],[Category]],N432:N931,Table8[[#This Row],[Region_Code]])</f>
        <v>1150.2080000000001</v>
      </c>
      <c r="R432">
        <f>AVERAGEIFS(K432:K931,F432:F931,Table8[[#This Row],[Category]],N432:N931,Table8[[#This Row],[Region_Code]])</f>
        <v>367.32399999999996</v>
      </c>
    </row>
    <row r="433" spans="1:18" x14ac:dyDescent="0.3">
      <c r="A433" t="s">
        <v>900</v>
      </c>
      <c r="B433" t="s">
        <v>612</v>
      </c>
      <c r="C433" t="s">
        <v>471</v>
      </c>
      <c r="D433" t="s">
        <v>241</v>
      </c>
      <c r="E433" t="s">
        <v>137</v>
      </c>
      <c r="F433" t="s">
        <v>68</v>
      </c>
      <c r="G433">
        <v>34</v>
      </c>
      <c r="H433">
        <v>41.77</v>
      </c>
      <c r="I433">
        <v>1420.18</v>
      </c>
      <c r="J433">
        <v>112.45</v>
      </c>
      <c r="K433">
        <v>355.73</v>
      </c>
      <c r="L433" t="s">
        <v>33</v>
      </c>
      <c r="M433" t="s">
        <v>41</v>
      </c>
      <c r="N433" t="s">
        <v>35</v>
      </c>
      <c r="O433">
        <f>SUMIFS(I433:I932,F433:F932,Table8[[#This Row],[Category]],N433:N932,Table8[[#This Row],[Region_Code]])</f>
        <v>8339.73</v>
      </c>
      <c r="P433" s="13">
        <f>SUMIFS(K433:K932,F433:F932,Table8[[#This Row],[Category]],N433:N932,Table8[[#This Row],[Region_Code]])</f>
        <v>2363.5</v>
      </c>
      <c r="Q433">
        <f>AVERAGEIFS(I433:I932,F433:F932,Table8[[#This Row],[Category]],N433:N932,Table8[[#This Row],[Region_Code]])</f>
        <v>1191.3899999999999</v>
      </c>
      <c r="R433">
        <f>AVERAGEIFS(K433:K932,F433:F932,Table8[[#This Row],[Category]],N433:N932,Table8[[#This Row],[Region_Code]])</f>
        <v>337.64285714285717</v>
      </c>
    </row>
    <row r="434" spans="1:18" x14ac:dyDescent="0.3">
      <c r="A434" t="s">
        <v>901</v>
      </c>
      <c r="B434" t="s">
        <v>902</v>
      </c>
      <c r="C434" t="s">
        <v>165</v>
      </c>
      <c r="D434" t="s">
        <v>70</v>
      </c>
      <c r="E434" t="s">
        <v>56</v>
      </c>
      <c r="F434" t="s">
        <v>57</v>
      </c>
      <c r="G434">
        <v>32</v>
      </c>
      <c r="H434">
        <v>69.98</v>
      </c>
      <c r="I434">
        <v>2239.36</v>
      </c>
      <c r="J434">
        <v>133.51</v>
      </c>
      <c r="K434">
        <v>825.85</v>
      </c>
      <c r="L434" t="s">
        <v>48</v>
      </c>
      <c r="M434" t="s">
        <v>25</v>
      </c>
      <c r="N434" t="s">
        <v>76</v>
      </c>
      <c r="O434">
        <f>SUMIFS(I434:I933,F434:F933,Table8[[#This Row],[Category]],N434:N933,Table8[[#This Row],[Region_Code]])</f>
        <v>5488.5</v>
      </c>
      <c r="P434" s="13">
        <f>SUMIFS(K434:K933,F434:F933,Table8[[#This Row],[Category]],N434:N933,Table8[[#This Row],[Region_Code]])</f>
        <v>1375.58</v>
      </c>
      <c r="Q434">
        <f>AVERAGEIFS(I434:I933,F434:F933,Table8[[#This Row],[Category]],N434:N933,Table8[[#This Row],[Region_Code]])</f>
        <v>1372.125</v>
      </c>
      <c r="R434">
        <f>AVERAGEIFS(K434:K933,F434:F933,Table8[[#This Row],[Category]],N434:N933,Table8[[#This Row],[Region_Code]])</f>
        <v>343.89499999999998</v>
      </c>
    </row>
    <row r="435" spans="1:18" x14ac:dyDescent="0.3">
      <c r="A435" t="s">
        <v>903</v>
      </c>
      <c r="B435" t="s">
        <v>810</v>
      </c>
      <c r="C435" t="s">
        <v>266</v>
      </c>
      <c r="D435" t="s">
        <v>31</v>
      </c>
      <c r="E435" t="s">
        <v>22</v>
      </c>
      <c r="F435" t="s">
        <v>23</v>
      </c>
      <c r="G435">
        <v>25</v>
      </c>
      <c r="H435">
        <v>42.91</v>
      </c>
      <c r="I435">
        <v>1072.75</v>
      </c>
      <c r="J435">
        <v>80.02</v>
      </c>
      <c r="K435">
        <v>117.73</v>
      </c>
      <c r="L435" t="s">
        <v>33</v>
      </c>
      <c r="M435" t="s">
        <v>34</v>
      </c>
      <c r="N435" t="s">
        <v>35</v>
      </c>
      <c r="O435">
        <f>SUMIFS(I435:I934,F435:F934,Table8[[#This Row],[Category]],N435:N934,Table8[[#This Row],[Region_Code]])</f>
        <v>2001.7</v>
      </c>
      <c r="P435" s="13">
        <f>SUMIFS(K435:K934,F435:F934,Table8[[#This Row],[Category]],N435:N934,Table8[[#This Row],[Region_Code]])</f>
        <v>496</v>
      </c>
      <c r="Q435">
        <f>AVERAGEIFS(I435:I934,F435:F934,Table8[[#This Row],[Category]],N435:N934,Table8[[#This Row],[Region_Code]])</f>
        <v>1000.85</v>
      </c>
      <c r="R435">
        <f>AVERAGEIFS(K435:K934,F435:F934,Table8[[#This Row],[Category]],N435:N934,Table8[[#This Row],[Region_Code]])</f>
        <v>248</v>
      </c>
    </row>
    <row r="436" spans="1:18" x14ac:dyDescent="0.3">
      <c r="A436" t="s">
        <v>904</v>
      </c>
      <c r="B436" t="s">
        <v>527</v>
      </c>
      <c r="C436" t="s">
        <v>643</v>
      </c>
      <c r="D436" t="s">
        <v>55</v>
      </c>
      <c r="E436" t="s">
        <v>86</v>
      </c>
      <c r="F436" t="s">
        <v>47</v>
      </c>
      <c r="G436">
        <v>7</v>
      </c>
      <c r="H436">
        <v>22.6</v>
      </c>
      <c r="I436">
        <v>158.19999999999999</v>
      </c>
      <c r="J436">
        <v>7.04</v>
      </c>
      <c r="K436">
        <v>61.91</v>
      </c>
      <c r="L436" t="s">
        <v>48</v>
      </c>
      <c r="M436" t="s">
        <v>25</v>
      </c>
      <c r="N436" t="s">
        <v>98</v>
      </c>
      <c r="O436">
        <f>SUMIFS(I436:I935,F436:F935,Table8[[#This Row],[Category]],N436:N935,Table8[[#This Row],[Region_Code]])</f>
        <v>4440.42</v>
      </c>
      <c r="P436" s="13">
        <f>SUMIFS(K436:K935,F436:F935,Table8[[#This Row],[Category]],N436:N935,Table8[[#This Row],[Region_Code]])</f>
        <v>1031.8700000000001</v>
      </c>
      <c r="Q436">
        <f>AVERAGEIFS(I436:I935,F436:F935,Table8[[#This Row],[Category]],N436:N935,Table8[[#This Row],[Region_Code]])</f>
        <v>888.08400000000006</v>
      </c>
      <c r="R436">
        <f>AVERAGEIFS(K436:K935,F436:F935,Table8[[#This Row],[Category]],N436:N935,Table8[[#This Row],[Region_Code]])</f>
        <v>206.37400000000002</v>
      </c>
    </row>
    <row r="437" spans="1:18" x14ac:dyDescent="0.3">
      <c r="A437" t="s">
        <v>905</v>
      </c>
      <c r="B437" t="s">
        <v>906</v>
      </c>
      <c r="C437" t="s">
        <v>145</v>
      </c>
      <c r="D437" t="s">
        <v>21</v>
      </c>
      <c r="E437" t="s">
        <v>86</v>
      </c>
      <c r="F437" t="s">
        <v>47</v>
      </c>
      <c r="G437">
        <v>48</v>
      </c>
      <c r="H437">
        <v>19.5</v>
      </c>
      <c r="I437">
        <v>936</v>
      </c>
      <c r="J437">
        <v>70.069999999999993</v>
      </c>
      <c r="K437">
        <v>253.93</v>
      </c>
      <c r="L437" t="s">
        <v>24</v>
      </c>
      <c r="M437" t="s">
        <v>34</v>
      </c>
      <c r="N437" t="s">
        <v>98</v>
      </c>
      <c r="O437">
        <f>SUMIFS(I437:I936,F437:F936,Table8[[#This Row],[Category]],N437:N936,Table8[[#This Row],[Region_Code]])</f>
        <v>4282.22</v>
      </c>
      <c r="P437" s="13">
        <f>SUMIFS(K437:K936,F437:F936,Table8[[#This Row],[Category]],N437:N936,Table8[[#This Row],[Region_Code]])</f>
        <v>969.95999999999992</v>
      </c>
      <c r="Q437">
        <f>AVERAGEIFS(I437:I936,F437:F936,Table8[[#This Row],[Category]],N437:N936,Table8[[#This Row],[Region_Code]])</f>
        <v>1070.5550000000001</v>
      </c>
      <c r="R437">
        <f>AVERAGEIFS(K437:K936,F437:F936,Table8[[#This Row],[Category]],N437:N936,Table8[[#This Row],[Region_Code]])</f>
        <v>242.48999999999998</v>
      </c>
    </row>
    <row r="438" spans="1:18" x14ac:dyDescent="0.3">
      <c r="A438" t="s">
        <v>907</v>
      </c>
      <c r="B438" t="s">
        <v>351</v>
      </c>
      <c r="C438" t="s">
        <v>40</v>
      </c>
      <c r="D438" t="s">
        <v>206</v>
      </c>
      <c r="E438" t="s">
        <v>56</v>
      </c>
      <c r="F438" t="s">
        <v>57</v>
      </c>
      <c r="G438">
        <v>32</v>
      </c>
      <c r="H438">
        <v>49.97</v>
      </c>
      <c r="I438">
        <v>1599.04</v>
      </c>
      <c r="J438">
        <v>43.1</v>
      </c>
      <c r="K438">
        <v>275.94</v>
      </c>
      <c r="L438" t="s">
        <v>33</v>
      </c>
      <c r="M438" t="s">
        <v>41</v>
      </c>
      <c r="N438" t="s">
        <v>207</v>
      </c>
      <c r="O438">
        <f>SUMIFS(I438:I937,F438:F937,Table8[[#This Row],[Category]],N438:N937,Table8[[#This Row],[Region_Code]])</f>
        <v>6453.74</v>
      </c>
      <c r="P438" s="13">
        <f>SUMIFS(K438:K937,F438:F937,Table8[[#This Row],[Category]],N438:N937,Table8[[#This Row],[Region_Code]])</f>
        <v>1503.1</v>
      </c>
      <c r="Q438">
        <f>AVERAGEIFS(I438:I937,F438:F937,Table8[[#This Row],[Category]],N438:N937,Table8[[#This Row],[Region_Code]])</f>
        <v>2151.2466666666664</v>
      </c>
      <c r="R438">
        <f>AVERAGEIFS(K438:K937,F438:F937,Table8[[#This Row],[Category]],N438:N937,Table8[[#This Row],[Region_Code]])</f>
        <v>501.0333333333333</v>
      </c>
    </row>
    <row r="439" spans="1:18" x14ac:dyDescent="0.3">
      <c r="A439" t="s">
        <v>908</v>
      </c>
      <c r="B439" t="s">
        <v>386</v>
      </c>
      <c r="C439" t="s">
        <v>20</v>
      </c>
      <c r="D439" t="s">
        <v>171</v>
      </c>
      <c r="E439" t="s">
        <v>81</v>
      </c>
      <c r="F439" t="s">
        <v>68</v>
      </c>
      <c r="G439">
        <v>41</v>
      </c>
      <c r="H439">
        <v>25.62</v>
      </c>
      <c r="I439">
        <v>1050.42</v>
      </c>
      <c r="J439">
        <v>79.2</v>
      </c>
      <c r="K439">
        <v>335.72</v>
      </c>
      <c r="L439" t="s">
        <v>24</v>
      </c>
      <c r="M439" t="s">
        <v>34</v>
      </c>
      <c r="N439" t="s">
        <v>35</v>
      </c>
      <c r="O439">
        <f>SUMIFS(I439:I938,F439:F938,Table8[[#This Row],[Category]],N439:N938,Table8[[#This Row],[Region_Code]])</f>
        <v>6919.55</v>
      </c>
      <c r="P439" s="13">
        <f>SUMIFS(K439:K938,F439:F938,Table8[[#This Row],[Category]],N439:N938,Table8[[#This Row],[Region_Code]])</f>
        <v>2007.7700000000002</v>
      </c>
      <c r="Q439">
        <f>AVERAGEIFS(I439:I938,F439:F938,Table8[[#This Row],[Category]],N439:N938,Table8[[#This Row],[Region_Code]])</f>
        <v>1153.2583333333334</v>
      </c>
      <c r="R439">
        <f>AVERAGEIFS(K439:K938,F439:F938,Table8[[#This Row],[Category]],N439:N938,Table8[[#This Row],[Region_Code]])</f>
        <v>334.62833333333339</v>
      </c>
    </row>
    <row r="440" spans="1:18" x14ac:dyDescent="0.3">
      <c r="A440" t="s">
        <v>909</v>
      </c>
      <c r="B440" t="s">
        <v>843</v>
      </c>
      <c r="C440" t="s">
        <v>465</v>
      </c>
      <c r="D440" t="s">
        <v>21</v>
      </c>
      <c r="E440" t="s">
        <v>86</v>
      </c>
      <c r="F440" t="s">
        <v>47</v>
      </c>
      <c r="G440">
        <v>46</v>
      </c>
      <c r="H440">
        <v>16.78</v>
      </c>
      <c r="I440">
        <v>771.88</v>
      </c>
      <c r="J440">
        <v>18.04</v>
      </c>
      <c r="K440">
        <v>167.34</v>
      </c>
      <c r="L440" t="s">
        <v>48</v>
      </c>
      <c r="M440" t="s">
        <v>41</v>
      </c>
      <c r="N440" t="s">
        <v>98</v>
      </c>
      <c r="O440">
        <f>SUMIFS(I440:I939,F440:F939,Table8[[#This Row],[Category]],N440:N939,Table8[[#This Row],[Region_Code]])</f>
        <v>3346.2200000000003</v>
      </c>
      <c r="P440" s="13">
        <f>SUMIFS(K440:K939,F440:F939,Table8[[#This Row],[Category]],N440:N939,Table8[[#This Row],[Region_Code]])</f>
        <v>716.03</v>
      </c>
      <c r="Q440">
        <f>AVERAGEIFS(I440:I939,F440:F939,Table8[[#This Row],[Category]],N440:N939,Table8[[#This Row],[Region_Code]])</f>
        <v>1115.4066666666668</v>
      </c>
      <c r="R440">
        <f>AVERAGEIFS(K440:K939,F440:F939,Table8[[#This Row],[Category]],N440:N939,Table8[[#This Row],[Region_Code]])</f>
        <v>238.67666666666665</v>
      </c>
    </row>
    <row r="441" spans="1:18" x14ac:dyDescent="0.3">
      <c r="A441" t="s">
        <v>910</v>
      </c>
      <c r="B441" t="s">
        <v>911</v>
      </c>
      <c r="C441" t="s">
        <v>505</v>
      </c>
      <c r="D441" t="s">
        <v>37</v>
      </c>
      <c r="E441" t="s">
        <v>46</v>
      </c>
      <c r="F441" t="s">
        <v>47</v>
      </c>
      <c r="G441">
        <v>16</v>
      </c>
      <c r="H441">
        <v>42.18</v>
      </c>
      <c r="I441">
        <v>674.88</v>
      </c>
      <c r="J441">
        <v>19.100000000000001</v>
      </c>
      <c r="K441">
        <v>143.78</v>
      </c>
      <c r="L441" t="s">
        <v>24</v>
      </c>
      <c r="M441" t="s">
        <v>41</v>
      </c>
      <c r="N441" t="s">
        <v>35</v>
      </c>
      <c r="O441">
        <f>SUMIFS(I441:I940,F441:F940,Table8[[#This Row],[Category]],N441:N940,Table8[[#This Row],[Region_Code]])</f>
        <v>3672.4300000000003</v>
      </c>
      <c r="P441" s="13">
        <f>SUMIFS(K441:K940,F441:F940,Table8[[#This Row],[Category]],N441:N940,Table8[[#This Row],[Region_Code]])</f>
        <v>1129.95</v>
      </c>
      <c r="Q441">
        <f>AVERAGEIFS(I441:I940,F441:F940,Table8[[#This Row],[Category]],N441:N940,Table8[[#This Row],[Region_Code]])</f>
        <v>612.07166666666672</v>
      </c>
      <c r="R441">
        <f>AVERAGEIFS(K441:K940,F441:F940,Table8[[#This Row],[Category]],N441:N940,Table8[[#This Row],[Region_Code]])</f>
        <v>188.32500000000002</v>
      </c>
    </row>
    <row r="442" spans="1:18" x14ac:dyDescent="0.3">
      <c r="A442" t="s">
        <v>912</v>
      </c>
      <c r="B442" t="s">
        <v>276</v>
      </c>
      <c r="C442" t="s">
        <v>113</v>
      </c>
      <c r="D442" t="s">
        <v>171</v>
      </c>
      <c r="E442" t="s">
        <v>74</v>
      </c>
      <c r="F442" t="s">
        <v>75</v>
      </c>
      <c r="G442">
        <v>12</v>
      </c>
      <c r="H442">
        <v>34.97</v>
      </c>
      <c r="I442">
        <v>419.64</v>
      </c>
      <c r="J442">
        <v>28.48</v>
      </c>
      <c r="K442">
        <v>91.16</v>
      </c>
      <c r="L442" t="s">
        <v>24</v>
      </c>
      <c r="M442" t="s">
        <v>25</v>
      </c>
      <c r="N442" t="s">
        <v>35</v>
      </c>
      <c r="O442">
        <f>SUMIFS(I442:I941,F442:F941,Table8[[#This Row],[Category]],N442:N941,Table8[[#This Row],[Region_Code]])</f>
        <v>2528.44</v>
      </c>
      <c r="P442" s="13">
        <f>SUMIFS(K442:K941,F442:F941,Table8[[#This Row],[Category]],N442:N941,Table8[[#This Row],[Region_Code]])</f>
        <v>505.43</v>
      </c>
      <c r="Q442">
        <f>AVERAGEIFS(I442:I941,F442:F941,Table8[[#This Row],[Category]],N442:N941,Table8[[#This Row],[Region_Code]])</f>
        <v>842.81333333333339</v>
      </c>
      <c r="R442">
        <f>AVERAGEIFS(K442:K941,F442:F941,Table8[[#This Row],[Category]],N442:N941,Table8[[#This Row],[Region_Code]])</f>
        <v>168.47666666666666</v>
      </c>
    </row>
    <row r="443" spans="1:18" x14ac:dyDescent="0.3">
      <c r="A443" t="s">
        <v>913</v>
      </c>
      <c r="B443" t="s">
        <v>218</v>
      </c>
      <c r="C443" t="s">
        <v>219</v>
      </c>
      <c r="D443" t="s">
        <v>45</v>
      </c>
      <c r="E443" t="s">
        <v>63</v>
      </c>
      <c r="F443" t="s">
        <v>47</v>
      </c>
      <c r="G443">
        <v>31</v>
      </c>
      <c r="H443">
        <v>33.619999999999997</v>
      </c>
      <c r="I443">
        <v>1042.22</v>
      </c>
      <c r="J443">
        <v>26.33</v>
      </c>
      <c r="K443">
        <v>395.89</v>
      </c>
      <c r="L443" t="s">
        <v>48</v>
      </c>
      <c r="M443" t="s">
        <v>41</v>
      </c>
      <c r="N443" t="s">
        <v>49</v>
      </c>
      <c r="O443">
        <f>SUMIFS(I443:I942,F443:F942,Table8[[#This Row],[Category]],N443:N942,Table8[[#This Row],[Region_Code]])</f>
        <v>3114.93</v>
      </c>
      <c r="P443" s="13">
        <f>SUMIFS(K443:K942,F443:F942,Table8[[#This Row],[Category]],N443:N942,Table8[[#This Row],[Region_Code]])</f>
        <v>889.29</v>
      </c>
      <c r="Q443">
        <f>AVERAGEIFS(I443:I942,F443:F942,Table8[[#This Row],[Category]],N443:N942,Table8[[#This Row],[Region_Code]])</f>
        <v>622.98599999999999</v>
      </c>
      <c r="R443">
        <f>AVERAGEIFS(K443:K942,F443:F942,Table8[[#This Row],[Category]],N443:N942,Table8[[#This Row],[Region_Code]])</f>
        <v>177.858</v>
      </c>
    </row>
    <row r="444" spans="1:18" x14ac:dyDescent="0.3">
      <c r="A444" t="s">
        <v>914</v>
      </c>
      <c r="B444" t="s">
        <v>306</v>
      </c>
      <c r="C444" t="s">
        <v>666</v>
      </c>
      <c r="D444" t="s">
        <v>123</v>
      </c>
      <c r="E444" t="s">
        <v>67</v>
      </c>
      <c r="F444" t="s">
        <v>68</v>
      </c>
      <c r="G444">
        <v>40</v>
      </c>
      <c r="H444">
        <v>30.56</v>
      </c>
      <c r="I444">
        <v>1222.4000000000001</v>
      </c>
      <c r="J444">
        <v>26.42</v>
      </c>
      <c r="K444">
        <v>295.98</v>
      </c>
      <c r="L444" t="s">
        <v>24</v>
      </c>
      <c r="M444" t="s">
        <v>25</v>
      </c>
      <c r="N444" t="s">
        <v>76</v>
      </c>
      <c r="O444">
        <f>SUMIFS(I444:I943,F444:F943,Table8[[#This Row],[Category]],N444:N943,Table8[[#This Row],[Region_Code]])</f>
        <v>6457.880000000001</v>
      </c>
      <c r="P444" s="13">
        <f>SUMIFS(K444:K943,F444:F943,Table8[[#This Row],[Category]],N444:N943,Table8[[#This Row],[Region_Code]])</f>
        <v>1959.6699999999998</v>
      </c>
      <c r="Q444">
        <f>AVERAGEIFS(I444:I943,F444:F943,Table8[[#This Row],[Category]],N444:N943,Table8[[#This Row],[Region_Code]])</f>
        <v>922.55428571428581</v>
      </c>
      <c r="R444">
        <f>AVERAGEIFS(K444:K943,F444:F943,Table8[[#This Row],[Category]],N444:N943,Table8[[#This Row],[Region_Code]])</f>
        <v>279.95285714285711</v>
      </c>
    </row>
    <row r="445" spans="1:18" x14ac:dyDescent="0.3">
      <c r="A445" t="s">
        <v>915</v>
      </c>
      <c r="B445" t="s">
        <v>916</v>
      </c>
      <c r="C445" t="s">
        <v>227</v>
      </c>
      <c r="D445" t="s">
        <v>241</v>
      </c>
      <c r="E445" t="s">
        <v>22</v>
      </c>
      <c r="F445" t="s">
        <v>23</v>
      </c>
      <c r="G445">
        <v>15</v>
      </c>
      <c r="H445">
        <v>61.93</v>
      </c>
      <c r="I445">
        <v>928.95</v>
      </c>
      <c r="J445">
        <v>25.68</v>
      </c>
      <c r="K445">
        <v>378.27</v>
      </c>
      <c r="L445" t="s">
        <v>33</v>
      </c>
      <c r="M445" t="s">
        <v>41</v>
      </c>
      <c r="N445" t="s">
        <v>35</v>
      </c>
      <c r="O445">
        <f>SUMIFS(I445:I944,F445:F944,Table8[[#This Row],[Category]],N445:N944,Table8[[#This Row],[Region_Code]])</f>
        <v>928.95</v>
      </c>
      <c r="P445" s="13">
        <f>SUMIFS(K445:K944,F445:F944,Table8[[#This Row],[Category]],N445:N944,Table8[[#This Row],[Region_Code]])</f>
        <v>378.27</v>
      </c>
      <c r="Q445">
        <f>AVERAGEIFS(I445:I944,F445:F944,Table8[[#This Row],[Category]],N445:N944,Table8[[#This Row],[Region_Code]])</f>
        <v>928.95</v>
      </c>
      <c r="R445">
        <f>AVERAGEIFS(K445:K944,F445:F944,Table8[[#This Row],[Category]],N445:N944,Table8[[#This Row],[Region_Code]])</f>
        <v>378.27</v>
      </c>
    </row>
    <row r="446" spans="1:18" x14ac:dyDescent="0.3">
      <c r="A446" t="s">
        <v>917</v>
      </c>
      <c r="B446" t="s">
        <v>918</v>
      </c>
      <c r="C446" t="s">
        <v>194</v>
      </c>
      <c r="D446" t="s">
        <v>51</v>
      </c>
      <c r="E446" t="s">
        <v>63</v>
      </c>
      <c r="F446" t="s">
        <v>47</v>
      </c>
      <c r="G446">
        <v>20</v>
      </c>
      <c r="H446">
        <v>35.770000000000003</v>
      </c>
      <c r="I446">
        <v>715.4</v>
      </c>
      <c r="J446">
        <v>39.229999999999997</v>
      </c>
      <c r="K446">
        <v>276.17</v>
      </c>
      <c r="L446" t="s">
        <v>24</v>
      </c>
      <c r="M446" t="s">
        <v>25</v>
      </c>
      <c r="N446" t="s">
        <v>76</v>
      </c>
      <c r="O446">
        <f>SUMIFS(I446:I945,F446:F945,Table8[[#This Row],[Category]],N446:N945,Table8[[#This Row],[Region_Code]])</f>
        <v>1796.27</v>
      </c>
      <c r="P446" s="13">
        <f>SUMIFS(K446:K945,F446:F945,Table8[[#This Row],[Category]],N446:N945,Table8[[#This Row],[Region_Code]])</f>
        <v>569.88</v>
      </c>
      <c r="Q446">
        <f>AVERAGEIFS(I446:I945,F446:F945,Table8[[#This Row],[Category]],N446:N945,Table8[[#This Row],[Region_Code]])</f>
        <v>449.0675</v>
      </c>
      <c r="R446">
        <f>AVERAGEIFS(K446:K945,F446:F945,Table8[[#This Row],[Category]],N446:N945,Table8[[#This Row],[Region_Code]])</f>
        <v>142.47</v>
      </c>
    </row>
    <row r="447" spans="1:18" x14ac:dyDescent="0.3">
      <c r="A447" t="s">
        <v>919</v>
      </c>
      <c r="B447" t="s">
        <v>860</v>
      </c>
      <c r="C447" t="s">
        <v>391</v>
      </c>
      <c r="D447" t="s">
        <v>31</v>
      </c>
      <c r="E447" t="s">
        <v>86</v>
      </c>
      <c r="F447" t="s">
        <v>47</v>
      </c>
      <c r="G447">
        <v>21</v>
      </c>
      <c r="H447">
        <v>22.48</v>
      </c>
      <c r="I447">
        <v>472.08</v>
      </c>
      <c r="J447">
        <v>12.96</v>
      </c>
      <c r="K447">
        <v>191.37</v>
      </c>
      <c r="L447" t="s">
        <v>33</v>
      </c>
      <c r="M447" t="s">
        <v>25</v>
      </c>
      <c r="N447" t="s">
        <v>35</v>
      </c>
      <c r="O447">
        <f>SUMIFS(I447:I946,F447:F946,Table8[[#This Row],[Category]],N447:N946,Table8[[#This Row],[Region_Code]])</f>
        <v>2997.55</v>
      </c>
      <c r="P447" s="13">
        <f>SUMIFS(K447:K946,F447:F946,Table8[[#This Row],[Category]],N447:N946,Table8[[#This Row],[Region_Code]])</f>
        <v>986.17000000000007</v>
      </c>
      <c r="Q447">
        <f>AVERAGEIFS(I447:I946,F447:F946,Table8[[#This Row],[Category]],N447:N946,Table8[[#This Row],[Region_Code]])</f>
        <v>599.51</v>
      </c>
      <c r="R447">
        <f>AVERAGEIFS(K447:K946,F447:F946,Table8[[#This Row],[Category]],N447:N946,Table8[[#This Row],[Region_Code]])</f>
        <v>197.23400000000001</v>
      </c>
    </row>
    <row r="448" spans="1:18" x14ac:dyDescent="0.3">
      <c r="A448" t="s">
        <v>920</v>
      </c>
      <c r="B448" t="s">
        <v>921</v>
      </c>
      <c r="C448" t="s">
        <v>437</v>
      </c>
      <c r="D448" t="s">
        <v>51</v>
      </c>
      <c r="E448" t="s">
        <v>32</v>
      </c>
      <c r="F448" t="s">
        <v>23</v>
      </c>
      <c r="G448">
        <v>8</v>
      </c>
      <c r="H448">
        <v>27.53</v>
      </c>
      <c r="I448">
        <v>220.24</v>
      </c>
      <c r="J448">
        <v>12.66</v>
      </c>
      <c r="K448">
        <v>63.58</v>
      </c>
      <c r="L448" t="s">
        <v>33</v>
      </c>
      <c r="M448" t="s">
        <v>34</v>
      </c>
      <c r="N448" t="s">
        <v>76</v>
      </c>
      <c r="O448">
        <f>SUMIFS(I448:I947,F448:F947,Table8[[#This Row],[Category]],N448:N947,Table8[[#This Row],[Region_Code]])</f>
        <v>2960.9300000000003</v>
      </c>
      <c r="P448" s="13">
        <f>SUMIFS(K448:K947,F448:F947,Table8[[#This Row],[Category]],N448:N947,Table8[[#This Row],[Region_Code]])</f>
        <v>898.67000000000007</v>
      </c>
      <c r="Q448">
        <f>AVERAGEIFS(I448:I947,F448:F947,Table8[[#This Row],[Category]],N448:N947,Table8[[#This Row],[Region_Code]])</f>
        <v>493.4883333333334</v>
      </c>
      <c r="R448">
        <f>AVERAGEIFS(K448:K947,F448:F947,Table8[[#This Row],[Category]],N448:N947,Table8[[#This Row],[Region_Code]])</f>
        <v>149.77833333333334</v>
      </c>
    </row>
    <row r="449" spans="1:18" x14ac:dyDescent="0.3">
      <c r="A449" t="s">
        <v>922</v>
      </c>
      <c r="B449" t="s">
        <v>300</v>
      </c>
      <c r="C449" t="s">
        <v>360</v>
      </c>
      <c r="D449" t="s">
        <v>70</v>
      </c>
      <c r="E449" t="s">
        <v>67</v>
      </c>
      <c r="F449" t="s">
        <v>68</v>
      </c>
      <c r="G449">
        <v>35</v>
      </c>
      <c r="H449">
        <v>39.65</v>
      </c>
      <c r="I449">
        <v>1387.75</v>
      </c>
      <c r="J449">
        <v>60.95</v>
      </c>
      <c r="K449">
        <v>539.29999999999995</v>
      </c>
      <c r="L449" t="s">
        <v>48</v>
      </c>
      <c r="M449" t="s">
        <v>34</v>
      </c>
      <c r="N449" t="s">
        <v>76</v>
      </c>
      <c r="O449">
        <f>SUMIFS(I449:I948,F449:F948,Table8[[#This Row],[Category]],N449:N948,Table8[[#This Row],[Region_Code]])</f>
        <v>5235.4799999999996</v>
      </c>
      <c r="P449" s="13">
        <f>SUMIFS(K449:K948,F449:F948,Table8[[#This Row],[Category]],N449:N948,Table8[[#This Row],[Region_Code]])</f>
        <v>1663.6899999999998</v>
      </c>
      <c r="Q449">
        <f>AVERAGEIFS(I449:I948,F449:F948,Table8[[#This Row],[Category]],N449:N948,Table8[[#This Row],[Region_Code]])</f>
        <v>872.57999999999993</v>
      </c>
      <c r="R449">
        <f>AVERAGEIFS(K449:K948,F449:F948,Table8[[#This Row],[Category]],N449:N948,Table8[[#This Row],[Region_Code]])</f>
        <v>277.28166666666664</v>
      </c>
    </row>
    <row r="450" spans="1:18" x14ac:dyDescent="0.3">
      <c r="A450" t="s">
        <v>923</v>
      </c>
      <c r="B450" t="s">
        <v>924</v>
      </c>
      <c r="C450" t="s">
        <v>288</v>
      </c>
      <c r="D450" t="s">
        <v>141</v>
      </c>
      <c r="E450" t="s">
        <v>81</v>
      </c>
      <c r="F450" t="s">
        <v>68</v>
      </c>
      <c r="G450">
        <v>50</v>
      </c>
      <c r="H450">
        <v>23.68</v>
      </c>
      <c r="I450">
        <v>1184</v>
      </c>
      <c r="J450">
        <v>46.62</v>
      </c>
      <c r="K450">
        <v>362.38</v>
      </c>
      <c r="L450" t="s">
        <v>33</v>
      </c>
      <c r="M450" t="s">
        <v>34</v>
      </c>
      <c r="N450" t="s">
        <v>142</v>
      </c>
      <c r="O450">
        <f>SUMIFS(I450:I949,F450:F949,Table8[[#This Row],[Category]],N450:N949,Table8[[#This Row],[Region_Code]])</f>
        <v>1630.88</v>
      </c>
      <c r="P450" s="13">
        <f>SUMIFS(K450:K949,F450:F949,Table8[[#This Row],[Category]],N450:N949,Table8[[#This Row],[Region_Code]])</f>
        <v>410.35</v>
      </c>
      <c r="Q450">
        <f>AVERAGEIFS(I450:I949,F450:F949,Table8[[#This Row],[Category]],N450:N949,Table8[[#This Row],[Region_Code]])</f>
        <v>815.44</v>
      </c>
      <c r="R450">
        <f>AVERAGEIFS(K450:K949,F450:F949,Table8[[#This Row],[Category]],N450:N949,Table8[[#This Row],[Region_Code]])</f>
        <v>205.17500000000001</v>
      </c>
    </row>
    <row r="451" spans="1:18" x14ac:dyDescent="0.3">
      <c r="A451" t="s">
        <v>925</v>
      </c>
      <c r="B451" t="s">
        <v>703</v>
      </c>
      <c r="C451" t="s">
        <v>290</v>
      </c>
      <c r="D451" t="s">
        <v>123</v>
      </c>
      <c r="E451" t="s">
        <v>86</v>
      </c>
      <c r="F451" t="s">
        <v>47</v>
      </c>
      <c r="G451">
        <v>5</v>
      </c>
      <c r="H451">
        <v>19.809999999999999</v>
      </c>
      <c r="I451">
        <v>99.05</v>
      </c>
      <c r="J451">
        <v>5.91</v>
      </c>
      <c r="K451">
        <v>29.39</v>
      </c>
      <c r="L451" t="s">
        <v>33</v>
      </c>
      <c r="M451" t="s">
        <v>41</v>
      </c>
      <c r="N451" t="s">
        <v>76</v>
      </c>
      <c r="O451">
        <f>SUMIFS(I451:I950,F451:F950,Table8[[#This Row],[Category]],N451:N950,Table8[[#This Row],[Region_Code]])</f>
        <v>1080.8699999999999</v>
      </c>
      <c r="P451" s="13">
        <f>SUMIFS(K451:K950,F451:F950,Table8[[#This Row],[Category]],N451:N950,Table8[[#This Row],[Region_Code]])</f>
        <v>293.71000000000004</v>
      </c>
      <c r="Q451">
        <f>AVERAGEIFS(I451:I950,F451:F950,Table8[[#This Row],[Category]],N451:N950,Table8[[#This Row],[Region_Code]])</f>
        <v>360.28999999999996</v>
      </c>
      <c r="R451">
        <f>AVERAGEIFS(K451:K950,F451:F950,Table8[[#This Row],[Category]],N451:N950,Table8[[#This Row],[Region_Code]])</f>
        <v>97.90333333333335</v>
      </c>
    </row>
    <row r="452" spans="1:18" x14ac:dyDescent="0.3">
      <c r="A452" t="s">
        <v>926</v>
      </c>
      <c r="B452" t="s">
        <v>243</v>
      </c>
      <c r="C452" t="s">
        <v>126</v>
      </c>
      <c r="D452" t="s">
        <v>45</v>
      </c>
      <c r="E452" t="s">
        <v>86</v>
      </c>
      <c r="F452" t="s">
        <v>47</v>
      </c>
      <c r="G452">
        <v>27</v>
      </c>
      <c r="H452">
        <v>18.03</v>
      </c>
      <c r="I452">
        <v>486.81</v>
      </c>
      <c r="J452">
        <v>36.630000000000003</v>
      </c>
      <c r="K452">
        <v>105.93</v>
      </c>
      <c r="L452" t="s">
        <v>24</v>
      </c>
      <c r="M452" t="s">
        <v>41</v>
      </c>
      <c r="N452" t="s">
        <v>49</v>
      </c>
      <c r="O452">
        <f>SUMIFS(I452:I951,F452:F951,Table8[[#This Row],[Category]],N452:N951,Table8[[#This Row],[Region_Code]])</f>
        <v>2072.71</v>
      </c>
      <c r="P452" s="13">
        <f>SUMIFS(K452:K951,F452:F951,Table8[[#This Row],[Category]],N452:N951,Table8[[#This Row],[Region_Code]])</f>
        <v>493.40000000000003</v>
      </c>
      <c r="Q452">
        <f>AVERAGEIFS(I452:I951,F452:F951,Table8[[#This Row],[Category]],N452:N951,Table8[[#This Row],[Region_Code]])</f>
        <v>518.17750000000001</v>
      </c>
      <c r="R452">
        <f>AVERAGEIFS(K452:K951,F452:F951,Table8[[#This Row],[Category]],N452:N951,Table8[[#This Row],[Region_Code]])</f>
        <v>123.35000000000001</v>
      </c>
    </row>
    <row r="453" spans="1:18" x14ac:dyDescent="0.3">
      <c r="A453" t="s">
        <v>927</v>
      </c>
      <c r="B453" t="s">
        <v>928</v>
      </c>
      <c r="C453" t="s">
        <v>417</v>
      </c>
      <c r="D453" t="s">
        <v>141</v>
      </c>
      <c r="E453" t="s">
        <v>32</v>
      </c>
      <c r="F453" t="s">
        <v>23</v>
      </c>
      <c r="G453">
        <v>45</v>
      </c>
      <c r="H453">
        <v>26.93</v>
      </c>
      <c r="I453">
        <v>1211.8499999999999</v>
      </c>
      <c r="J453">
        <v>62.85</v>
      </c>
      <c r="K453">
        <v>339</v>
      </c>
      <c r="L453" t="s">
        <v>33</v>
      </c>
      <c r="M453" t="s">
        <v>34</v>
      </c>
      <c r="N453" t="s">
        <v>142</v>
      </c>
      <c r="O453">
        <f>SUMIFS(I453:I952,F453:F952,Table8[[#This Row],[Category]],N453:N952,Table8[[#This Row],[Region_Code]])</f>
        <v>1765.5099999999998</v>
      </c>
      <c r="P453" s="13">
        <f>SUMIFS(K453:K952,F453:F952,Table8[[#This Row],[Category]],N453:N952,Table8[[#This Row],[Region_Code]])</f>
        <v>530.96</v>
      </c>
      <c r="Q453">
        <f>AVERAGEIFS(I453:I952,F453:F952,Table8[[#This Row],[Category]],N453:N952,Table8[[#This Row],[Region_Code]])</f>
        <v>882.75499999999988</v>
      </c>
      <c r="R453">
        <f>AVERAGEIFS(K453:K952,F453:F952,Table8[[#This Row],[Category]],N453:N952,Table8[[#This Row],[Region_Code]])</f>
        <v>265.48</v>
      </c>
    </row>
    <row r="454" spans="1:18" x14ac:dyDescent="0.3">
      <c r="A454" t="s">
        <v>929</v>
      </c>
      <c r="B454" t="s">
        <v>930</v>
      </c>
      <c r="C454" t="s">
        <v>505</v>
      </c>
      <c r="D454" t="s">
        <v>37</v>
      </c>
      <c r="E454" t="s">
        <v>63</v>
      </c>
      <c r="F454" t="s">
        <v>47</v>
      </c>
      <c r="G454">
        <v>40</v>
      </c>
      <c r="H454">
        <v>32.54</v>
      </c>
      <c r="I454">
        <v>1301.5999999999999</v>
      </c>
      <c r="J454">
        <v>47.06</v>
      </c>
      <c r="K454">
        <v>454.54</v>
      </c>
      <c r="L454" t="s">
        <v>24</v>
      </c>
      <c r="M454" t="s">
        <v>34</v>
      </c>
      <c r="N454" t="s">
        <v>35</v>
      </c>
      <c r="O454">
        <f>SUMIFS(I454:I953,F454:F953,Table8[[#This Row],[Category]],N454:N953,Table8[[#This Row],[Region_Code]])</f>
        <v>2525.4700000000003</v>
      </c>
      <c r="P454" s="13">
        <f>SUMIFS(K454:K953,F454:F953,Table8[[#This Row],[Category]],N454:N953,Table8[[#This Row],[Region_Code]])</f>
        <v>794.8</v>
      </c>
      <c r="Q454">
        <f>AVERAGEIFS(I454:I953,F454:F953,Table8[[#This Row],[Category]],N454:N953,Table8[[#This Row],[Region_Code]])</f>
        <v>631.36750000000006</v>
      </c>
      <c r="R454">
        <f>AVERAGEIFS(K454:K953,F454:F953,Table8[[#This Row],[Category]],N454:N953,Table8[[#This Row],[Region_Code]])</f>
        <v>198.7</v>
      </c>
    </row>
    <row r="455" spans="1:18" x14ac:dyDescent="0.3">
      <c r="A455" t="s">
        <v>931</v>
      </c>
      <c r="B455" t="s">
        <v>892</v>
      </c>
      <c r="C455" t="s">
        <v>140</v>
      </c>
      <c r="D455" t="s">
        <v>70</v>
      </c>
      <c r="E455" t="s">
        <v>67</v>
      </c>
      <c r="F455" t="s">
        <v>68</v>
      </c>
      <c r="G455">
        <v>26</v>
      </c>
      <c r="H455">
        <v>35.32</v>
      </c>
      <c r="I455">
        <v>918.32</v>
      </c>
      <c r="J455">
        <v>60.02</v>
      </c>
      <c r="K455">
        <v>273.3</v>
      </c>
      <c r="L455" t="s">
        <v>48</v>
      </c>
      <c r="M455" t="s">
        <v>25</v>
      </c>
      <c r="N455" t="s">
        <v>76</v>
      </c>
      <c r="O455">
        <f>SUMIFS(I455:I954,F455:F954,Table8[[#This Row],[Category]],N455:N954,Table8[[#This Row],[Region_Code]])</f>
        <v>3847.73</v>
      </c>
      <c r="P455" s="13">
        <f>SUMIFS(K455:K954,F455:F954,Table8[[#This Row],[Category]],N455:N954,Table8[[#This Row],[Region_Code]])</f>
        <v>1124.3899999999999</v>
      </c>
      <c r="Q455">
        <f>AVERAGEIFS(I455:I954,F455:F954,Table8[[#This Row],[Category]],N455:N954,Table8[[#This Row],[Region_Code]])</f>
        <v>769.54600000000005</v>
      </c>
      <c r="R455">
        <f>AVERAGEIFS(K455:K954,F455:F954,Table8[[#This Row],[Category]],N455:N954,Table8[[#This Row],[Region_Code]])</f>
        <v>224.87799999999999</v>
      </c>
    </row>
    <row r="456" spans="1:18" x14ac:dyDescent="0.3">
      <c r="A456" t="s">
        <v>932</v>
      </c>
      <c r="B456" t="s">
        <v>921</v>
      </c>
      <c r="C456" t="s">
        <v>151</v>
      </c>
      <c r="D456" t="s">
        <v>45</v>
      </c>
      <c r="E456" t="s">
        <v>86</v>
      </c>
      <c r="F456" t="s">
        <v>47</v>
      </c>
      <c r="G456">
        <v>16</v>
      </c>
      <c r="H456">
        <v>16.440000000000001</v>
      </c>
      <c r="I456">
        <v>263.04000000000002</v>
      </c>
      <c r="J456">
        <v>17.64</v>
      </c>
      <c r="K456">
        <v>41.4</v>
      </c>
      <c r="L456" t="s">
        <v>24</v>
      </c>
      <c r="M456" t="s">
        <v>25</v>
      </c>
      <c r="N456" t="s">
        <v>49</v>
      </c>
      <c r="O456">
        <f>SUMIFS(I456:I955,F456:F955,Table8[[#This Row],[Category]],N456:N955,Table8[[#This Row],[Region_Code]])</f>
        <v>1585.9</v>
      </c>
      <c r="P456" s="13">
        <f>SUMIFS(K456:K955,F456:F955,Table8[[#This Row],[Category]],N456:N955,Table8[[#This Row],[Region_Code]])</f>
        <v>387.46999999999997</v>
      </c>
      <c r="Q456">
        <f>AVERAGEIFS(I456:I955,F456:F955,Table8[[#This Row],[Category]],N456:N955,Table8[[#This Row],[Region_Code]])</f>
        <v>528.63333333333333</v>
      </c>
      <c r="R456">
        <f>AVERAGEIFS(K456:K955,F456:F955,Table8[[#This Row],[Category]],N456:N955,Table8[[#This Row],[Region_Code]])</f>
        <v>129.15666666666667</v>
      </c>
    </row>
    <row r="457" spans="1:18" x14ac:dyDescent="0.3">
      <c r="A457" t="s">
        <v>933</v>
      </c>
      <c r="B457" t="s">
        <v>319</v>
      </c>
      <c r="C457" t="s">
        <v>360</v>
      </c>
      <c r="D457" t="s">
        <v>171</v>
      </c>
      <c r="E457" t="s">
        <v>137</v>
      </c>
      <c r="F457" t="s">
        <v>68</v>
      </c>
      <c r="G457">
        <v>39</v>
      </c>
      <c r="H457">
        <v>46.27</v>
      </c>
      <c r="I457">
        <v>1804.53</v>
      </c>
      <c r="J457">
        <v>38.57</v>
      </c>
      <c r="K457">
        <v>673.96</v>
      </c>
      <c r="L457" t="s">
        <v>48</v>
      </c>
      <c r="M457" t="s">
        <v>41</v>
      </c>
      <c r="N457" t="s">
        <v>35</v>
      </c>
      <c r="O457">
        <f>SUMIFS(I457:I956,F457:F956,Table8[[#This Row],[Category]],N457:N956,Table8[[#This Row],[Region_Code]])</f>
        <v>5869.13</v>
      </c>
      <c r="P457" s="13">
        <f>SUMIFS(K457:K956,F457:F956,Table8[[#This Row],[Category]],N457:N956,Table8[[#This Row],[Region_Code]])</f>
        <v>1672.0500000000004</v>
      </c>
      <c r="Q457">
        <f>AVERAGEIFS(I457:I956,F457:F956,Table8[[#This Row],[Category]],N457:N956,Table8[[#This Row],[Region_Code]])</f>
        <v>1173.826</v>
      </c>
      <c r="R457">
        <f>AVERAGEIFS(K457:K956,F457:F956,Table8[[#This Row],[Category]],N457:N956,Table8[[#This Row],[Region_Code]])</f>
        <v>334.41000000000008</v>
      </c>
    </row>
    <row r="458" spans="1:18" x14ac:dyDescent="0.3">
      <c r="A458" t="s">
        <v>934</v>
      </c>
      <c r="B458" t="s">
        <v>745</v>
      </c>
      <c r="C458" t="s">
        <v>246</v>
      </c>
      <c r="D458" t="s">
        <v>31</v>
      </c>
      <c r="E458" t="s">
        <v>74</v>
      </c>
      <c r="F458" t="s">
        <v>75</v>
      </c>
      <c r="G458">
        <v>15</v>
      </c>
      <c r="H458">
        <v>33.22</v>
      </c>
      <c r="I458">
        <v>498.3</v>
      </c>
      <c r="J458">
        <v>36.85</v>
      </c>
      <c r="K458">
        <v>86.45</v>
      </c>
      <c r="L458" t="s">
        <v>48</v>
      </c>
      <c r="M458" t="s">
        <v>41</v>
      </c>
      <c r="N458" t="s">
        <v>35</v>
      </c>
      <c r="O458">
        <f>SUMIFS(I458:I957,F458:F957,Table8[[#This Row],[Category]],N458:N957,Table8[[#This Row],[Region_Code]])</f>
        <v>2108.8000000000002</v>
      </c>
      <c r="P458" s="13">
        <f>SUMIFS(K458:K957,F458:F957,Table8[[#This Row],[Category]],N458:N957,Table8[[#This Row],[Region_Code]])</f>
        <v>414.27</v>
      </c>
      <c r="Q458">
        <f>AVERAGEIFS(I458:I957,F458:F957,Table8[[#This Row],[Category]],N458:N957,Table8[[#This Row],[Region_Code]])</f>
        <v>1054.4000000000001</v>
      </c>
      <c r="R458">
        <f>AVERAGEIFS(K458:K957,F458:F957,Table8[[#This Row],[Category]],N458:N957,Table8[[#This Row],[Region_Code]])</f>
        <v>207.13499999999999</v>
      </c>
    </row>
    <row r="459" spans="1:18" x14ac:dyDescent="0.3">
      <c r="A459" t="s">
        <v>935</v>
      </c>
      <c r="B459" t="s">
        <v>696</v>
      </c>
      <c r="C459" t="s">
        <v>328</v>
      </c>
      <c r="D459" t="s">
        <v>141</v>
      </c>
      <c r="E459" t="s">
        <v>56</v>
      </c>
      <c r="F459" t="s">
        <v>57</v>
      </c>
      <c r="G459">
        <v>35</v>
      </c>
      <c r="H459">
        <v>71.02</v>
      </c>
      <c r="I459">
        <v>2485.6999999999998</v>
      </c>
      <c r="J459">
        <v>137.22</v>
      </c>
      <c r="K459">
        <v>948.48</v>
      </c>
      <c r="L459" t="s">
        <v>33</v>
      </c>
      <c r="M459" t="s">
        <v>34</v>
      </c>
      <c r="N459" t="s">
        <v>142</v>
      </c>
      <c r="O459">
        <f>SUMIFS(I459:I958,F459:F958,Table8[[#This Row],[Category]],N459:N958,Table8[[#This Row],[Region_Code]])</f>
        <v>2485.6999999999998</v>
      </c>
      <c r="P459" s="13">
        <f>SUMIFS(K459:K958,F459:F958,Table8[[#This Row],[Category]],N459:N958,Table8[[#This Row],[Region_Code]])</f>
        <v>948.48</v>
      </c>
      <c r="Q459">
        <f>AVERAGEIFS(I459:I958,F459:F958,Table8[[#This Row],[Category]],N459:N958,Table8[[#This Row],[Region_Code]])</f>
        <v>2485.6999999999998</v>
      </c>
      <c r="R459">
        <f>AVERAGEIFS(K459:K958,F459:F958,Table8[[#This Row],[Category]],N459:N958,Table8[[#This Row],[Region_Code]])</f>
        <v>948.48</v>
      </c>
    </row>
    <row r="460" spans="1:18" x14ac:dyDescent="0.3">
      <c r="A460" t="s">
        <v>936</v>
      </c>
      <c r="B460" t="s">
        <v>561</v>
      </c>
      <c r="C460" t="s">
        <v>165</v>
      </c>
      <c r="D460" t="s">
        <v>123</v>
      </c>
      <c r="E460" t="s">
        <v>137</v>
      </c>
      <c r="F460" t="s">
        <v>68</v>
      </c>
      <c r="G460">
        <v>2</v>
      </c>
      <c r="H460">
        <v>42.31</v>
      </c>
      <c r="I460">
        <v>84.62</v>
      </c>
      <c r="J460">
        <v>4.28</v>
      </c>
      <c r="K460">
        <v>24.34</v>
      </c>
      <c r="L460" t="s">
        <v>33</v>
      </c>
      <c r="M460" t="s">
        <v>34</v>
      </c>
      <c r="N460" t="s">
        <v>76</v>
      </c>
      <c r="O460">
        <f>SUMIFS(I460:I959,F460:F959,Table8[[#This Row],[Category]],N460:N959,Table8[[#This Row],[Region_Code]])</f>
        <v>2929.41</v>
      </c>
      <c r="P460" s="13">
        <f>SUMIFS(K460:K959,F460:F959,Table8[[#This Row],[Category]],N460:N959,Table8[[#This Row],[Region_Code]])</f>
        <v>851.08999999999992</v>
      </c>
      <c r="Q460">
        <f>AVERAGEIFS(I460:I959,F460:F959,Table8[[#This Row],[Category]],N460:N959,Table8[[#This Row],[Region_Code]])</f>
        <v>732.35249999999996</v>
      </c>
      <c r="R460">
        <f>AVERAGEIFS(K460:K959,F460:F959,Table8[[#This Row],[Category]],N460:N959,Table8[[#This Row],[Region_Code]])</f>
        <v>212.77249999999998</v>
      </c>
    </row>
    <row r="461" spans="1:18" x14ac:dyDescent="0.3">
      <c r="A461" t="s">
        <v>937</v>
      </c>
      <c r="B461" t="s">
        <v>153</v>
      </c>
      <c r="C461" t="s">
        <v>148</v>
      </c>
      <c r="D461" t="s">
        <v>116</v>
      </c>
      <c r="E461" t="s">
        <v>74</v>
      </c>
      <c r="F461" t="s">
        <v>75</v>
      </c>
      <c r="G461">
        <v>8</v>
      </c>
      <c r="H461">
        <v>41.36</v>
      </c>
      <c r="I461">
        <v>330.88</v>
      </c>
      <c r="J461">
        <v>11.78</v>
      </c>
      <c r="K461">
        <v>119.1</v>
      </c>
      <c r="L461" t="s">
        <v>24</v>
      </c>
      <c r="M461" t="s">
        <v>25</v>
      </c>
      <c r="N461" t="s">
        <v>76</v>
      </c>
      <c r="O461">
        <f>SUMIFS(I461:I960,F461:F960,Table8[[#This Row],[Category]],N461:N960,Table8[[#This Row],[Region_Code]])</f>
        <v>2553.2800000000002</v>
      </c>
      <c r="P461" s="13">
        <f>SUMIFS(K461:K960,F461:F960,Table8[[#This Row],[Category]],N461:N960,Table8[[#This Row],[Region_Code]])</f>
        <v>702.26</v>
      </c>
      <c r="Q461">
        <f>AVERAGEIFS(I461:I960,F461:F960,Table8[[#This Row],[Category]],N461:N960,Table8[[#This Row],[Region_Code]])</f>
        <v>851.09333333333336</v>
      </c>
      <c r="R461">
        <f>AVERAGEIFS(K461:K960,F461:F960,Table8[[#This Row],[Category]],N461:N960,Table8[[#This Row],[Region_Code]])</f>
        <v>234.08666666666667</v>
      </c>
    </row>
    <row r="462" spans="1:18" x14ac:dyDescent="0.3">
      <c r="A462" t="s">
        <v>938</v>
      </c>
      <c r="B462" t="s">
        <v>939</v>
      </c>
      <c r="C462" t="s">
        <v>194</v>
      </c>
      <c r="D462" t="s">
        <v>55</v>
      </c>
      <c r="E462" t="s">
        <v>32</v>
      </c>
      <c r="F462" t="s">
        <v>23</v>
      </c>
      <c r="G462">
        <v>3</v>
      </c>
      <c r="H462">
        <v>31.39</v>
      </c>
      <c r="I462">
        <v>94.17</v>
      </c>
      <c r="J462">
        <v>2.52</v>
      </c>
      <c r="K462">
        <v>37.65</v>
      </c>
      <c r="L462" t="s">
        <v>48</v>
      </c>
      <c r="M462" t="s">
        <v>41</v>
      </c>
      <c r="N462" t="s">
        <v>98</v>
      </c>
      <c r="O462">
        <f>SUMIFS(I462:I961,F462:F961,Table8[[#This Row],[Category]],N462:N961,Table8[[#This Row],[Region_Code]])</f>
        <v>769.46999999999991</v>
      </c>
      <c r="P462" s="13">
        <f>SUMIFS(K462:K961,F462:F961,Table8[[#This Row],[Category]],N462:N961,Table8[[#This Row],[Region_Code]])</f>
        <v>146.69</v>
      </c>
      <c r="Q462">
        <f>AVERAGEIFS(I462:I961,F462:F961,Table8[[#This Row],[Category]],N462:N961,Table8[[#This Row],[Region_Code]])</f>
        <v>384.73499999999996</v>
      </c>
      <c r="R462">
        <f>AVERAGEIFS(K462:K961,F462:F961,Table8[[#This Row],[Category]],N462:N961,Table8[[#This Row],[Region_Code]])</f>
        <v>73.344999999999999</v>
      </c>
    </row>
    <row r="463" spans="1:18" x14ac:dyDescent="0.3">
      <c r="A463" t="s">
        <v>940</v>
      </c>
      <c r="B463" t="s">
        <v>941</v>
      </c>
      <c r="C463" t="s">
        <v>232</v>
      </c>
      <c r="D463" t="s">
        <v>171</v>
      </c>
      <c r="E463" t="s">
        <v>67</v>
      </c>
      <c r="F463" t="s">
        <v>68</v>
      </c>
      <c r="G463">
        <v>48</v>
      </c>
      <c r="H463">
        <v>33.61</v>
      </c>
      <c r="I463">
        <v>1613.28</v>
      </c>
      <c r="J463">
        <v>109.92</v>
      </c>
      <c r="K463">
        <v>423.36</v>
      </c>
      <c r="L463" t="s">
        <v>24</v>
      </c>
      <c r="M463" t="s">
        <v>41</v>
      </c>
      <c r="N463" t="s">
        <v>35</v>
      </c>
      <c r="O463">
        <f>SUMIFS(I463:I962,F463:F962,Table8[[#This Row],[Category]],N463:N962,Table8[[#This Row],[Region_Code]])</f>
        <v>4064.6</v>
      </c>
      <c r="P463" s="13">
        <f>SUMIFS(K463:K962,F463:F962,Table8[[#This Row],[Category]],N463:N962,Table8[[#This Row],[Region_Code]])</f>
        <v>998.09</v>
      </c>
      <c r="Q463">
        <f>AVERAGEIFS(I463:I962,F463:F962,Table8[[#This Row],[Category]],N463:N962,Table8[[#This Row],[Region_Code]])</f>
        <v>1016.15</v>
      </c>
      <c r="R463">
        <f>AVERAGEIFS(K463:K962,F463:F962,Table8[[#This Row],[Category]],N463:N962,Table8[[#This Row],[Region_Code]])</f>
        <v>249.52250000000001</v>
      </c>
    </row>
    <row r="464" spans="1:18" x14ac:dyDescent="0.3">
      <c r="A464" t="s">
        <v>942</v>
      </c>
      <c r="B464" t="s">
        <v>943</v>
      </c>
      <c r="C464" t="s">
        <v>277</v>
      </c>
      <c r="D464" t="s">
        <v>241</v>
      </c>
      <c r="E464" t="s">
        <v>46</v>
      </c>
      <c r="F464" t="s">
        <v>47</v>
      </c>
      <c r="G464">
        <v>9</v>
      </c>
      <c r="H464">
        <v>50.29</v>
      </c>
      <c r="I464">
        <v>452.61</v>
      </c>
      <c r="J464">
        <v>32.93</v>
      </c>
      <c r="K464">
        <v>131.68</v>
      </c>
      <c r="L464" t="s">
        <v>33</v>
      </c>
      <c r="M464" t="s">
        <v>41</v>
      </c>
      <c r="N464" t="s">
        <v>35</v>
      </c>
      <c r="O464">
        <f>SUMIFS(I464:I963,F464:F963,Table8[[#This Row],[Category]],N464:N963,Table8[[#This Row],[Region_Code]])</f>
        <v>1223.8699999999999</v>
      </c>
      <c r="P464" s="13">
        <f>SUMIFS(K464:K963,F464:F963,Table8[[#This Row],[Category]],N464:N963,Table8[[#This Row],[Region_Code]])</f>
        <v>340.26</v>
      </c>
      <c r="Q464">
        <f>AVERAGEIFS(I464:I963,F464:F963,Table8[[#This Row],[Category]],N464:N963,Table8[[#This Row],[Region_Code]])</f>
        <v>407.95666666666665</v>
      </c>
      <c r="R464">
        <f>AVERAGEIFS(K464:K963,F464:F963,Table8[[#This Row],[Category]],N464:N963,Table8[[#This Row],[Region_Code]])</f>
        <v>113.42</v>
      </c>
    </row>
    <row r="465" spans="1:18" x14ac:dyDescent="0.3">
      <c r="A465" t="s">
        <v>944</v>
      </c>
      <c r="B465" t="s">
        <v>945</v>
      </c>
      <c r="C465" t="s">
        <v>232</v>
      </c>
      <c r="D465" t="s">
        <v>21</v>
      </c>
      <c r="E465" t="s">
        <v>67</v>
      </c>
      <c r="F465" t="s">
        <v>68</v>
      </c>
      <c r="G465">
        <v>12</v>
      </c>
      <c r="H465">
        <v>34.96</v>
      </c>
      <c r="I465">
        <v>419.52</v>
      </c>
      <c r="J465">
        <v>15.43</v>
      </c>
      <c r="K465">
        <v>134.09</v>
      </c>
      <c r="L465" t="s">
        <v>33</v>
      </c>
      <c r="M465" t="s">
        <v>41</v>
      </c>
      <c r="N465" t="s">
        <v>98</v>
      </c>
      <c r="O465">
        <f>SUMIFS(I465:I964,F465:F964,Table8[[#This Row],[Category]],N465:N964,Table8[[#This Row],[Region_Code]])</f>
        <v>4809.42</v>
      </c>
      <c r="P465" s="13">
        <f>SUMIFS(K465:K964,F465:F964,Table8[[#This Row],[Category]],N465:N964,Table8[[#This Row],[Region_Code]])</f>
        <v>1610.6599999999999</v>
      </c>
      <c r="Q465">
        <f>AVERAGEIFS(I465:I964,F465:F964,Table8[[#This Row],[Category]],N465:N964,Table8[[#This Row],[Region_Code]])</f>
        <v>1202.355</v>
      </c>
      <c r="R465">
        <f>AVERAGEIFS(K465:K964,F465:F964,Table8[[#This Row],[Category]],N465:N964,Table8[[#This Row],[Region_Code]])</f>
        <v>402.66499999999996</v>
      </c>
    </row>
    <row r="466" spans="1:18" x14ac:dyDescent="0.3">
      <c r="A466" t="s">
        <v>946</v>
      </c>
      <c r="B466" t="s">
        <v>947</v>
      </c>
      <c r="C466" t="s">
        <v>586</v>
      </c>
      <c r="D466" t="s">
        <v>206</v>
      </c>
      <c r="E466" t="s">
        <v>22</v>
      </c>
      <c r="F466" t="s">
        <v>23</v>
      </c>
      <c r="G466">
        <v>29</v>
      </c>
      <c r="H466">
        <v>52.72</v>
      </c>
      <c r="I466">
        <v>1528.88</v>
      </c>
      <c r="J466">
        <v>96.91</v>
      </c>
      <c r="K466">
        <v>416.97</v>
      </c>
      <c r="L466" t="s">
        <v>33</v>
      </c>
      <c r="M466" t="s">
        <v>41</v>
      </c>
      <c r="N466" t="s">
        <v>207</v>
      </c>
      <c r="O466">
        <f>SUMIFS(I466:I965,F466:F965,Table8[[#This Row],[Category]],N466:N965,Table8[[#This Row],[Region_Code]])</f>
        <v>1528.88</v>
      </c>
      <c r="P466" s="13">
        <f>SUMIFS(K466:K965,F466:F965,Table8[[#This Row],[Category]],N466:N965,Table8[[#This Row],[Region_Code]])</f>
        <v>416.97</v>
      </c>
      <c r="Q466">
        <f>AVERAGEIFS(I466:I965,F466:F965,Table8[[#This Row],[Category]],N466:N965,Table8[[#This Row],[Region_Code]])</f>
        <v>1528.88</v>
      </c>
      <c r="R466">
        <f>AVERAGEIFS(K466:K965,F466:F965,Table8[[#This Row],[Category]],N466:N965,Table8[[#This Row],[Region_Code]])</f>
        <v>416.97</v>
      </c>
    </row>
    <row r="467" spans="1:18" x14ac:dyDescent="0.3">
      <c r="A467" t="s">
        <v>948</v>
      </c>
      <c r="B467" t="s">
        <v>354</v>
      </c>
      <c r="C467" t="s">
        <v>521</v>
      </c>
      <c r="D467" t="s">
        <v>55</v>
      </c>
      <c r="E467" t="s">
        <v>81</v>
      </c>
      <c r="F467" t="s">
        <v>68</v>
      </c>
      <c r="G467">
        <v>39</v>
      </c>
      <c r="H467">
        <v>22.18</v>
      </c>
      <c r="I467">
        <v>865.02</v>
      </c>
      <c r="J467">
        <v>26.23</v>
      </c>
      <c r="K467">
        <v>234.29</v>
      </c>
      <c r="L467" t="s">
        <v>24</v>
      </c>
      <c r="M467" t="s">
        <v>41</v>
      </c>
      <c r="N467" t="s">
        <v>98</v>
      </c>
      <c r="O467">
        <f>SUMIFS(I467:I966,F467:F966,Table8[[#This Row],[Category]],N467:N966,Table8[[#This Row],[Region_Code]])</f>
        <v>4389.8999999999996</v>
      </c>
      <c r="P467" s="13">
        <f>SUMIFS(K467:K966,F467:F966,Table8[[#This Row],[Category]],N467:N966,Table8[[#This Row],[Region_Code]])</f>
        <v>1476.57</v>
      </c>
      <c r="Q467">
        <f>AVERAGEIFS(I467:I966,F467:F966,Table8[[#This Row],[Category]],N467:N966,Table8[[#This Row],[Region_Code]])</f>
        <v>1463.3</v>
      </c>
      <c r="R467">
        <f>AVERAGEIFS(K467:K966,F467:F966,Table8[[#This Row],[Category]],N467:N966,Table8[[#This Row],[Region_Code]])</f>
        <v>492.19</v>
      </c>
    </row>
    <row r="468" spans="1:18" x14ac:dyDescent="0.3">
      <c r="A468" t="s">
        <v>949</v>
      </c>
      <c r="B468" t="s">
        <v>303</v>
      </c>
      <c r="C468" t="s">
        <v>511</v>
      </c>
      <c r="D468" t="s">
        <v>116</v>
      </c>
      <c r="E468" t="s">
        <v>81</v>
      </c>
      <c r="F468" t="s">
        <v>68</v>
      </c>
      <c r="G468">
        <v>11</v>
      </c>
      <c r="H468">
        <v>21.4</v>
      </c>
      <c r="I468">
        <v>235.4</v>
      </c>
      <c r="J468">
        <v>11.64</v>
      </c>
      <c r="K468">
        <v>53.26</v>
      </c>
      <c r="L468" t="s">
        <v>24</v>
      </c>
      <c r="M468" t="s">
        <v>41</v>
      </c>
      <c r="N468" t="s">
        <v>76</v>
      </c>
      <c r="O468">
        <f>SUMIFS(I468:I967,F468:F967,Table8[[#This Row],[Category]],N468:N967,Table8[[#This Row],[Region_Code]])</f>
        <v>2844.79</v>
      </c>
      <c r="P468" s="13">
        <f>SUMIFS(K468:K967,F468:F967,Table8[[#This Row],[Category]],N468:N967,Table8[[#This Row],[Region_Code]])</f>
        <v>826.75</v>
      </c>
      <c r="Q468">
        <f>AVERAGEIFS(I468:I967,F468:F967,Table8[[#This Row],[Category]],N468:N967,Table8[[#This Row],[Region_Code]])</f>
        <v>948.26333333333332</v>
      </c>
      <c r="R468">
        <f>AVERAGEIFS(K468:K967,F468:F967,Table8[[#This Row],[Category]],N468:N967,Table8[[#This Row],[Region_Code]])</f>
        <v>275.58333333333331</v>
      </c>
    </row>
    <row r="469" spans="1:18" x14ac:dyDescent="0.3">
      <c r="A469" t="s">
        <v>950</v>
      </c>
      <c r="B469" t="s">
        <v>951</v>
      </c>
      <c r="C469" t="s">
        <v>462</v>
      </c>
      <c r="D469" t="s">
        <v>116</v>
      </c>
      <c r="E469" t="s">
        <v>74</v>
      </c>
      <c r="F469" t="s">
        <v>75</v>
      </c>
      <c r="G469">
        <v>21</v>
      </c>
      <c r="H469">
        <v>36.26</v>
      </c>
      <c r="I469">
        <v>761.46</v>
      </c>
      <c r="J469">
        <v>56.99</v>
      </c>
      <c r="K469">
        <v>179.47</v>
      </c>
      <c r="L469" t="s">
        <v>33</v>
      </c>
      <c r="M469" t="s">
        <v>25</v>
      </c>
      <c r="N469" t="s">
        <v>76</v>
      </c>
      <c r="O469">
        <f>SUMIFS(I469:I968,F469:F968,Table8[[#This Row],[Category]],N469:N968,Table8[[#This Row],[Region_Code]])</f>
        <v>2222.4</v>
      </c>
      <c r="P469" s="13">
        <f>SUMIFS(K469:K968,F469:F968,Table8[[#This Row],[Category]],N469:N968,Table8[[#This Row],[Region_Code]])</f>
        <v>583.16</v>
      </c>
      <c r="Q469">
        <f>AVERAGEIFS(I469:I968,F469:F968,Table8[[#This Row],[Category]],N469:N968,Table8[[#This Row],[Region_Code]])</f>
        <v>1111.2</v>
      </c>
      <c r="R469">
        <f>AVERAGEIFS(K469:K968,F469:F968,Table8[[#This Row],[Category]],N469:N968,Table8[[#This Row],[Region_Code]])</f>
        <v>291.58</v>
      </c>
    </row>
    <row r="470" spans="1:18" x14ac:dyDescent="0.3">
      <c r="A470" t="s">
        <v>952</v>
      </c>
      <c r="B470" t="s">
        <v>457</v>
      </c>
      <c r="C470" t="s">
        <v>328</v>
      </c>
      <c r="D470" t="s">
        <v>51</v>
      </c>
      <c r="E470" t="s">
        <v>67</v>
      </c>
      <c r="F470" t="s">
        <v>68</v>
      </c>
      <c r="G470">
        <v>39</v>
      </c>
      <c r="H470">
        <v>35.409999999999997</v>
      </c>
      <c r="I470">
        <v>1380.99</v>
      </c>
      <c r="J470">
        <v>84.56</v>
      </c>
      <c r="K470">
        <v>418.93</v>
      </c>
      <c r="L470" t="s">
        <v>33</v>
      </c>
      <c r="M470" t="s">
        <v>25</v>
      </c>
      <c r="N470" t="s">
        <v>76</v>
      </c>
      <c r="O470">
        <f>SUMIFS(I470:I969,F470:F969,Table8[[#This Row],[Category]],N470:N969,Table8[[#This Row],[Region_Code]])</f>
        <v>2609.3900000000003</v>
      </c>
      <c r="P470" s="13">
        <f>SUMIFS(K470:K969,F470:F969,Table8[[#This Row],[Category]],N470:N969,Table8[[#This Row],[Region_Code]])</f>
        <v>773.49</v>
      </c>
      <c r="Q470">
        <f>AVERAGEIFS(I470:I969,F470:F969,Table8[[#This Row],[Category]],N470:N969,Table8[[#This Row],[Region_Code]])</f>
        <v>1304.6950000000002</v>
      </c>
      <c r="R470">
        <f>AVERAGEIFS(K470:K969,F470:F969,Table8[[#This Row],[Category]],N470:N969,Table8[[#This Row],[Region_Code]])</f>
        <v>386.745</v>
      </c>
    </row>
    <row r="471" spans="1:18" x14ac:dyDescent="0.3">
      <c r="A471" t="s">
        <v>953</v>
      </c>
      <c r="B471" t="s">
        <v>515</v>
      </c>
      <c r="C471" t="s">
        <v>177</v>
      </c>
      <c r="D471" t="s">
        <v>51</v>
      </c>
      <c r="E471" t="s">
        <v>32</v>
      </c>
      <c r="F471" t="s">
        <v>23</v>
      </c>
      <c r="G471">
        <v>13</v>
      </c>
      <c r="H471">
        <v>27.35</v>
      </c>
      <c r="I471">
        <v>355.55</v>
      </c>
      <c r="J471">
        <v>26.23</v>
      </c>
      <c r="K471">
        <v>95.32</v>
      </c>
      <c r="L471" t="s">
        <v>33</v>
      </c>
      <c r="M471" t="s">
        <v>41</v>
      </c>
      <c r="N471" t="s">
        <v>76</v>
      </c>
      <c r="O471">
        <f>SUMIFS(I471:I970,F471:F970,Table8[[#This Row],[Category]],N471:N970,Table8[[#This Row],[Region_Code]])</f>
        <v>2740.69</v>
      </c>
      <c r="P471" s="13">
        <f>SUMIFS(K471:K970,F471:F970,Table8[[#This Row],[Category]],N471:N970,Table8[[#This Row],[Region_Code]])</f>
        <v>835.09000000000015</v>
      </c>
      <c r="Q471">
        <f>AVERAGEIFS(I471:I970,F471:F970,Table8[[#This Row],[Category]],N471:N970,Table8[[#This Row],[Region_Code]])</f>
        <v>548.13800000000003</v>
      </c>
      <c r="R471">
        <f>AVERAGEIFS(K471:K970,F471:F970,Table8[[#This Row],[Category]],N471:N970,Table8[[#This Row],[Region_Code]])</f>
        <v>167.01800000000003</v>
      </c>
    </row>
    <row r="472" spans="1:18" x14ac:dyDescent="0.3">
      <c r="A472" t="s">
        <v>954</v>
      </c>
      <c r="B472" t="s">
        <v>686</v>
      </c>
      <c r="C472" t="s">
        <v>148</v>
      </c>
      <c r="D472" t="s">
        <v>45</v>
      </c>
      <c r="E472" t="s">
        <v>86</v>
      </c>
      <c r="F472" t="s">
        <v>47</v>
      </c>
      <c r="G472">
        <v>40</v>
      </c>
      <c r="H472">
        <v>21.08</v>
      </c>
      <c r="I472">
        <v>843.2</v>
      </c>
      <c r="J472">
        <v>66.81</v>
      </c>
      <c r="K472">
        <v>266.39</v>
      </c>
      <c r="L472" t="s">
        <v>48</v>
      </c>
      <c r="M472" t="s">
        <v>34</v>
      </c>
      <c r="N472" t="s">
        <v>49</v>
      </c>
      <c r="O472">
        <f>SUMIFS(I472:I971,F472:F971,Table8[[#This Row],[Category]],N472:N971,Table8[[#This Row],[Region_Code]])</f>
        <v>1322.8600000000001</v>
      </c>
      <c r="P472" s="13">
        <f>SUMIFS(K472:K971,F472:F971,Table8[[#This Row],[Category]],N472:N971,Table8[[#This Row],[Region_Code]])</f>
        <v>346.07</v>
      </c>
      <c r="Q472">
        <f>AVERAGEIFS(I472:I971,F472:F971,Table8[[#This Row],[Category]],N472:N971,Table8[[#This Row],[Region_Code]])</f>
        <v>661.43000000000006</v>
      </c>
      <c r="R472">
        <f>AVERAGEIFS(K472:K971,F472:F971,Table8[[#This Row],[Category]],N472:N971,Table8[[#This Row],[Region_Code]])</f>
        <v>173.035</v>
      </c>
    </row>
    <row r="473" spans="1:18" x14ac:dyDescent="0.3">
      <c r="A473" t="s">
        <v>955</v>
      </c>
      <c r="B473" t="s">
        <v>740</v>
      </c>
      <c r="C473" t="s">
        <v>586</v>
      </c>
      <c r="D473" t="s">
        <v>62</v>
      </c>
      <c r="E473" t="s">
        <v>81</v>
      </c>
      <c r="F473" t="s">
        <v>68</v>
      </c>
      <c r="G473">
        <v>47</v>
      </c>
      <c r="H473">
        <v>27.54</v>
      </c>
      <c r="I473">
        <v>1294.3800000000001</v>
      </c>
      <c r="J473">
        <v>62.78</v>
      </c>
      <c r="K473">
        <v>503.1</v>
      </c>
      <c r="L473" t="s">
        <v>24</v>
      </c>
      <c r="M473" t="s">
        <v>25</v>
      </c>
      <c r="N473" t="s">
        <v>98</v>
      </c>
      <c r="O473">
        <f>SUMIFS(I473:I972,F473:F972,Table8[[#This Row],[Category]],N473:N972,Table8[[#This Row],[Region_Code]])</f>
        <v>3524.88</v>
      </c>
      <c r="P473" s="13">
        <f>SUMIFS(K473:K972,F473:F972,Table8[[#This Row],[Category]],N473:N972,Table8[[#This Row],[Region_Code]])</f>
        <v>1242.28</v>
      </c>
      <c r="Q473">
        <f>AVERAGEIFS(I473:I972,F473:F972,Table8[[#This Row],[Category]],N473:N972,Table8[[#This Row],[Region_Code]])</f>
        <v>1762.44</v>
      </c>
      <c r="R473">
        <f>AVERAGEIFS(K473:K972,F473:F972,Table8[[#This Row],[Category]],N473:N972,Table8[[#This Row],[Region_Code]])</f>
        <v>621.14</v>
      </c>
    </row>
    <row r="474" spans="1:18" x14ac:dyDescent="0.3">
      <c r="A474" t="s">
        <v>956</v>
      </c>
      <c r="B474" t="s">
        <v>957</v>
      </c>
      <c r="C474" t="s">
        <v>44</v>
      </c>
      <c r="D474" t="s">
        <v>70</v>
      </c>
      <c r="E474" t="s">
        <v>46</v>
      </c>
      <c r="F474" t="s">
        <v>47</v>
      </c>
      <c r="G474">
        <v>16</v>
      </c>
      <c r="H474">
        <v>45.08</v>
      </c>
      <c r="I474">
        <v>721.28</v>
      </c>
      <c r="J474">
        <v>21.61</v>
      </c>
      <c r="K474">
        <v>187.67</v>
      </c>
      <c r="L474" t="s">
        <v>33</v>
      </c>
      <c r="M474" t="s">
        <v>41</v>
      </c>
      <c r="N474" t="s">
        <v>76</v>
      </c>
      <c r="O474">
        <f>SUMIFS(I474:I973,F474:F973,Table8[[#This Row],[Category]],N474:N973,Table8[[#This Row],[Region_Code]])</f>
        <v>981.81999999999994</v>
      </c>
      <c r="P474" s="13">
        <f>SUMIFS(K474:K973,F474:F973,Table8[[#This Row],[Category]],N474:N973,Table8[[#This Row],[Region_Code]])</f>
        <v>264.32</v>
      </c>
      <c r="Q474">
        <f>AVERAGEIFS(I474:I973,F474:F973,Table8[[#This Row],[Category]],N474:N973,Table8[[#This Row],[Region_Code]])</f>
        <v>490.90999999999997</v>
      </c>
      <c r="R474">
        <f>AVERAGEIFS(K474:K973,F474:F973,Table8[[#This Row],[Category]],N474:N973,Table8[[#This Row],[Region_Code]])</f>
        <v>132.16</v>
      </c>
    </row>
    <row r="475" spans="1:18" x14ac:dyDescent="0.3">
      <c r="A475" t="s">
        <v>958</v>
      </c>
      <c r="B475" t="s">
        <v>723</v>
      </c>
      <c r="C475" t="s">
        <v>197</v>
      </c>
      <c r="D475" t="s">
        <v>123</v>
      </c>
      <c r="E475" t="s">
        <v>67</v>
      </c>
      <c r="F475" t="s">
        <v>68</v>
      </c>
      <c r="G475">
        <v>37</v>
      </c>
      <c r="H475">
        <v>33.200000000000003</v>
      </c>
      <c r="I475">
        <v>1228.4000000000001</v>
      </c>
      <c r="J475">
        <v>41.34</v>
      </c>
      <c r="K475">
        <v>354.56</v>
      </c>
      <c r="L475" t="s">
        <v>48</v>
      </c>
      <c r="M475" t="s">
        <v>34</v>
      </c>
      <c r="N475" t="s">
        <v>76</v>
      </c>
      <c r="O475">
        <f>SUMIFS(I475:I974,F475:F974,Table8[[#This Row],[Category]],N475:N974,Table8[[#This Row],[Region_Code]])</f>
        <v>1228.4000000000001</v>
      </c>
      <c r="P475" s="13">
        <f>SUMIFS(K475:K974,F475:F974,Table8[[#This Row],[Category]],N475:N974,Table8[[#This Row],[Region_Code]])</f>
        <v>354.56</v>
      </c>
      <c r="Q475">
        <f>AVERAGEIFS(I475:I974,F475:F974,Table8[[#This Row],[Category]],N475:N974,Table8[[#This Row],[Region_Code]])</f>
        <v>1228.4000000000001</v>
      </c>
      <c r="R475">
        <f>AVERAGEIFS(K475:K974,F475:F974,Table8[[#This Row],[Category]],N475:N974,Table8[[#This Row],[Region_Code]])</f>
        <v>354.56</v>
      </c>
    </row>
    <row r="476" spans="1:18" x14ac:dyDescent="0.3">
      <c r="A476" t="s">
        <v>959</v>
      </c>
      <c r="B476" t="s">
        <v>187</v>
      </c>
      <c r="C476" t="s">
        <v>20</v>
      </c>
      <c r="D476" t="s">
        <v>123</v>
      </c>
      <c r="E476" t="s">
        <v>32</v>
      </c>
      <c r="F476" t="s">
        <v>23</v>
      </c>
      <c r="G476">
        <v>8</v>
      </c>
      <c r="H476">
        <v>27.31</v>
      </c>
      <c r="I476">
        <v>218.48</v>
      </c>
      <c r="J476">
        <v>9.51</v>
      </c>
      <c r="K476">
        <v>64.97</v>
      </c>
      <c r="L476" t="s">
        <v>48</v>
      </c>
      <c r="M476" t="s">
        <v>25</v>
      </c>
      <c r="N476" t="s">
        <v>76</v>
      </c>
      <c r="O476">
        <f>SUMIFS(I476:I975,F476:F975,Table8[[#This Row],[Category]],N476:N975,Table8[[#This Row],[Region_Code]])</f>
        <v>2385.14</v>
      </c>
      <c r="P476" s="13">
        <f>SUMIFS(K476:K975,F476:F975,Table8[[#This Row],[Category]],N476:N975,Table8[[#This Row],[Region_Code]])</f>
        <v>739.77</v>
      </c>
      <c r="Q476">
        <f>AVERAGEIFS(I476:I975,F476:F975,Table8[[#This Row],[Category]],N476:N975,Table8[[#This Row],[Region_Code]])</f>
        <v>596.28499999999997</v>
      </c>
      <c r="R476">
        <f>AVERAGEIFS(K476:K975,F476:F975,Table8[[#This Row],[Category]],N476:N975,Table8[[#This Row],[Region_Code]])</f>
        <v>184.9425</v>
      </c>
    </row>
    <row r="477" spans="1:18" x14ac:dyDescent="0.3">
      <c r="A477" t="s">
        <v>960</v>
      </c>
      <c r="B477" t="s">
        <v>484</v>
      </c>
      <c r="C477" t="s">
        <v>157</v>
      </c>
      <c r="D477" t="s">
        <v>141</v>
      </c>
      <c r="E477" t="s">
        <v>32</v>
      </c>
      <c r="F477" t="s">
        <v>23</v>
      </c>
      <c r="G477">
        <v>19</v>
      </c>
      <c r="H477">
        <v>29.14</v>
      </c>
      <c r="I477">
        <v>553.66</v>
      </c>
      <c r="J477">
        <v>19.7</v>
      </c>
      <c r="K477">
        <v>191.96</v>
      </c>
      <c r="L477" t="s">
        <v>24</v>
      </c>
      <c r="M477" t="s">
        <v>34</v>
      </c>
      <c r="N477" t="s">
        <v>142</v>
      </c>
      <c r="O477">
        <f>SUMIFS(I477:I976,F477:F976,Table8[[#This Row],[Category]],N477:N976,Table8[[#This Row],[Region_Code]])</f>
        <v>553.66</v>
      </c>
      <c r="P477" s="13">
        <f>SUMIFS(K477:K976,F477:F976,Table8[[#This Row],[Category]],N477:N976,Table8[[#This Row],[Region_Code]])</f>
        <v>191.96</v>
      </c>
      <c r="Q477">
        <f>AVERAGEIFS(I477:I976,F477:F976,Table8[[#This Row],[Category]],N477:N976,Table8[[#This Row],[Region_Code]])</f>
        <v>553.66</v>
      </c>
      <c r="R477">
        <f>AVERAGEIFS(K477:K976,F477:F976,Table8[[#This Row],[Category]],N477:N976,Table8[[#This Row],[Region_Code]])</f>
        <v>191.96</v>
      </c>
    </row>
    <row r="478" spans="1:18" x14ac:dyDescent="0.3">
      <c r="A478" t="s">
        <v>961</v>
      </c>
      <c r="B478" t="s">
        <v>300</v>
      </c>
      <c r="C478" t="s">
        <v>331</v>
      </c>
      <c r="D478" t="s">
        <v>116</v>
      </c>
      <c r="E478" t="s">
        <v>22</v>
      </c>
      <c r="F478" t="s">
        <v>23</v>
      </c>
      <c r="G478">
        <v>6</v>
      </c>
      <c r="H478">
        <v>55.41</v>
      </c>
      <c r="I478">
        <v>332.46</v>
      </c>
      <c r="J478">
        <v>15.57</v>
      </c>
      <c r="K478">
        <v>106.89</v>
      </c>
      <c r="L478" t="s">
        <v>24</v>
      </c>
      <c r="M478" t="s">
        <v>25</v>
      </c>
      <c r="N478" t="s">
        <v>76</v>
      </c>
      <c r="O478">
        <f>SUMIFS(I478:I977,F478:F977,Table8[[#This Row],[Category]],N478:N977,Table8[[#This Row],[Region_Code]])</f>
        <v>2166.66</v>
      </c>
      <c r="P478" s="13">
        <f>SUMIFS(K478:K977,F478:F977,Table8[[#This Row],[Category]],N478:N977,Table8[[#This Row],[Region_Code]])</f>
        <v>674.8</v>
      </c>
      <c r="Q478">
        <f>AVERAGEIFS(I478:I977,F478:F977,Table8[[#This Row],[Category]],N478:N977,Table8[[#This Row],[Region_Code]])</f>
        <v>722.21999999999991</v>
      </c>
      <c r="R478">
        <f>AVERAGEIFS(K478:K977,F478:F977,Table8[[#This Row],[Category]],N478:N977,Table8[[#This Row],[Region_Code]])</f>
        <v>224.93333333333331</v>
      </c>
    </row>
    <row r="479" spans="1:18" x14ac:dyDescent="0.3">
      <c r="A479" t="s">
        <v>962</v>
      </c>
      <c r="B479" t="s">
        <v>406</v>
      </c>
      <c r="C479" t="s">
        <v>307</v>
      </c>
      <c r="D479" t="s">
        <v>123</v>
      </c>
      <c r="E479" t="s">
        <v>32</v>
      </c>
      <c r="F479" t="s">
        <v>23</v>
      </c>
      <c r="G479">
        <v>48</v>
      </c>
      <c r="H479">
        <v>29.07</v>
      </c>
      <c r="I479">
        <v>1395.36</v>
      </c>
      <c r="J479">
        <v>70.38</v>
      </c>
      <c r="K479">
        <v>460.98</v>
      </c>
      <c r="L479" t="s">
        <v>33</v>
      </c>
      <c r="M479" t="s">
        <v>41</v>
      </c>
      <c r="N479" t="s">
        <v>76</v>
      </c>
      <c r="O479">
        <f>SUMIFS(I479:I978,F479:F978,Table8[[#This Row],[Category]],N479:N978,Table8[[#This Row],[Region_Code]])</f>
        <v>1834.1999999999998</v>
      </c>
      <c r="P479" s="13">
        <f>SUMIFS(K479:K978,F479:F978,Table8[[#This Row],[Category]],N479:N978,Table8[[#This Row],[Region_Code]])</f>
        <v>567.91000000000008</v>
      </c>
      <c r="Q479">
        <f>AVERAGEIFS(I479:I978,F479:F978,Table8[[#This Row],[Category]],N479:N978,Table8[[#This Row],[Region_Code]])</f>
        <v>917.09999999999991</v>
      </c>
      <c r="R479">
        <f>AVERAGEIFS(K479:K978,F479:F978,Table8[[#This Row],[Category]],N479:N978,Table8[[#This Row],[Region_Code]])</f>
        <v>283.95500000000004</v>
      </c>
    </row>
    <row r="480" spans="1:18" x14ac:dyDescent="0.3">
      <c r="A480" t="s">
        <v>963</v>
      </c>
      <c r="B480" t="s">
        <v>964</v>
      </c>
      <c r="C480" t="s">
        <v>455</v>
      </c>
      <c r="D480" t="s">
        <v>45</v>
      </c>
      <c r="E480" t="s">
        <v>67</v>
      </c>
      <c r="F480" t="s">
        <v>68</v>
      </c>
      <c r="G480">
        <v>26</v>
      </c>
      <c r="H480">
        <v>27.17</v>
      </c>
      <c r="I480">
        <v>706.42</v>
      </c>
      <c r="J480">
        <v>33.94</v>
      </c>
      <c r="K480">
        <v>87.48</v>
      </c>
      <c r="L480" t="s">
        <v>48</v>
      </c>
      <c r="M480" t="s">
        <v>34</v>
      </c>
      <c r="N480" t="s">
        <v>49</v>
      </c>
      <c r="O480">
        <f>SUMIFS(I480:I979,F480:F979,Table8[[#This Row],[Category]],N480:N979,Table8[[#This Row],[Region_Code]])</f>
        <v>706.42</v>
      </c>
      <c r="P480" s="13">
        <f>SUMIFS(K480:K979,F480:F979,Table8[[#This Row],[Category]],N480:N979,Table8[[#This Row],[Region_Code]])</f>
        <v>87.48</v>
      </c>
      <c r="Q480">
        <f>AVERAGEIFS(I480:I979,F480:F979,Table8[[#This Row],[Category]],N480:N979,Table8[[#This Row],[Region_Code]])</f>
        <v>706.42</v>
      </c>
      <c r="R480">
        <f>AVERAGEIFS(K480:K979,F480:F979,Table8[[#This Row],[Category]],N480:N979,Table8[[#This Row],[Region_Code]])</f>
        <v>87.48</v>
      </c>
    </row>
    <row r="481" spans="1:18" x14ac:dyDescent="0.3">
      <c r="A481" t="s">
        <v>965</v>
      </c>
      <c r="B481" t="s">
        <v>243</v>
      </c>
      <c r="C481" t="s">
        <v>170</v>
      </c>
      <c r="D481" t="s">
        <v>127</v>
      </c>
      <c r="E481" t="s">
        <v>22</v>
      </c>
      <c r="F481" t="s">
        <v>23</v>
      </c>
      <c r="G481">
        <v>9</v>
      </c>
      <c r="H481">
        <v>48.76</v>
      </c>
      <c r="I481">
        <v>438.84</v>
      </c>
      <c r="J481">
        <v>16.91</v>
      </c>
      <c r="K481">
        <v>106.93</v>
      </c>
      <c r="L481" t="s">
        <v>48</v>
      </c>
      <c r="M481" t="s">
        <v>25</v>
      </c>
      <c r="N481" t="s">
        <v>76</v>
      </c>
      <c r="O481">
        <f>SUMIFS(I481:I980,F481:F980,Table8[[#This Row],[Category]],N481:N980,Table8[[#This Row],[Region_Code]])</f>
        <v>438.84</v>
      </c>
      <c r="P481" s="13">
        <f>SUMIFS(K481:K980,F481:F980,Table8[[#This Row],[Category]],N481:N980,Table8[[#This Row],[Region_Code]])</f>
        <v>106.93</v>
      </c>
      <c r="Q481">
        <f>AVERAGEIFS(I481:I980,F481:F980,Table8[[#This Row],[Category]],N481:N980,Table8[[#This Row],[Region_Code]])</f>
        <v>438.84</v>
      </c>
      <c r="R481">
        <f>AVERAGEIFS(K481:K980,F481:F980,Table8[[#This Row],[Category]],N481:N980,Table8[[#This Row],[Region_Code]])</f>
        <v>106.93</v>
      </c>
    </row>
    <row r="482" spans="1:18" x14ac:dyDescent="0.3">
      <c r="A482" t="s">
        <v>966</v>
      </c>
      <c r="B482" t="s">
        <v>686</v>
      </c>
      <c r="C482" t="s">
        <v>360</v>
      </c>
      <c r="D482" t="s">
        <v>31</v>
      </c>
      <c r="E482" t="s">
        <v>67</v>
      </c>
      <c r="F482" t="s">
        <v>68</v>
      </c>
      <c r="G482">
        <v>37</v>
      </c>
      <c r="H482">
        <v>33.21</v>
      </c>
      <c r="I482">
        <v>1228.77</v>
      </c>
      <c r="J482">
        <v>96.12</v>
      </c>
      <c r="K482">
        <v>300.14999999999998</v>
      </c>
      <c r="L482" t="s">
        <v>48</v>
      </c>
      <c r="M482" t="s">
        <v>34</v>
      </c>
      <c r="N482" t="s">
        <v>35</v>
      </c>
      <c r="O482">
        <f>SUMIFS(I482:I981,F482:F981,Table8[[#This Row],[Category]],N482:N981,Table8[[#This Row],[Region_Code]])</f>
        <v>2451.3200000000002</v>
      </c>
      <c r="P482" s="13">
        <f>SUMIFS(K482:K981,F482:F981,Table8[[#This Row],[Category]],N482:N981,Table8[[#This Row],[Region_Code]])</f>
        <v>574.7299999999999</v>
      </c>
      <c r="Q482">
        <f>AVERAGEIFS(I482:I981,F482:F981,Table8[[#This Row],[Category]],N482:N981,Table8[[#This Row],[Region_Code]])</f>
        <v>817.10666666666668</v>
      </c>
      <c r="R482">
        <f>AVERAGEIFS(K482:K981,F482:F981,Table8[[#This Row],[Category]],N482:N981,Table8[[#This Row],[Region_Code]])</f>
        <v>191.57666666666663</v>
      </c>
    </row>
    <row r="483" spans="1:18" x14ac:dyDescent="0.3">
      <c r="A483" t="s">
        <v>967</v>
      </c>
      <c r="B483" t="s">
        <v>672</v>
      </c>
      <c r="C483" t="s">
        <v>170</v>
      </c>
      <c r="D483" t="s">
        <v>45</v>
      </c>
      <c r="E483" t="s">
        <v>86</v>
      </c>
      <c r="F483" t="s">
        <v>47</v>
      </c>
      <c r="G483">
        <v>29</v>
      </c>
      <c r="H483">
        <v>16.54</v>
      </c>
      <c r="I483">
        <v>479.66</v>
      </c>
      <c r="J483">
        <v>30.23</v>
      </c>
      <c r="K483">
        <v>79.680000000000007</v>
      </c>
      <c r="L483" t="s">
        <v>33</v>
      </c>
      <c r="M483" t="s">
        <v>41</v>
      </c>
      <c r="N483" t="s">
        <v>49</v>
      </c>
      <c r="O483">
        <f>SUMIFS(I483:I982,F483:F982,Table8[[#This Row],[Category]],N483:N982,Table8[[#This Row],[Region_Code]])</f>
        <v>479.66</v>
      </c>
      <c r="P483" s="13">
        <f>SUMIFS(K483:K982,F483:F982,Table8[[#This Row],[Category]],N483:N982,Table8[[#This Row],[Region_Code]])</f>
        <v>79.680000000000007</v>
      </c>
      <c r="Q483">
        <f>AVERAGEIFS(I483:I982,F483:F982,Table8[[#This Row],[Category]],N483:N982,Table8[[#This Row],[Region_Code]])</f>
        <v>479.66</v>
      </c>
      <c r="R483">
        <f>AVERAGEIFS(K483:K982,F483:F982,Table8[[#This Row],[Category]],N483:N982,Table8[[#This Row],[Region_Code]])</f>
        <v>79.680000000000007</v>
      </c>
    </row>
    <row r="484" spans="1:18" x14ac:dyDescent="0.3">
      <c r="A484" t="s">
        <v>968</v>
      </c>
      <c r="B484" t="s">
        <v>224</v>
      </c>
      <c r="C484" t="s">
        <v>126</v>
      </c>
      <c r="D484" t="s">
        <v>206</v>
      </c>
      <c r="E484" t="s">
        <v>74</v>
      </c>
      <c r="F484" t="s">
        <v>75</v>
      </c>
      <c r="G484">
        <v>11</v>
      </c>
      <c r="H484">
        <v>44.56</v>
      </c>
      <c r="I484">
        <v>490.16</v>
      </c>
      <c r="J484">
        <v>23.97</v>
      </c>
      <c r="K484">
        <v>191.19</v>
      </c>
      <c r="L484" t="s">
        <v>33</v>
      </c>
      <c r="M484" t="s">
        <v>41</v>
      </c>
      <c r="N484" t="s">
        <v>207</v>
      </c>
      <c r="O484">
        <f>SUMIFS(I484:I983,F484:F983,Table8[[#This Row],[Category]],N484:N983,Table8[[#This Row],[Region_Code]])</f>
        <v>490.16</v>
      </c>
      <c r="P484" s="13">
        <f>SUMIFS(K484:K983,F484:F983,Table8[[#This Row],[Category]],N484:N983,Table8[[#This Row],[Region_Code]])</f>
        <v>191.19</v>
      </c>
      <c r="Q484">
        <f>AVERAGEIFS(I484:I983,F484:F983,Table8[[#This Row],[Category]],N484:N983,Table8[[#This Row],[Region_Code]])</f>
        <v>490.16</v>
      </c>
      <c r="R484">
        <f>AVERAGEIFS(K484:K983,F484:F983,Table8[[#This Row],[Category]],N484:N983,Table8[[#This Row],[Region_Code]])</f>
        <v>191.19</v>
      </c>
    </row>
    <row r="485" spans="1:18" x14ac:dyDescent="0.3">
      <c r="A485" t="s">
        <v>969</v>
      </c>
      <c r="B485" t="s">
        <v>675</v>
      </c>
      <c r="C485" t="s">
        <v>66</v>
      </c>
      <c r="D485" t="s">
        <v>62</v>
      </c>
      <c r="E485" t="s">
        <v>46</v>
      </c>
      <c r="F485" t="s">
        <v>47</v>
      </c>
      <c r="G485">
        <v>50</v>
      </c>
      <c r="H485">
        <v>44.78</v>
      </c>
      <c r="I485">
        <v>2239</v>
      </c>
      <c r="J485">
        <v>169.97</v>
      </c>
      <c r="K485">
        <v>469.03</v>
      </c>
      <c r="L485" t="s">
        <v>24</v>
      </c>
      <c r="M485" t="s">
        <v>41</v>
      </c>
      <c r="N485" t="s">
        <v>98</v>
      </c>
      <c r="O485">
        <f>SUMIFS(I485:I984,F485:F984,Table8[[#This Row],[Category]],N485:N984,Table8[[#This Row],[Region_Code]])</f>
        <v>2574.34</v>
      </c>
      <c r="P485" s="13">
        <f>SUMIFS(K485:K984,F485:F984,Table8[[#This Row],[Category]],N485:N984,Table8[[#This Row],[Region_Code]])</f>
        <v>548.68999999999994</v>
      </c>
      <c r="Q485">
        <f>AVERAGEIFS(I485:I984,F485:F984,Table8[[#This Row],[Category]],N485:N984,Table8[[#This Row],[Region_Code]])</f>
        <v>1287.17</v>
      </c>
      <c r="R485">
        <f>AVERAGEIFS(K485:K984,F485:F984,Table8[[#This Row],[Category]],N485:N984,Table8[[#This Row],[Region_Code]])</f>
        <v>274.34499999999997</v>
      </c>
    </row>
    <row r="486" spans="1:18" x14ac:dyDescent="0.3">
      <c r="A486" t="s">
        <v>970</v>
      </c>
      <c r="B486" t="s">
        <v>971</v>
      </c>
      <c r="C486" t="s">
        <v>122</v>
      </c>
      <c r="D486" t="s">
        <v>21</v>
      </c>
      <c r="E486" t="s">
        <v>32</v>
      </c>
      <c r="F486" t="s">
        <v>23</v>
      </c>
      <c r="G486">
        <v>30</v>
      </c>
      <c r="H486">
        <v>22.51</v>
      </c>
      <c r="I486">
        <v>675.3</v>
      </c>
      <c r="J486">
        <v>26.26</v>
      </c>
      <c r="K486">
        <v>109.04</v>
      </c>
      <c r="L486" t="s">
        <v>24</v>
      </c>
      <c r="M486" t="s">
        <v>25</v>
      </c>
      <c r="N486" t="s">
        <v>98</v>
      </c>
      <c r="O486">
        <f>SUMIFS(I486:I985,F486:F985,Table8[[#This Row],[Category]],N486:N985,Table8[[#This Row],[Region_Code]])</f>
        <v>675.3</v>
      </c>
      <c r="P486" s="13">
        <f>SUMIFS(K486:K985,F486:F985,Table8[[#This Row],[Category]],N486:N985,Table8[[#This Row],[Region_Code]])</f>
        <v>109.04</v>
      </c>
      <c r="Q486">
        <f>AVERAGEIFS(I486:I985,F486:F985,Table8[[#This Row],[Category]],N486:N985,Table8[[#This Row],[Region_Code]])</f>
        <v>675.3</v>
      </c>
      <c r="R486">
        <f>AVERAGEIFS(K486:K985,F486:F985,Table8[[#This Row],[Category]],N486:N985,Table8[[#This Row],[Region_Code]])</f>
        <v>109.04</v>
      </c>
    </row>
    <row r="487" spans="1:18" x14ac:dyDescent="0.3">
      <c r="A487" t="s">
        <v>972</v>
      </c>
      <c r="B487" t="s">
        <v>973</v>
      </c>
      <c r="C487" t="s">
        <v>391</v>
      </c>
      <c r="D487" t="s">
        <v>206</v>
      </c>
      <c r="E487" t="s">
        <v>81</v>
      </c>
      <c r="F487" t="s">
        <v>68</v>
      </c>
      <c r="G487">
        <v>50</v>
      </c>
      <c r="H487">
        <v>27.18</v>
      </c>
      <c r="I487">
        <v>1359</v>
      </c>
      <c r="J487">
        <v>45.67</v>
      </c>
      <c r="K487">
        <v>538.33000000000004</v>
      </c>
      <c r="L487" t="s">
        <v>24</v>
      </c>
      <c r="M487" t="s">
        <v>41</v>
      </c>
      <c r="N487" t="s">
        <v>207</v>
      </c>
      <c r="O487">
        <f>SUMIFS(I487:I986,F487:F986,Table8[[#This Row],[Category]],N487:N986,Table8[[#This Row],[Region_Code]])</f>
        <v>1683.96</v>
      </c>
      <c r="P487" s="13">
        <f>SUMIFS(K487:K986,F487:F986,Table8[[#This Row],[Category]],N487:N986,Table8[[#This Row],[Region_Code]])</f>
        <v>577.70000000000005</v>
      </c>
      <c r="Q487">
        <f>AVERAGEIFS(I487:I986,F487:F986,Table8[[#This Row],[Category]],N487:N986,Table8[[#This Row],[Region_Code]])</f>
        <v>841.98</v>
      </c>
      <c r="R487">
        <f>AVERAGEIFS(K487:K986,F487:F986,Table8[[#This Row],[Category]],N487:N986,Table8[[#This Row],[Region_Code]])</f>
        <v>288.85000000000002</v>
      </c>
    </row>
    <row r="488" spans="1:18" x14ac:dyDescent="0.3">
      <c r="A488" t="s">
        <v>974</v>
      </c>
      <c r="B488" t="s">
        <v>706</v>
      </c>
      <c r="C488" t="s">
        <v>216</v>
      </c>
      <c r="D488" t="s">
        <v>37</v>
      </c>
      <c r="E488" t="s">
        <v>137</v>
      </c>
      <c r="F488" t="s">
        <v>68</v>
      </c>
      <c r="G488">
        <v>28</v>
      </c>
      <c r="H488">
        <v>37.51</v>
      </c>
      <c r="I488">
        <v>1050.28</v>
      </c>
      <c r="J488">
        <v>45.83</v>
      </c>
      <c r="K488">
        <v>220.45</v>
      </c>
      <c r="L488" t="s">
        <v>48</v>
      </c>
      <c r="M488" t="s">
        <v>34</v>
      </c>
      <c r="N488" t="s">
        <v>35</v>
      </c>
      <c r="O488">
        <f>SUMIFS(I488:I987,F488:F987,Table8[[#This Row],[Category]],N488:N987,Table8[[#This Row],[Region_Code]])</f>
        <v>1222.55</v>
      </c>
      <c r="P488" s="13">
        <f>SUMIFS(K488:K987,F488:F987,Table8[[#This Row],[Category]],N488:N987,Table8[[#This Row],[Region_Code]])</f>
        <v>274.58</v>
      </c>
      <c r="Q488">
        <f>AVERAGEIFS(I488:I987,F488:F987,Table8[[#This Row],[Category]],N488:N987,Table8[[#This Row],[Region_Code]])</f>
        <v>611.27499999999998</v>
      </c>
      <c r="R488">
        <f>AVERAGEIFS(K488:K987,F488:F987,Table8[[#This Row],[Category]],N488:N987,Table8[[#This Row],[Region_Code]])</f>
        <v>137.29</v>
      </c>
    </row>
    <row r="489" spans="1:18" x14ac:dyDescent="0.3">
      <c r="A489" t="s">
        <v>975</v>
      </c>
      <c r="B489" t="s">
        <v>268</v>
      </c>
      <c r="C489" t="s">
        <v>113</v>
      </c>
      <c r="D489" t="s">
        <v>206</v>
      </c>
      <c r="E489" t="s">
        <v>56</v>
      </c>
      <c r="F489" t="s">
        <v>57</v>
      </c>
      <c r="G489">
        <v>50</v>
      </c>
      <c r="H489">
        <v>53.71</v>
      </c>
      <c r="I489">
        <v>2685.5</v>
      </c>
      <c r="J489">
        <v>197.89</v>
      </c>
      <c r="K489">
        <v>487.61</v>
      </c>
      <c r="L489" t="s">
        <v>33</v>
      </c>
      <c r="M489" t="s">
        <v>41</v>
      </c>
      <c r="N489" t="s">
        <v>207</v>
      </c>
      <c r="O489">
        <f>SUMIFS(I489:I988,F489:F988,Table8[[#This Row],[Category]],N489:N988,Table8[[#This Row],[Region_Code]])</f>
        <v>4854.7</v>
      </c>
      <c r="P489" s="13">
        <f>SUMIFS(K489:K988,F489:F988,Table8[[#This Row],[Category]],N489:N988,Table8[[#This Row],[Region_Code]])</f>
        <v>1227.1599999999999</v>
      </c>
      <c r="Q489">
        <f>AVERAGEIFS(I489:I988,F489:F988,Table8[[#This Row],[Category]],N489:N988,Table8[[#This Row],[Region_Code]])</f>
        <v>2427.35</v>
      </c>
      <c r="R489">
        <f>AVERAGEIFS(K489:K988,F489:F988,Table8[[#This Row],[Category]],N489:N988,Table8[[#This Row],[Region_Code]])</f>
        <v>613.57999999999993</v>
      </c>
    </row>
    <row r="490" spans="1:18" x14ac:dyDescent="0.3">
      <c r="A490" t="s">
        <v>976</v>
      </c>
      <c r="B490" t="s">
        <v>977</v>
      </c>
      <c r="C490" t="s">
        <v>630</v>
      </c>
      <c r="D490" t="s">
        <v>141</v>
      </c>
      <c r="E490" t="s">
        <v>81</v>
      </c>
      <c r="F490" t="s">
        <v>68</v>
      </c>
      <c r="G490">
        <v>24</v>
      </c>
      <c r="H490">
        <v>18.62</v>
      </c>
      <c r="I490">
        <v>446.88</v>
      </c>
      <c r="J490">
        <v>26.91</v>
      </c>
      <c r="K490">
        <v>47.97</v>
      </c>
      <c r="L490" t="s">
        <v>33</v>
      </c>
      <c r="M490" t="s">
        <v>34</v>
      </c>
      <c r="N490" t="s">
        <v>142</v>
      </c>
      <c r="O490">
        <f>SUMIFS(I490:I989,F490:F989,Table8[[#This Row],[Category]],N490:N989,Table8[[#This Row],[Region_Code]])</f>
        <v>446.88</v>
      </c>
      <c r="P490" s="13">
        <f>SUMIFS(K490:K989,F490:F989,Table8[[#This Row],[Category]],N490:N989,Table8[[#This Row],[Region_Code]])</f>
        <v>47.97</v>
      </c>
      <c r="Q490">
        <f>AVERAGEIFS(I490:I989,F490:F989,Table8[[#This Row],[Category]],N490:N989,Table8[[#This Row],[Region_Code]])</f>
        <v>446.88</v>
      </c>
      <c r="R490">
        <f>AVERAGEIFS(K490:K989,F490:F989,Table8[[#This Row],[Category]],N490:N989,Table8[[#This Row],[Region_Code]])</f>
        <v>47.97</v>
      </c>
    </row>
    <row r="491" spans="1:18" x14ac:dyDescent="0.3">
      <c r="A491" t="s">
        <v>978</v>
      </c>
      <c r="B491" t="s">
        <v>577</v>
      </c>
      <c r="C491" t="s">
        <v>290</v>
      </c>
      <c r="D491" t="s">
        <v>116</v>
      </c>
      <c r="E491" t="s">
        <v>56</v>
      </c>
      <c r="F491" t="s">
        <v>57</v>
      </c>
      <c r="G491">
        <v>10</v>
      </c>
      <c r="H491">
        <v>49.15</v>
      </c>
      <c r="I491">
        <v>491.5</v>
      </c>
      <c r="J491">
        <v>13.3</v>
      </c>
      <c r="K491">
        <v>78.2</v>
      </c>
      <c r="L491" t="s">
        <v>48</v>
      </c>
      <c r="M491" t="s">
        <v>41</v>
      </c>
      <c r="N491" t="s">
        <v>76</v>
      </c>
      <c r="O491">
        <f>SUMIFS(I491:I990,F491:F990,Table8[[#This Row],[Category]],N491:N990,Table8[[#This Row],[Region_Code]])</f>
        <v>3249.1400000000003</v>
      </c>
      <c r="P491" s="13">
        <f>SUMIFS(K491:K990,F491:F990,Table8[[#This Row],[Category]],N491:N990,Table8[[#This Row],[Region_Code]])</f>
        <v>549.73</v>
      </c>
      <c r="Q491">
        <f>AVERAGEIFS(I491:I990,F491:F990,Table8[[#This Row],[Category]],N491:N990,Table8[[#This Row],[Region_Code]])</f>
        <v>1083.0466666666669</v>
      </c>
      <c r="R491">
        <f>AVERAGEIFS(K491:K990,F491:F990,Table8[[#This Row],[Category]],N491:N990,Table8[[#This Row],[Region_Code]])</f>
        <v>183.24333333333334</v>
      </c>
    </row>
    <row r="492" spans="1:18" x14ac:dyDescent="0.3">
      <c r="A492" t="s">
        <v>979</v>
      </c>
      <c r="B492" t="s">
        <v>980</v>
      </c>
      <c r="C492" t="s">
        <v>328</v>
      </c>
      <c r="D492" t="s">
        <v>51</v>
      </c>
      <c r="E492" t="s">
        <v>56</v>
      </c>
      <c r="F492" t="s">
        <v>57</v>
      </c>
      <c r="G492">
        <v>42</v>
      </c>
      <c r="H492">
        <v>50.96</v>
      </c>
      <c r="I492">
        <v>2140.3200000000002</v>
      </c>
      <c r="J492">
        <v>127.85</v>
      </c>
      <c r="K492">
        <v>332.47</v>
      </c>
      <c r="L492" t="s">
        <v>24</v>
      </c>
      <c r="M492" t="s">
        <v>34</v>
      </c>
      <c r="N492" t="s">
        <v>76</v>
      </c>
      <c r="O492">
        <f>SUMIFS(I492:I991,F492:F991,Table8[[#This Row],[Category]],N492:N991,Table8[[#This Row],[Region_Code]])</f>
        <v>2757.6400000000003</v>
      </c>
      <c r="P492" s="13">
        <f>SUMIFS(K492:K991,F492:F991,Table8[[#This Row],[Category]],N492:N991,Table8[[#This Row],[Region_Code]])</f>
        <v>471.53000000000003</v>
      </c>
      <c r="Q492">
        <f>AVERAGEIFS(I492:I991,F492:F991,Table8[[#This Row],[Category]],N492:N991,Table8[[#This Row],[Region_Code]])</f>
        <v>1378.8200000000002</v>
      </c>
      <c r="R492">
        <f>AVERAGEIFS(K492:K991,F492:F991,Table8[[#This Row],[Category]],N492:N991,Table8[[#This Row],[Region_Code]])</f>
        <v>235.76500000000001</v>
      </c>
    </row>
    <row r="493" spans="1:18" x14ac:dyDescent="0.3">
      <c r="A493" t="s">
        <v>981</v>
      </c>
      <c r="B493" t="s">
        <v>982</v>
      </c>
      <c r="C493" t="s">
        <v>323</v>
      </c>
      <c r="D493" t="s">
        <v>51</v>
      </c>
      <c r="E493" t="s">
        <v>74</v>
      </c>
      <c r="F493" t="s">
        <v>75</v>
      </c>
      <c r="G493">
        <v>39</v>
      </c>
      <c r="H493">
        <v>37.46</v>
      </c>
      <c r="I493">
        <v>1460.94</v>
      </c>
      <c r="J493">
        <v>82.25</v>
      </c>
      <c r="K493">
        <v>403.69</v>
      </c>
      <c r="L493" t="s">
        <v>48</v>
      </c>
      <c r="M493" t="s">
        <v>25</v>
      </c>
      <c r="N493" t="s">
        <v>76</v>
      </c>
      <c r="O493">
        <f>SUMIFS(I493:I992,F493:F992,Table8[[#This Row],[Category]],N493:N992,Table8[[#This Row],[Region_Code]])</f>
        <v>1460.94</v>
      </c>
      <c r="P493" s="13">
        <f>SUMIFS(K493:K992,F493:F992,Table8[[#This Row],[Category]],N493:N992,Table8[[#This Row],[Region_Code]])</f>
        <v>403.69</v>
      </c>
      <c r="Q493">
        <f>AVERAGEIFS(I493:I992,F493:F992,Table8[[#This Row],[Category]],N493:N992,Table8[[#This Row],[Region_Code]])</f>
        <v>1460.94</v>
      </c>
      <c r="R493">
        <f>AVERAGEIFS(K493:K992,F493:F992,Table8[[#This Row],[Category]],N493:N992,Table8[[#This Row],[Region_Code]])</f>
        <v>403.69</v>
      </c>
    </row>
    <row r="494" spans="1:18" x14ac:dyDescent="0.3">
      <c r="A494" t="s">
        <v>983</v>
      </c>
      <c r="B494" t="s">
        <v>984</v>
      </c>
      <c r="C494" t="s">
        <v>174</v>
      </c>
      <c r="D494" t="s">
        <v>171</v>
      </c>
      <c r="E494" t="s">
        <v>86</v>
      </c>
      <c r="F494" t="s">
        <v>47</v>
      </c>
      <c r="G494">
        <v>7</v>
      </c>
      <c r="H494">
        <v>20.2</v>
      </c>
      <c r="I494">
        <v>141.4</v>
      </c>
      <c r="J494">
        <v>4.3499999999999996</v>
      </c>
      <c r="K494">
        <v>47.8</v>
      </c>
      <c r="L494" t="s">
        <v>33</v>
      </c>
      <c r="M494" t="s">
        <v>41</v>
      </c>
      <c r="N494" t="s">
        <v>35</v>
      </c>
      <c r="O494">
        <f>SUMIFS(I494:I993,F494:F993,Table8[[#This Row],[Category]],N494:N993,Table8[[#This Row],[Region_Code]])</f>
        <v>771.26</v>
      </c>
      <c r="P494" s="13">
        <f>SUMIFS(K494:K993,F494:F993,Table8[[#This Row],[Category]],N494:N993,Table8[[#This Row],[Region_Code]])</f>
        <v>208.57999999999998</v>
      </c>
      <c r="Q494">
        <f>AVERAGEIFS(I494:I993,F494:F993,Table8[[#This Row],[Category]],N494:N993,Table8[[#This Row],[Region_Code]])</f>
        <v>385.63</v>
      </c>
      <c r="R494">
        <f>AVERAGEIFS(K494:K993,F494:F993,Table8[[#This Row],[Category]],N494:N993,Table8[[#This Row],[Region_Code]])</f>
        <v>104.28999999999999</v>
      </c>
    </row>
    <row r="495" spans="1:18" x14ac:dyDescent="0.3">
      <c r="A495" t="s">
        <v>985</v>
      </c>
      <c r="B495" t="s">
        <v>986</v>
      </c>
      <c r="C495" t="s">
        <v>197</v>
      </c>
      <c r="D495" t="s">
        <v>55</v>
      </c>
      <c r="E495" t="s">
        <v>86</v>
      </c>
      <c r="F495" t="s">
        <v>47</v>
      </c>
      <c r="G495">
        <v>18</v>
      </c>
      <c r="H495">
        <v>18.63</v>
      </c>
      <c r="I495">
        <v>335.34</v>
      </c>
      <c r="J495">
        <v>26.18</v>
      </c>
      <c r="K495">
        <v>79.66</v>
      </c>
      <c r="L495" t="s">
        <v>33</v>
      </c>
      <c r="M495" t="s">
        <v>25</v>
      </c>
      <c r="N495" t="s">
        <v>98</v>
      </c>
      <c r="O495">
        <f>SUMIFS(I495:I994,F495:F994,Table8[[#This Row],[Category]],N495:N994,Table8[[#This Row],[Region_Code]])</f>
        <v>335.34</v>
      </c>
      <c r="P495" s="13">
        <f>SUMIFS(K495:K994,F495:F994,Table8[[#This Row],[Category]],N495:N994,Table8[[#This Row],[Region_Code]])</f>
        <v>79.66</v>
      </c>
      <c r="Q495">
        <f>AVERAGEIFS(I495:I994,F495:F994,Table8[[#This Row],[Category]],N495:N994,Table8[[#This Row],[Region_Code]])</f>
        <v>335.34</v>
      </c>
      <c r="R495">
        <f>AVERAGEIFS(K495:K994,F495:F994,Table8[[#This Row],[Category]],N495:N994,Table8[[#This Row],[Region_Code]])</f>
        <v>79.66</v>
      </c>
    </row>
    <row r="496" spans="1:18" x14ac:dyDescent="0.3">
      <c r="A496" t="s">
        <v>987</v>
      </c>
      <c r="B496" t="s">
        <v>988</v>
      </c>
      <c r="C496" t="s">
        <v>462</v>
      </c>
      <c r="D496" t="s">
        <v>206</v>
      </c>
      <c r="E496" t="s">
        <v>67</v>
      </c>
      <c r="F496" t="s">
        <v>68</v>
      </c>
      <c r="G496">
        <v>12</v>
      </c>
      <c r="H496">
        <v>27.08</v>
      </c>
      <c r="I496">
        <v>324.95999999999998</v>
      </c>
      <c r="J496">
        <v>15.59</v>
      </c>
      <c r="K496">
        <v>39.369999999999997</v>
      </c>
      <c r="L496" t="s">
        <v>33</v>
      </c>
      <c r="M496" t="s">
        <v>41</v>
      </c>
      <c r="N496" t="s">
        <v>207</v>
      </c>
      <c r="O496">
        <f>SUMIFS(I496:I995,F496:F995,Table8[[#This Row],[Category]],N496:N995,Table8[[#This Row],[Region_Code]])</f>
        <v>324.95999999999998</v>
      </c>
      <c r="P496" s="13">
        <f>SUMIFS(K496:K995,F496:F995,Table8[[#This Row],[Category]],N496:N995,Table8[[#This Row],[Region_Code]])</f>
        <v>39.369999999999997</v>
      </c>
      <c r="Q496">
        <f>AVERAGEIFS(I496:I995,F496:F995,Table8[[#This Row],[Category]],N496:N995,Table8[[#This Row],[Region_Code]])</f>
        <v>324.95999999999998</v>
      </c>
      <c r="R496">
        <f>AVERAGEIFS(K496:K995,F496:F995,Table8[[#This Row],[Category]],N496:N995,Table8[[#This Row],[Region_Code]])</f>
        <v>39.369999999999997</v>
      </c>
    </row>
    <row r="497" spans="1:18" x14ac:dyDescent="0.3">
      <c r="A497" t="s">
        <v>989</v>
      </c>
      <c r="B497" t="s">
        <v>153</v>
      </c>
      <c r="C497" t="s">
        <v>499</v>
      </c>
      <c r="D497" t="s">
        <v>171</v>
      </c>
      <c r="E497" t="s">
        <v>74</v>
      </c>
      <c r="F497" t="s">
        <v>75</v>
      </c>
      <c r="G497">
        <v>50</v>
      </c>
      <c r="H497">
        <v>32.21</v>
      </c>
      <c r="I497">
        <v>1610.5</v>
      </c>
      <c r="J497">
        <v>32.68</v>
      </c>
      <c r="K497">
        <v>327.82</v>
      </c>
      <c r="L497" t="s">
        <v>33</v>
      </c>
      <c r="M497" t="s">
        <v>41</v>
      </c>
      <c r="N497" t="s">
        <v>35</v>
      </c>
      <c r="O497">
        <f>SUMIFS(I497:I996,F497:F996,Table8[[#This Row],[Category]],N497:N996,Table8[[#This Row],[Region_Code]])</f>
        <v>1610.5</v>
      </c>
      <c r="P497" s="13">
        <f>SUMIFS(K497:K996,F497:F996,Table8[[#This Row],[Category]],N497:N996,Table8[[#This Row],[Region_Code]])</f>
        <v>327.82</v>
      </c>
      <c r="Q497">
        <f>AVERAGEIFS(I497:I996,F497:F996,Table8[[#This Row],[Category]],N497:N996,Table8[[#This Row],[Region_Code]])</f>
        <v>1610.5</v>
      </c>
      <c r="R497">
        <f>AVERAGEIFS(K497:K996,F497:F996,Table8[[#This Row],[Category]],N497:N996,Table8[[#This Row],[Region_Code]])</f>
        <v>327.82</v>
      </c>
    </row>
    <row r="498" spans="1:18" x14ac:dyDescent="0.3">
      <c r="A498" t="s">
        <v>990</v>
      </c>
      <c r="B498" t="s">
        <v>768</v>
      </c>
      <c r="C498" t="s">
        <v>646</v>
      </c>
      <c r="D498" t="s">
        <v>141</v>
      </c>
      <c r="E498" t="s">
        <v>86</v>
      </c>
      <c r="F498" t="s">
        <v>47</v>
      </c>
      <c r="G498">
        <v>49</v>
      </c>
      <c r="H498">
        <v>20.59</v>
      </c>
      <c r="I498">
        <v>1008.91</v>
      </c>
      <c r="J498">
        <v>78.03</v>
      </c>
      <c r="K498">
        <v>306.13</v>
      </c>
      <c r="L498" t="s">
        <v>33</v>
      </c>
      <c r="M498" t="s">
        <v>41</v>
      </c>
      <c r="N498" t="s">
        <v>142</v>
      </c>
      <c r="O498">
        <f>SUMIFS(I498:I997,F498:F997,Table8[[#This Row],[Category]],N498:N997,Table8[[#This Row],[Region_Code]])</f>
        <v>1008.91</v>
      </c>
      <c r="P498" s="13">
        <f>SUMIFS(K498:K997,F498:F997,Table8[[#This Row],[Category]],N498:N997,Table8[[#This Row],[Region_Code]])</f>
        <v>306.13</v>
      </c>
      <c r="Q498">
        <f>AVERAGEIFS(I498:I997,F498:F997,Table8[[#This Row],[Category]],N498:N997,Table8[[#This Row],[Region_Code]])</f>
        <v>1008.91</v>
      </c>
      <c r="R498">
        <f>AVERAGEIFS(K498:K997,F498:F997,Table8[[#This Row],[Category]],N498:N997,Table8[[#This Row],[Region_Code]])</f>
        <v>306.13</v>
      </c>
    </row>
    <row r="499" spans="1:18" x14ac:dyDescent="0.3">
      <c r="A499" t="s">
        <v>991</v>
      </c>
      <c r="B499" t="s">
        <v>992</v>
      </c>
      <c r="C499" t="s">
        <v>140</v>
      </c>
      <c r="D499" t="s">
        <v>37</v>
      </c>
      <c r="E499" t="s">
        <v>63</v>
      </c>
      <c r="F499" t="s">
        <v>47</v>
      </c>
      <c r="G499">
        <v>22</v>
      </c>
      <c r="H499">
        <v>28.63</v>
      </c>
      <c r="I499">
        <v>629.86</v>
      </c>
      <c r="J499">
        <v>29.08</v>
      </c>
      <c r="K499">
        <v>160.78</v>
      </c>
      <c r="L499" t="s">
        <v>33</v>
      </c>
      <c r="M499" t="s">
        <v>34</v>
      </c>
      <c r="N499" t="s">
        <v>35</v>
      </c>
      <c r="O499">
        <f>SUMIFS(I499:I998,F499:F998,Table8[[#This Row],[Category]],N499:N998,Table8[[#This Row],[Region_Code]])</f>
        <v>629.86</v>
      </c>
      <c r="P499" s="13">
        <f>SUMIFS(K499:K998,F499:F998,Table8[[#This Row],[Category]],N499:N998,Table8[[#This Row],[Region_Code]])</f>
        <v>160.78</v>
      </c>
      <c r="Q499">
        <f>AVERAGEIFS(I499:I998,F499:F998,Table8[[#This Row],[Category]],N499:N998,Table8[[#This Row],[Region_Code]])</f>
        <v>629.86</v>
      </c>
      <c r="R499">
        <f>AVERAGEIFS(K499:K998,F499:F998,Table8[[#This Row],[Category]],N499:N998,Table8[[#This Row],[Region_Code]])</f>
        <v>160.78</v>
      </c>
    </row>
    <row r="500" spans="1:18" x14ac:dyDescent="0.3">
      <c r="A500" t="s">
        <v>993</v>
      </c>
      <c r="B500" t="s">
        <v>994</v>
      </c>
      <c r="C500" t="s">
        <v>290</v>
      </c>
      <c r="D500" t="s">
        <v>51</v>
      </c>
      <c r="E500" t="s">
        <v>56</v>
      </c>
      <c r="F500" t="s">
        <v>57</v>
      </c>
      <c r="G500">
        <v>11</v>
      </c>
      <c r="H500">
        <v>56.12</v>
      </c>
      <c r="I500">
        <v>617.32000000000005</v>
      </c>
      <c r="J500">
        <v>38.26</v>
      </c>
      <c r="K500">
        <v>139.06</v>
      </c>
      <c r="L500" t="s">
        <v>33</v>
      </c>
      <c r="M500" t="s">
        <v>34</v>
      </c>
      <c r="N500" t="s">
        <v>76</v>
      </c>
      <c r="O500">
        <f>SUMIFS(I500:I999,F500:F999,Table8[[#This Row],[Category]],N500:N999,Table8[[#This Row],[Region_Code]])</f>
        <v>617.32000000000005</v>
      </c>
      <c r="P500" s="13">
        <f>SUMIFS(K500:K999,F500:F999,Table8[[#This Row],[Category]],N500:N999,Table8[[#This Row],[Region_Code]])</f>
        <v>139.06</v>
      </c>
      <c r="Q500">
        <f>AVERAGEIFS(I500:I999,F500:F999,Table8[[#This Row],[Category]],N500:N999,Table8[[#This Row],[Region_Code]])</f>
        <v>617.32000000000005</v>
      </c>
      <c r="R500">
        <f>AVERAGEIFS(K500:K999,F500:F999,Table8[[#This Row],[Category]],N500:N999,Table8[[#This Row],[Region_Code]])</f>
        <v>139.06</v>
      </c>
    </row>
    <row r="501" spans="1:18" x14ac:dyDescent="0.3">
      <c r="A501" t="s">
        <v>995</v>
      </c>
      <c r="B501" t="s">
        <v>996</v>
      </c>
      <c r="C501" t="s">
        <v>54</v>
      </c>
      <c r="D501" t="s">
        <v>21</v>
      </c>
      <c r="E501" t="s">
        <v>74</v>
      </c>
      <c r="F501" t="s">
        <v>75</v>
      </c>
      <c r="G501">
        <v>2</v>
      </c>
      <c r="H501">
        <v>30.88</v>
      </c>
      <c r="I501">
        <v>61.76</v>
      </c>
      <c r="J501">
        <v>4.42</v>
      </c>
      <c r="K501">
        <v>7.34</v>
      </c>
      <c r="L501" t="s">
        <v>48</v>
      </c>
      <c r="M501" t="s">
        <v>34</v>
      </c>
      <c r="N501" t="s">
        <v>98</v>
      </c>
      <c r="O501">
        <f>SUMIFS(I501:I1000,F501:F1000,Table8[[#This Row],[Category]],N501:N1000,Table8[[#This Row],[Region_Code]])</f>
        <v>61.76</v>
      </c>
      <c r="P501" s="13">
        <f>SUMIFS(K501:K1000,F501:F1000,Table8[[#This Row],[Category]],N501:N1000,Table8[[#This Row],[Region_Code]])</f>
        <v>7.34</v>
      </c>
      <c r="Q501">
        <f>AVERAGEIFS(I501:I1000,F501:F1000,Table8[[#This Row],[Category]],N501:N1000,Table8[[#This Row],[Region_Code]])</f>
        <v>61.76</v>
      </c>
      <c r="R501">
        <f>AVERAGEIFS(K501:K1000,F501:F1000,Table8[[#This Row],[Category]],N501:N1000,Table8[[#This Row],[Region_Code]])</f>
        <v>7.34</v>
      </c>
    </row>
    <row r="502" spans="1:18" x14ac:dyDescent="0.3">
      <c r="A502" t="s">
        <v>997</v>
      </c>
      <c r="B502" t="s">
        <v>998</v>
      </c>
      <c r="C502" t="s">
        <v>471</v>
      </c>
      <c r="D502" t="s">
        <v>206</v>
      </c>
      <c r="E502" t="s">
        <v>56</v>
      </c>
      <c r="F502" t="s">
        <v>57</v>
      </c>
      <c r="G502">
        <v>34</v>
      </c>
      <c r="H502">
        <v>63.8</v>
      </c>
      <c r="I502">
        <v>2169.1999999999998</v>
      </c>
      <c r="J502">
        <v>69.650000000000006</v>
      </c>
      <c r="K502">
        <v>739.55</v>
      </c>
      <c r="L502" t="s">
        <v>33</v>
      </c>
      <c r="M502" t="s">
        <v>41</v>
      </c>
      <c r="N502" t="s">
        <v>207</v>
      </c>
      <c r="O502">
        <f>SUMIFS(I502:I1001,F502:F1001,Table8[[#This Row],[Category]],N502:N1001,Table8[[#This Row],[Region_Code]])</f>
        <v>2169.1999999999998</v>
      </c>
      <c r="P502" s="13">
        <f>SUMIFS(K502:K1001,F502:F1001,Table8[[#This Row],[Category]],N502:N1001,Table8[[#This Row],[Region_Code]])</f>
        <v>739.55</v>
      </c>
      <c r="Q502">
        <f>AVERAGEIFS(I502:I1001,F502:F1001,Table8[[#This Row],[Category]],N502:N1001,Table8[[#This Row],[Region_Code]])</f>
        <v>2169.1999999999998</v>
      </c>
      <c r="R502">
        <f>AVERAGEIFS(K502:K1001,F502:F1001,Table8[[#This Row],[Category]],N502:N1001,Table8[[#This Row],[Region_Code]])</f>
        <v>739.55</v>
      </c>
    </row>
    <row r="503" spans="1:18" x14ac:dyDescent="0.3">
      <c r="A503" t="s">
        <v>999</v>
      </c>
      <c r="B503" t="s">
        <v>412</v>
      </c>
      <c r="C503" t="s">
        <v>282</v>
      </c>
      <c r="D503" t="s">
        <v>62</v>
      </c>
      <c r="E503" t="s">
        <v>137</v>
      </c>
      <c r="F503" t="s">
        <v>68</v>
      </c>
      <c r="G503">
        <v>50</v>
      </c>
      <c r="H503">
        <v>44.61</v>
      </c>
      <c r="I503">
        <v>2230.5</v>
      </c>
      <c r="J503">
        <v>91.32</v>
      </c>
      <c r="K503">
        <v>739.18</v>
      </c>
      <c r="L503" t="s">
        <v>48</v>
      </c>
      <c r="M503" t="s">
        <v>25</v>
      </c>
      <c r="N503" t="s">
        <v>98</v>
      </c>
      <c r="O503">
        <f>SUMIFS(I503:I1002,F503:F1002,Table8[[#This Row],[Category]],N503:N1002,Table8[[#This Row],[Region_Code]])</f>
        <v>2230.5</v>
      </c>
      <c r="P503" s="13">
        <f>SUMIFS(K503:K1002,F503:F1002,Table8[[#This Row],[Category]],N503:N1002,Table8[[#This Row],[Region_Code]])</f>
        <v>739.18</v>
      </c>
      <c r="Q503">
        <f>AVERAGEIFS(I503:I1002,F503:F1002,Table8[[#This Row],[Category]],N503:N1002,Table8[[#This Row],[Region_Code]])</f>
        <v>2230.5</v>
      </c>
      <c r="R503">
        <f>AVERAGEIFS(K503:K1002,F503:F1002,Table8[[#This Row],[Category]],N503:N1002,Table8[[#This Row],[Region_Code]])</f>
        <v>739.18</v>
      </c>
    </row>
    <row r="504" spans="1:18" x14ac:dyDescent="0.3">
      <c r="A504" t="s">
        <v>1000</v>
      </c>
      <c r="B504" t="s">
        <v>1001</v>
      </c>
      <c r="C504" t="s">
        <v>119</v>
      </c>
      <c r="D504" t="s">
        <v>123</v>
      </c>
      <c r="E504" t="s">
        <v>86</v>
      </c>
      <c r="F504" t="s">
        <v>47</v>
      </c>
      <c r="G504">
        <v>14</v>
      </c>
      <c r="H504">
        <v>18.61</v>
      </c>
      <c r="I504">
        <v>260.54000000000002</v>
      </c>
      <c r="J504">
        <v>5.39</v>
      </c>
      <c r="K504">
        <v>76.650000000000006</v>
      </c>
      <c r="L504" t="s">
        <v>33</v>
      </c>
      <c r="M504" t="s">
        <v>41</v>
      </c>
      <c r="N504" t="s">
        <v>76</v>
      </c>
      <c r="O504">
        <f>SUMIFS(I504:I1003,F504:F1003,Table8[[#This Row],[Category]],N504:N1003,Table8[[#This Row],[Region_Code]])</f>
        <v>260.54000000000002</v>
      </c>
      <c r="P504" s="13">
        <f>SUMIFS(K504:K1003,F504:F1003,Table8[[#This Row],[Category]],N504:N1003,Table8[[#This Row],[Region_Code]])</f>
        <v>76.650000000000006</v>
      </c>
      <c r="Q504">
        <f>AVERAGEIFS(I504:I1003,F504:F1003,Table8[[#This Row],[Category]],N504:N1003,Table8[[#This Row],[Region_Code]])</f>
        <v>260.54000000000002</v>
      </c>
      <c r="R504">
        <f>AVERAGEIFS(K504:K1003,F504:F1003,Table8[[#This Row],[Category]],N504:N1003,Table8[[#This Row],[Region_Code]])</f>
        <v>76.650000000000006</v>
      </c>
    </row>
    <row r="505" spans="1:18" x14ac:dyDescent="0.3">
      <c r="A505" t="s">
        <v>1002</v>
      </c>
      <c r="B505" t="s">
        <v>816</v>
      </c>
      <c r="C505" t="s">
        <v>455</v>
      </c>
      <c r="D505" t="s">
        <v>31</v>
      </c>
      <c r="E505" t="s">
        <v>81</v>
      </c>
      <c r="F505" t="s">
        <v>68</v>
      </c>
      <c r="G505">
        <v>7</v>
      </c>
      <c r="H505">
        <v>24.61</v>
      </c>
      <c r="I505">
        <v>172.27</v>
      </c>
      <c r="J505">
        <v>9.64</v>
      </c>
      <c r="K505">
        <v>54.13</v>
      </c>
      <c r="L505" t="s">
        <v>48</v>
      </c>
      <c r="M505" t="s">
        <v>41</v>
      </c>
      <c r="N505" t="s">
        <v>35</v>
      </c>
      <c r="O505">
        <f>SUMIFS(I505:I1004,F505:F1004,Table8[[#This Row],[Category]],N505:N1004,Table8[[#This Row],[Region_Code]])</f>
        <v>172.27</v>
      </c>
      <c r="P505" s="13">
        <f>SUMIFS(K505:K1004,F505:F1004,Table8[[#This Row],[Category]],N505:N1004,Table8[[#This Row],[Region_Code]])</f>
        <v>54.13</v>
      </c>
      <c r="Q505">
        <f>AVERAGEIFS(I505:I1004,F505:F1004,Table8[[#This Row],[Category]],N505:N1004,Table8[[#This Row],[Region_Code]])</f>
        <v>172.27</v>
      </c>
      <c r="R505">
        <f>AVERAGEIFS(K505:K1004,F505:F1004,Table8[[#This Row],[Category]],N505:N1004,Table8[[#This Row],[Region_Code]])</f>
        <v>54.13</v>
      </c>
    </row>
  </sheetData>
  <mergeCells count="1">
    <mergeCell ref="A1:R3"/>
  </mergeCells>
  <pageMargins left="0.75" right="0.75" top="1" bottom="1" header="0.5" footer="0.5"/>
  <ignoredErrors>
    <ignoredError sqref="O6" calculatedColumn="1"/>
    <ignoredError sqref="O7 O8:O505" formulaRange="1" calculatedColumn="1"/>
    <ignoredError sqref="P7:P505 Q7:Q505 R7:R505" formulaRange="1"/>
  </ignoredErrors>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R30"/>
  <sheetViews>
    <sheetView zoomScale="49" workbookViewId="0">
      <selection activeCell="I49" sqref="I49"/>
    </sheetView>
  </sheetViews>
  <sheetFormatPr defaultRowHeight="14.4" x14ac:dyDescent="0.3"/>
  <cols>
    <col min="1" max="1" width="19.6640625" bestFit="1" customWidth="1"/>
    <col min="2" max="2" width="23.6640625" bestFit="1" customWidth="1"/>
    <col min="3" max="4" width="10.109375" bestFit="1" customWidth="1"/>
    <col min="5" max="5" width="11.44140625" bestFit="1" customWidth="1"/>
    <col min="6" max="6" width="25.33203125" bestFit="1" customWidth="1"/>
    <col min="7" max="7" width="11.44140625" bestFit="1" customWidth="1"/>
    <col min="8" max="8" width="10.109375" bestFit="1" customWidth="1"/>
    <col min="9" max="9" width="11.44140625" bestFit="1" customWidth="1"/>
    <col min="10" max="10" width="25" bestFit="1" customWidth="1"/>
    <col min="11" max="11" width="32.33203125" bestFit="1" customWidth="1"/>
    <col min="12" max="12" width="17.77734375" bestFit="1" customWidth="1"/>
    <col min="13" max="13" width="25.33203125" bestFit="1" customWidth="1"/>
    <col min="14" max="14" width="17.77734375" bestFit="1" customWidth="1"/>
    <col min="15" max="15" width="25.33203125" bestFit="1" customWidth="1"/>
    <col min="16" max="16" width="17.77734375" bestFit="1" customWidth="1"/>
    <col min="17" max="17" width="25.33203125" bestFit="1" customWidth="1"/>
    <col min="18" max="18" width="17.77734375" bestFit="1" customWidth="1"/>
    <col min="19" max="19" width="25.33203125" bestFit="1" customWidth="1"/>
    <col min="20" max="20" width="17.77734375" bestFit="1" customWidth="1"/>
    <col min="21" max="21" width="25.33203125" bestFit="1" customWidth="1"/>
    <col min="22" max="22" width="25" bestFit="1" customWidth="1"/>
    <col min="23" max="23" width="32.33203125" bestFit="1" customWidth="1"/>
    <col min="24" max="24" width="26.44140625" bestFit="1" customWidth="1"/>
    <col min="25" max="25" width="33.6640625" bestFit="1" customWidth="1"/>
    <col min="26" max="26" width="17.77734375" bestFit="1" customWidth="1"/>
    <col min="27" max="27" width="25.33203125" bestFit="1" customWidth="1"/>
    <col min="28" max="28" width="27.33203125" bestFit="1" customWidth="1"/>
    <col min="29" max="29" width="34.77734375" bestFit="1" customWidth="1"/>
    <col min="30" max="30" width="17.77734375" bestFit="1" customWidth="1"/>
    <col min="31" max="31" width="25.33203125" bestFit="1" customWidth="1"/>
    <col min="32" max="32" width="25.5546875" bestFit="1" customWidth="1"/>
    <col min="33" max="33" width="32.77734375" bestFit="1" customWidth="1"/>
    <col min="34" max="34" width="17.77734375" bestFit="1" customWidth="1"/>
    <col min="35" max="35" width="25.33203125" bestFit="1" customWidth="1"/>
    <col min="36" max="36" width="26.88671875" bestFit="1" customWidth="1"/>
    <col min="37" max="37" width="34.109375" bestFit="1" customWidth="1"/>
    <col min="38" max="38" width="17.77734375" bestFit="1" customWidth="1"/>
    <col min="39" max="39" width="25.33203125" bestFit="1" customWidth="1"/>
    <col min="40" max="40" width="26.88671875" bestFit="1" customWidth="1"/>
    <col min="41" max="41" width="34.109375" bestFit="1" customWidth="1"/>
    <col min="42" max="42" width="25" bestFit="1" customWidth="1"/>
    <col min="43" max="43" width="32.33203125" bestFit="1" customWidth="1"/>
  </cols>
  <sheetData>
    <row r="1" spans="1:18" x14ac:dyDescent="0.3">
      <c r="A1" s="35" t="s">
        <v>94</v>
      </c>
      <c r="B1" s="38"/>
      <c r="C1" s="38"/>
      <c r="D1" s="38"/>
      <c r="E1" s="38"/>
      <c r="F1" s="38"/>
      <c r="G1" s="38"/>
      <c r="H1" s="38"/>
      <c r="I1" s="38"/>
      <c r="J1" s="38"/>
      <c r="K1" s="38"/>
      <c r="L1" s="38"/>
      <c r="M1" s="38"/>
      <c r="N1" s="38"/>
      <c r="O1" s="38"/>
      <c r="P1" s="38"/>
      <c r="Q1" s="38"/>
      <c r="R1" s="38"/>
    </row>
    <row r="2" spans="1:18" x14ac:dyDescent="0.3">
      <c r="A2" s="38"/>
      <c r="B2" s="38"/>
      <c r="C2" s="38"/>
      <c r="D2" s="38"/>
      <c r="E2" s="38"/>
      <c r="F2" s="38"/>
      <c r="G2" s="38"/>
      <c r="H2" s="38"/>
      <c r="I2" s="38"/>
      <c r="J2" s="38"/>
      <c r="K2" s="38"/>
      <c r="L2" s="38"/>
      <c r="M2" s="38"/>
      <c r="N2" s="38"/>
      <c r="O2" s="38"/>
      <c r="P2" s="38"/>
      <c r="Q2" s="38"/>
      <c r="R2" s="38"/>
    </row>
    <row r="3" spans="1:18" ht="114.75" customHeight="1" x14ac:dyDescent="0.3">
      <c r="A3" s="38"/>
      <c r="B3" s="38"/>
      <c r="C3" s="38"/>
      <c r="D3" s="38"/>
      <c r="E3" s="38"/>
      <c r="F3" s="38"/>
      <c r="G3" s="38"/>
      <c r="H3" s="38"/>
      <c r="I3" s="38"/>
      <c r="J3" s="38"/>
      <c r="K3" s="38"/>
      <c r="L3" s="38"/>
      <c r="M3" s="38"/>
      <c r="N3" s="38"/>
      <c r="O3" s="38"/>
      <c r="P3" s="38"/>
      <c r="Q3" s="38"/>
      <c r="R3" s="38"/>
    </row>
    <row r="5" spans="1:18" ht="28.8" x14ac:dyDescent="0.3">
      <c r="A5" s="1" t="s">
        <v>1</v>
      </c>
      <c r="B5" s="1" t="s">
        <v>2</v>
      </c>
      <c r="C5" s="1" t="s">
        <v>3</v>
      </c>
      <c r="D5" s="1" t="s">
        <v>4</v>
      </c>
      <c r="E5" s="1" t="s">
        <v>5</v>
      </c>
      <c r="F5" s="1" t="s">
        <v>6</v>
      </c>
      <c r="G5" s="1" t="s">
        <v>7</v>
      </c>
      <c r="H5" s="1" t="s">
        <v>8</v>
      </c>
      <c r="I5" s="1" t="s">
        <v>9</v>
      </c>
      <c r="J5" s="1" t="s">
        <v>10</v>
      </c>
      <c r="K5" s="1" t="s">
        <v>11</v>
      </c>
      <c r="L5" s="1" t="s">
        <v>12</v>
      </c>
      <c r="M5" s="1" t="s">
        <v>13</v>
      </c>
      <c r="N5" s="1" t="s">
        <v>14</v>
      </c>
      <c r="O5" s="1" t="s">
        <v>15</v>
      </c>
      <c r="P5" s="1" t="s">
        <v>16</v>
      </c>
      <c r="Q5" s="1" t="s">
        <v>17</v>
      </c>
      <c r="R5" s="1" t="s">
        <v>18</v>
      </c>
    </row>
    <row r="6" spans="1:18" x14ac:dyDescent="0.3">
      <c r="A6" t="s">
        <v>19</v>
      </c>
      <c r="B6" s="2">
        <v>45677</v>
      </c>
      <c r="C6" t="s">
        <v>20</v>
      </c>
      <c r="D6" t="s">
        <v>21</v>
      </c>
      <c r="E6" t="s">
        <v>22</v>
      </c>
      <c r="F6" t="s">
        <v>23</v>
      </c>
      <c r="G6">
        <v>20</v>
      </c>
      <c r="H6">
        <v>55.22</v>
      </c>
      <c r="I6">
        <v>1104.4000000000001</v>
      </c>
      <c r="J6">
        <v>49.36</v>
      </c>
      <c r="K6">
        <v>355.04</v>
      </c>
      <c r="L6" t="s">
        <v>24</v>
      </c>
      <c r="M6" t="s">
        <v>25</v>
      </c>
      <c r="O6">
        <v>35</v>
      </c>
      <c r="P6" t="s">
        <v>26</v>
      </c>
      <c r="Q6" t="s">
        <v>27</v>
      </c>
      <c r="R6" t="s">
        <v>28</v>
      </c>
    </row>
    <row r="7" spans="1:18" x14ac:dyDescent="0.3">
      <c r="A7" t="s">
        <v>29</v>
      </c>
      <c r="B7" s="2">
        <v>45702</v>
      </c>
      <c r="C7" t="s">
        <v>30</v>
      </c>
      <c r="D7" t="s">
        <v>31</v>
      </c>
      <c r="E7" t="s">
        <v>32</v>
      </c>
      <c r="F7" t="s">
        <v>23</v>
      </c>
      <c r="G7">
        <v>33</v>
      </c>
      <c r="H7">
        <v>32.03</v>
      </c>
      <c r="I7">
        <v>1056.99</v>
      </c>
      <c r="J7">
        <v>59.59</v>
      </c>
      <c r="K7">
        <v>403.4</v>
      </c>
      <c r="L7" t="s">
        <v>33</v>
      </c>
      <c r="M7" t="s">
        <v>34</v>
      </c>
      <c r="N7" t="s">
        <v>35</v>
      </c>
      <c r="O7">
        <v>18</v>
      </c>
      <c r="P7" t="s">
        <v>36</v>
      </c>
      <c r="Q7" t="s">
        <v>37</v>
      </c>
      <c r="R7" t="s">
        <v>38</v>
      </c>
    </row>
    <row r="8" spans="1:18" x14ac:dyDescent="0.3">
      <c r="A8" t="s">
        <v>39</v>
      </c>
      <c r="B8" s="2">
        <v>45411</v>
      </c>
      <c r="C8" t="s">
        <v>40</v>
      </c>
      <c r="D8" t="s">
        <v>37</v>
      </c>
      <c r="E8" t="s">
        <v>32</v>
      </c>
      <c r="F8" t="s">
        <v>23</v>
      </c>
      <c r="G8">
        <v>34</v>
      </c>
      <c r="H8">
        <v>28.48</v>
      </c>
      <c r="I8">
        <v>968.32</v>
      </c>
      <c r="J8">
        <v>73.95</v>
      </c>
      <c r="K8">
        <v>282.37</v>
      </c>
      <c r="L8" t="s">
        <v>24</v>
      </c>
      <c r="M8" t="s">
        <v>41</v>
      </c>
      <c r="N8" t="s">
        <v>35</v>
      </c>
      <c r="O8">
        <v>18</v>
      </c>
      <c r="P8" t="s">
        <v>36</v>
      </c>
      <c r="Q8" t="s">
        <v>37</v>
      </c>
      <c r="R8" t="s">
        <v>42</v>
      </c>
    </row>
    <row r="9" spans="1:18" x14ac:dyDescent="0.3">
      <c r="A9" t="s">
        <v>43</v>
      </c>
      <c r="B9" s="2">
        <v>45566</v>
      </c>
      <c r="C9" t="s">
        <v>44</v>
      </c>
      <c r="D9" t="s">
        <v>45</v>
      </c>
      <c r="E9" t="s">
        <v>46</v>
      </c>
      <c r="F9" t="s">
        <v>47</v>
      </c>
      <c r="G9">
        <v>6</v>
      </c>
      <c r="H9">
        <v>56.36</v>
      </c>
      <c r="I9">
        <v>338.16</v>
      </c>
      <c r="J9">
        <v>11.39</v>
      </c>
      <c r="K9">
        <v>134.77000000000001</v>
      </c>
      <c r="L9" t="s">
        <v>48</v>
      </c>
      <c r="M9" t="s">
        <v>34</v>
      </c>
      <c r="N9" t="s">
        <v>49</v>
      </c>
      <c r="O9">
        <v>32</v>
      </c>
      <c r="P9" t="s">
        <v>50</v>
      </c>
      <c r="Q9" t="s">
        <v>51</v>
      </c>
      <c r="R9" t="s">
        <v>52</v>
      </c>
    </row>
    <row r="10" spans="1:18" x14ac:dyDescent="0.3">
      <c r="A10" t="s">
        <v>53</v>
      </c>
      <c r="B10" s="2">
        <v>45703</v>
      </c>
      <c r="C10" t="s">
        <v>54</v>
      </c>
      <c r="D10" t="s">
        <v>55</v>
      </c>
      <c r="E10" t="s">
        <v>56</v>
      </c>
      <c r="F10" t="s">
        <v>57</v>
      </c>
      <c r="G10">
        <v>17</v>
      </c>
      <c r="H10">
        <v>69.22</v>
      </c>
      <c r="I10">
        <v>1176.74</v>
      </c>
      <c r="J10">
        <v>65.94</v>
      </c>
      <c r="K10">
        <v>430.8</v>
      </c>
      <c r="L10" t="s">
        <v>33</v>
      </c>
      <c r="M10" t="s">
        <v>25</v>
      </c>
      <c r="O10">
        <v>40</v>
      </c>
      <c r="P10" t="s">
        <v>58</v>
      </c>
      <c r="Q10" t="s">
        <v>59</v>
      </c>
      <c r="R10" t="s">
        <v>38</v>
      </c>
    </row>
    <row r="11" spans="1:18" x14ac:dyDescent="0.3">
      <c r="A11" t="s">
        <v>60</v>
      </c>
      <c r="B11" s="2">
        <v>45714</v>
      </c>
      <c r="C11" t="s">
        <v>61</v>
      </c>
      <c r="D11" t="s">
        <v>62</v>
      </c>
      <c r="E11" t="s">
        <v>63</v>
      </c>
      <c r="F11" t="s">
        <v>47</v>
      </c>
      <c r="G11">
        <v>13</v>
      </c>
      <c r="H11">
        <v>27.94</v>
      </c>
      <c r="I11">
        <v>363.22</v>
      </c>
      <c r="J11">
        <v>15.36</v>
      </c>
      <c r="K11">
        <v>87.86</v>
      </c>
      <c r="L11" t="s">
        <v>33</v>
      </c>
      <c r="M11" t="s">
        <v>25</v>
      </c>
      <c r="O11">
        <v>20</v>
      </c>
      <c r="P11" t="s">
        <v>64</v>
      </c>
      <c r="Q11" t="s">
        <v>51</v>
      </c>
      <c r="R11" t="s">
        <v>38</v>
      </c>
    </row>
    <row r="12" spans="1:18" x14ac:dyDescent="0.3">
      <c r="A12" t="s">
        <v>65</v>
      </c>
      <c r="B12" s="2">
        <v>45456</v>
      </c>
      <c r="C12" t="s">
        <v>66</v>
      </c>
      <c r="D12" t="s">
        <v>31</v>
      </c>
      <c r="E12" t="s">
        <v>67</v>
      </c>
      <c r="F12" t="s">
        <v>68</v>
      </c>
      <c r="G12">
        <v>3</v>
      </c>
      <c r="H12">
        <v>31.52</v>
      </c>
      <c r="I12">
        <v>94.56</v>
      </c>
      <c r="J12">
        <v>6.98</v>
      </c>
      <c r="K12">
        <v>20.079999999999998</v>
      </c>
      <c r="L12" t="s">
        <v>24</v>
      </c>
      <c r="M12" t="s">
        <v>41</v>
      </c>
      <c r="N12" t="s">
        <v>35</v>
      </c>
      <c r="O12">
        <v>22.5</v>
      </c>
      <c r="P12" t="s">
        <v>69</v>
      </c>
      <c r="Q12" t="s">
        <v>70</v>
      </c>
      <c r="R12" t="s">
        <v>71</v>
      </c>
    </row>
    <row r="13" spans="1:18" x14ac:dyDescent="0.3">
      <c r="A13" t="s">
        <v>72</v>
      </c>
      <c r="B13" s="2">
        <v>45778</v>
      </c>
      <c r="C13" t="s">
        <v>73</v>
      </c>
      <c r="D13" t="s">
        <v>51</v>
      </c>
      <c r="E13" t="s">
        <v>74</v>
      </c>
      <c r="F13" t="s">
        <v>75</v>
      </c>
      <c r="G13">
        <v>14</v>
      </c>
      <c r="H13">
        <v>30.71</v>
      </c>
      <c r="I13">
        <v>429.94</v>
      </c>
      <c r="J13">
        <v>13.03</v>
      </c>
      <c r="K13">
        <v>66.91</v>
      </c>
      <c r="L13" t="s">
        <v>33</v>
      </c>
      <c r="M13" t="s">
        <v>25</v>
      </c>
      <c r="N13" t="s">
        <v>76</v>
      </c>
      <c r="O13">
        <v>25</v>
      </c>
      <c r="P13" t="s">
        <v>77</v>
      </c>
      <c r="Q13" t="s">
        <v>78</v>
      </c>
      <c r="R13" t="s">
        <v>79</v>
      </c>
    </row>
    <row r="14" spans="1:18" x14ac:dyDescent="0.3">
      <c r="A14" t="s">
        <v>80</v>
      </c>
      <c r="B14" s="2">
        <v>45548</v>
      </c>
      <c r="C14" t="s">
        <v>40</v>
      </c>
      <c r="D14" t="s">
        <v>21</v>
      </c>
      <c r="E14" t="s">
        <v>81</v>
      </c>
      <c r="F14" t="s">
        <v>68</v>
      </c>
      <c r="G14">
        <v>47</v>
      </c>
      <c r="H14">
        <v>24.47</v>
      </c>
      <c r="I14">
        <v>1150.0899999999999</v>
      </c>
      <c r="J14">
        <v>61.3</v>
      </c>
      <c r="K14">
        <v>360.29</v>
      </c>
      <c r="L14" t="s">
        <v>33</v>
      </c>
      <c r="M14" t="s">
        <v>25</v>
      </c>
      <c r="O14">
        <v>15.5</v>
      </c>
      <c r="P14" t="s">
        <v>82</v>
      </c>
      <c r="Q14" t="s">
        <v>70</v>
      </c>
      <c r="R14" t="s">
        <v>83</v>
      </c>
    </row>
    <row r="15" spans="1:18" x14ac:dyDescent="0.3">
      <c r="A15" t="s">
        <v>84</v>
      </c>
      <c r="B15" s="2">
        <v>45531</v>
      </c>
      <c r="C15" t="s">
        <v>85</v>
      </c>
      <c r="D15" t="s">
        <v>37</v>
      </c>
      <c r="E15" t="s">
        <v>86</v>
      </c>
      <c r="F15" t="s">
        <v>47</v>
      </c>
      <c r="G15">
        <v>27</v>
      </c>
      <c r="H15">
        <v>18.98</v>
      </c>
      <c r="I15">
        <v>512.46</v>
      </c>
      <c r="J15">
        <v>28.89</v>
      </c>
      <c r="K15">
        <v>139.32</v>
      </c>
      <c r="L15" t="s">
        <v>33</v>
      </c>
      <c r="M15" t="s">
        <v>41</v>
      </c>
      <c r="N15" t="s">
        <v>35</v>
      </c>
      <c r="O15">
        <v>12.75</v>
      </c>
      <c r="P15" t="s">
        <v>87</v>
      </c>
      <c r="Q15" t="s">
        <v>27</v>
      </c>
      <c r="R15" t="s">
        <v>88</v>
      </c>
    </row>
    <row r="19" spans="1:11" x14ac:dyDescent="0.3">
      <c r="B19" s="14" t="s">
        <v>1037</v>
      </c>
    </row>
    <row r="20" spans="1:11" x14ac:dyDescent="0.3">
      <c r="B20" t="s">
        <v>1039</v>
      </c>
      <c r="F20" t="s">
        <v>1038</v>
      </c>
      <c r="J20" t="s">
        <v>1041</v>
      </c>
      <c r="K20" t="s">
        <v>1040</v>
      </c>
    </row>
    <row r="21" spans="1:11" x14ac:dyDescent="0.3">
      <c r="A21" s="14" t="s">
        <v>1035</v>
      </c>
      <c r="B21" t="s">
        <v>76</v>
      </c>
      <c r="C21" t="s">
        <v>35</v>
      </c>
      <c r="D21" t="s">
        <v>49</v>
      </c>
      <c r="E21" t="s">
        <v>1042</v>
      </c>
      <c r="F21" t="s">
        <v>76</v>
      </c>
      <c r="G21" t="s">
        <v>35</v>
      </c>
      <c r="H21" t="s">
        <v>49</v>
      </c>
      <c r="I21" t="s">
        <v>1042</v>
      </c>
    </row>
    <row r="22" spans="1:11" x14ac:dyDescent="0.3">
      <c r="A22" s="15" t="s">
        <v>42</v>
      </c>
      <c r="C22">
        <v>282.37</v>
      </c>
      <c r="G22">
        <v>968.32</v>
      </c>
      <c r="J22">
        <v>282.37</v>
      </c>
      <c r="K22">
        <v>968.32</v>
      </c>
    </row>
    <row r="23" spans="1:11" x14ac:dyDescent="0.3">
      <c r="A23" s="15" t="s">
        <v>71</v>
      </c>
      <c r="C23">
        <v>20.079999999999998</v>
      </c>
      <c r="G23">
        <v>94.56</v>
      </c>
      <c r="J23">
        <v>20.079999999999998</v>
      </c>
      <c r="K23">
        <v>94.56</v>
      </c>
    </row>
    <row r="24" spans="1:11" x14ac:dyDescent="0.3">
      <c r="A24" s="15" t="s">
        <v>88</v>
      </c>
      <c r="C24">
        <v>139.32</v>
      </c>
      <c r="G24">
        <v>512.46</v>
      </c>
      <c r="J24">
        <v>139.32</v>
      </c>
      <c r="K24">
        <v>512.46</v>
      </c>
    </row>
    <row r="25" spans="1:11" x14ac:dyDescent="0.3">
      <c r="A25" s="15" t="s">
        <v>83</v>
      </c>
      <c r="E25">
        <v>360.29</v>
      </c>
      <c r="I25">
        <v>1150.0899999999999</v>
      </c>
      <c r="J25">
        <v>360.29</v>
      </c>
      <c r="K25">
        <v>1150.0899999999999</v>
      </c>
    </row>
    <row r="26" spans="1:11" x14ac:dyDescent="0.3">
      <c r="A26" s="15" t="s">
        <v>52</v>
      </c>
      <c r="D26">
        <v>134.77000000000001</v>
      </c>
      <c r="H26">
        <v>338.16</v>
      </c>
      <c r="J26">
        <v>134.77000000000001</v>
      </c>
      <c r="K26">
        <v>338.16</v>
      </c>
    </row>
    <row r="27" spans="1:11" x14ac:dyDescent="0.3">
      <c r="A27" s="15" t="s">
        <v>28</v>
      </c>
      <c r="E27">
        <v>355.04</v>
      </c>
      <c r="I27">
        <v>1104.4000000000001</v>
      </c>
      <c r="J27">
        <v>355.04</v>
      </c>
      <c r="K27">
        <v>1104.4000000000001</v>
      </c>
    </row>
    <row r="28" spans="1:11" x14ac:dyDescent="0.3">
      <c r="A28" s="15" t="s">
        <v>38</v>
      </c>
      <c r="C28">
        <v>403.4</v>
      </c>
      <c r="E28">
        <v>518.66</v>
      </c>
      <c r="G28">
        <v>1056.99</v>
      </c>
      <c r="I28">
        <v>1539.96</v>
      </c>
      <c r="J28">
        <v>922.06</v>
      </c>
      <c r="K28">
        <v>2596.9499999999998</v>
      </c>
    </row>
    <row r="29" spans="1:11" x14ac:dyDescent="0.3">
      <c r="A29" s="15" t="s">
        <v>79</v>
      </c>
      <c r="B29">
        <v>66.91</v>
      </c>
      <c r="F29">
        <v>429.94</v>
      </c>
      <c r="J29">
        <v>66.91</v>
      </c>
      <c r="K29">
        <v>429.94</v>
      </c>
    </row>
    <row r="30" spans="1:11" x14ac:dyDescent="0.3">
      <c r="A30" s="15" t="s">
        <v>1036</v>
      </c>
      <c r="B30">
        <v>66.91</v>
      </c>
      <c r="C30">
        <v>845.17</v>
      </c>
      <c r="D30">
        <v>134.77000000000001</v>
      </c>
      <c r="E30">
        <v>1233.99</v>
      </c>
      <c r="F30">
        <v>429.94</v>
      </c>
      <c r="G30">
        <v>2632.33</v>
      </c>
      <c r="H30">
        <v>338.16</v>
      </c>
      <c r="I30">
        <v>3794.45</v>
      </c>
      <c r="J30">
        <v>2280.8399999999997</v>
      </c>
      <c r="K30">
        <v>7194.8799999999992</v>
      </c>
    </row>
  </sheetData>
  <mergeCells count="1">
    <mergeCell ref="A1:R3"/>
  </mergeCells>
  <pageMargins left="0.75" right="0.75" top="1" bottom="1" header="0.5" footer="0.5"/>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W505"/>
  <sheetViews>
    <sheetView topLeftCell="A3" zoomScale="62" workbookViewId="0">
      <selection activeCell="R5" sqref="R5:R505"/>
    </sheetView>
  </sheetViews>
  <sheetFormatPr defaultRowHeight="14.4" x14ac:dyDescent="0.3"/>
  <cols>
    <col min="1" max="1" width="24.33203125" bestFit="1" customWidth="1"/>
    <col min="2" max="2" width="22.77734375" bestFit="1" customWidth="1"/>
    <col min="3" max="3" width="12.33203125" bestFit="1" customWidth="1"/>
    <col min="4" max="4" width="14.44140625" bestFit="1" customWidth="1"/>
    <col min="5" max="5" width="16" bestFit="1" customWidth="1"/>
    <col min="6" max="6" width="12.33203125" bestFit="1" customWidth="1"/>
    <col min="7" max="7" width="15.109375" bestFit="1" customWidth="1"/>
    <col min="8" max="10" width="9.33203125" bestFit="1" customWidth="1"/>
    <col min="11" max="11" width="11.33203125" bestFit="1" customWidth="1"/>
    <col min="12" max="15" width="17.5546875" bestFit="1" customWidth="1"/>
    <col min="16" max="16" width="22.77734375" bestFit="1" customWidth="1"/>
    <col min="18" max="18" width="13.77734375" customWidth="1"/>
    <col min="19" max="20" width="16.5546875" customWidth="1"/>
    <col min="21" max="21" width="9.77734375" customWidth="1"/>
    <col min="22" max="22" width="18.33203125" customWidth="1"/>
    <col min="23" max="23" width="13.33203125" customWidth="1"/>
  </cols>
  <sheetData>
    <row r="1" spans="1:23" x14ac:dyDescent="0.3">
      <c r="A1" s="35" t="s">
        <v>95</v>
      </c>
      <c r="B1" s="38"/>
      <c r="C1" s="38"/>
      <c r="D1" s="38"/>
      <c r="E1" s="38"/>
      <c r="F1" s="38"/>
      <c r="G1" s="38"/>
      <c r="H1" s="38"/>
      <c r="I1" s="38"/>
      <c r="J1" s="38"/>
      <c r="K1" s="38"/>
      <c r="L1" s="38"/>
      <c r="M1" s="38"/>
      <c r="N1" s="38"/>
      <c r="O1" s="38"/>
      <c r="P1" s="38"/>
      <c r="Q1" s="38"/>
    </row>
    <row r="2" spans="1:23" x14ac:dyDescent="0.3">
      <c r="A2" s="38"/>
      <c r="B2" s="38"/>
      <c r="C2" s="38"/>
      <c r="D2" s="38"/>
      <c r="E2" s="38"/>
      <c r="F2" s="38"/>
      <c r="G2" s="38"/>
      <c r="H2" s="38"/>
      <c r="I2" s="38"/>
      <c r="J2" s="38"/>
      <c r="K2" s="38"/>
      <c r="L2" s="38"/>
      <c r="M2" s="38"/>
      <c r="N2" s="38"/>
      <c r="O2" s="38"/>
      <c r="P2" s="38"/>
      <c r="Q2" s="38"/>
    </row>
    <row r="3" spans="1:23" ht="173.25" customHeight="1" x14ac:dyDescent="0.3">
      <c r="A3" s="38"/>
      <c r="B3" s="38"/>
      <c r="C3" s="38"/>
      <c r="D3" s="38"/>
      <c r="E3" s="38"/>
      <c r="F3" s="38"/>
      <c r="G3" s="38"/>
      <c r="H3" s="38"/>
      <c r="I3" s="38"/>
      <c r="J3" s="38"/>
      <c r="K3" s="38"/>
      <c r="L3" s="38"/>
      <c r="M3" s="38"/>
      <c r="N3" s="38"/>
      <c r="O3" s="38"/>
      <c r="P3" s="38"/>
      <c r="Q3" s="38"/>
    </row>
    <row r="4" spans="1:23" x14ac:dyDescent="0.3">
      <c r="A4" s="14" t="s">
        <v>1035</v>
      </c>
      <c r="B4" t="s">
        <v>1039</v>
      </c>
      <c r="C4" t="s">
        <v>1038</v>
      </c>
    </row>
    <row r="5" spans="1:23" x14ac:dyDescent="0.3">
      <c r="A5" s="15" t="s">
        <v>1045</v>
      </c>
      <c r="B5">
        <v>13464.060000000003</v>
      </c>
      <c r="C5">
        <v>48705.329999999994</v>
      </c>
      <c r="R5" s="17" t="s">
        <v>1044</v>
      </c>
      <c r="S5" s="8" t="s">
        <v>2</v>
      </c>
      <c r="T5" s="8" t="s">
        <v>9</v>
      </c>
      <c r="U5" s="8" t="s">
        <v>11</v>
      </c>
      <c r="V5" s="8" t="s">
        <v>14</v>
      </c>
      <c r="W5" s="8" t="s">
        <v>6</v>
      </c>
    </row>
    <row r="6" spans="1:23" x14ac:dyDescent="0.3">
      <c r="A6" s="15" t="s">
        <v>1046</v>
      </c>
      <c r="B6">
        <v>16542.95</v>
      </c>
      <c r="C6">
        <v>55444.229999999996</v>
      </c>
      <c r="R6" t="str">
        <f>TEXT(S6,"MMM")</f>
        <v>Jan</v>
      </c>
      <c r="S6" t="s">
        <v>97</v>
      </c>
      <c r="T6">
        <v>1104.4000000000001</v>
      </c>
      <c r="U6">
        <v>355.04</v>
      </c>
      <c r="V6" t="s">
        <v>98</v>
      </c>
      <c r="W6" t="s">
        <v>23</v>
      </c>
    </row>
    <row r="7" spans="1:23" x14ac:dyDescent="0.3">
      <c r="A7" s="15" t="s">
        <v>1047</v>
      </c>
      <c r="B7">
        <v>17797.150000000001</v>
      </c>
      <c r="C7">
        <v>59605.460000000006</v>
      </c>
      <c r="R7" t="str">
        <f t="shared" ref="R7:R70" si="0">TEXT(S7,"MMM")</f>
        <v>Feb</v>
      </c>
      <c r="S7" t="s">
        <v>99</v>
      </c>
      <c r="T7">
        <v>1056.99</v>
      </c>
      <c r="U7">
        <v>403.4</v>
      </c>
      <c r="V7" t="s">
        <v>35</v>
      </c>
      <c r="W7" t="s">
        <v>23</v>
      </c>
    </row>
    <row r="8" spans="1:23" x14ac:dyDescent="0.3">
      <c r="A8" s="15" t="s">
        <v>1048</v>
      </c>
      <c r="B8">
        <v>14560.49</v>
      </c>
      <c r="C8">
        <v>50615.600000000013</v>
      </c>
      <c r="R8" t="str">
        <f t="shared" si="0"/>
        <v>Apr</v>
      </c>
      <c r="S8" t="s">
        <v>100</v>
      </c>
      <c r="T8">
        <v>968.32</v>
      </c>
      <c r="U8">
        <v>282.37</v>
      </c>
      <c r="V8" t="s">
        <v>35</v>
      </c>
      <c r="W8" t="s">
        <v>23</v>
      </c>
    </row>
    <row r="9" spans="1:23" x14ac:dyDescent="0.3">
      <c r="A9" s="15" t="s">
        <v>1049</v>
      </c>
      <c r="B9">
        <v>8828.5399999999991</v>
      </c>
      <c r="C9">
        <v>34777.109999999993</v>
      </c>
      <c r="R9" t="str">
        <f t="shared" si="0"/>
        <v>Oct</v>
      </c>
      <c r="S9" t="s">
        <v>101</v>
      </c>
      <c r="T9">
        <v>338.16</v>
      </c>
      <c r="U9">
        <v>134.77000000000001</v>
      </c>
      <c r="V9" t="s">
        <v>49</v>
      </c>
      <c r="W9" t="s">
        <v>47</v>
      </c>
    </row>
    <row r="10" spans="1:23" x14ac:dyDescent="0.3">
      <c r="A10" s="15" t="s">
        <v>1050</v>
      </c>
      <c r="B10">
        <v>11775.910000000003</v>
      </c>
      <c r="C10">
        <v>38692.6</v>
      </c>
      <c r="R10" t="str">
        <f t="shared" si="0"/>
        <v>Feb</v>
      </c>
      <c r="S10" t="s">
        <v>102</v>
      </c>
      <c r="T10">
        <v>1176.74</v>
      </c>
      <c r="U10">
        <v>430.8</v>
      </c>
      <c r="V10" t="s">
        <v>98</v>
      </c>
      <c r="W10" t="s">
        <v>57</v>
      </c>
    </row>
    <row r="11" spans="1:23" x14ac:dyDescent="0.3">
      <c r="A11" s="15" t="s">
        <v>1051</v>
      </c>
      <c r="B11">
        <v>8441.1899999999987</v>
      </c>
      <c r="C11">
        <v>30288.910000000003</v>
      </c>
      <c r="R11" t="str">
        <f t="shared" si="0"/>
        <v>Feb</v>
      </c>
      <c r="S11" t="s">
        <v>103</v>
      </c>
      <c r="T11">
        <v>363.22</v>
      </c>
      <c r="U11">
        <v>87.86</v>
      </c>
      <c r="V11" t="s">
        <v>98</v>
      </c>
      <c r="W11" t="s">
        <v>47</v>
      </c>
    </row>
    <row r="12" spans="1:23" x14ac:dyDescent="0.3">
      <c r="A12" s="15" t="s">
        <v>1052</v>
      </c>
      <c r="B12">
        <v>7976.39</v>
      </c>
      <c r="C12">
        <v>28579.070000000003</v>
      </c>
      <c r="R12" t="str">
        <f t="shared" si="0"/>
        <v>Jun</v>
      </c>
      <c r="S12" t="s">
        <v>104</v>
      </c>
      <c r="T12">
        <v>94.56</v>
      </c>
      <c r="U12">
        <v>20.079999999999998</v>
      </c>
      <c r="V12" t="s">
        <v>35</v>
      </c>
      <c r="W12" t="s">
        <v>68</v>
      </c>
    </row>
    <row r="13" spans="1:23" x14ac:dyDescent="0.3">
      <c r="A13" s="15" t="s">
        <v>1053</v>
      </c>
      <c r="B13">
        <v>8387.18</v>
      </c>
      <c r="C13">
        <v>31738.729999999996</v>
      </c>
      <c r="R13" t="str">
        <f t="shared" si="0"/>
        <v>May</v>
      </c>
      <c r="S13" t="s">
        <v>105</v>
      </c>
      <c r="T13">
        <v>429.94</v>
      </c>
      <c r="U13">
        <v>66.91</v>
      </c>
      <c r="V13" t="s">
        <v>76</v>
      </c>
      <c r="W13" t="s">
        <v>75</v>
      </c>
    </row>
    <row r="14" spans="1:23" x14ac:dyDescent="0.3">
      <c r="A14" s="15" t="s">
        <v>1054</v>
      </c>
      <c r="B14">
        <v>7552.51</v>
      </c>
      <c r="C14">
        <v>25371.880000000005</v>
      </c>
      <c r="R14" t="str">
        <f t="shared" si="0"/>
        <v>Sep</v>
      </c>
      <c r="S14" t="s">
        <v>106</v>
      </c>
      <c r="T14">
        <v>1150.0899999999999</v>
      </c>
      <c r="U14">
        <v>360.29</v>
      </c>
      <c r="V14" t="s">
        <v>98</v>
      </c>
      <c r="W14" t="s">
        <v>68</v>
      </c>
    </row>
    <row r="15" spans="1:23" x14ac:dyDescent="0.3">
      <c r="A15" s="15" t="s">
        <v>1055</v>
      </c>
      <c r="B15">
        <v>7763.1299999999983</v>
      </c>
      <c r="C15">
        <v>31766.41</v>
      </c>
      <c r="R15" t="str">
        <f t="shared" si="0"/>
        <v>Aug</v>
      </c>
      <c r="S15" t="s">
        <v>107</v>
      </c>
      <c r="T15">
        <v>512.46</v>
      </c>
      <c r="U15">
        <v>139.32</v>
      </c>
      <c r="V15" t="s">
        <v>35</v>
      </c>
      <c r="W15" t="s">
        <v>47</v>
      </c>
    </row>
    <row r="16" spans="1:23" x14ac:dyDescent="0.3">
      <c r="A16" s="15" t="s">
        <v>1056</v>
      </c>
      <c r="B16">
        <v>10480.899999999998</v>
      </c>
      <c r="C16">
        <v>39119.29</v>
      </c>
      <c r="R16" t="str">
        <f t="shared" si="0"/>
        <v>Apr</v>
      </c>
      <c r="S16" t="s">
        <v>109</v>
      </c>
      <c r="T16">
        <v>1850.88</v>
      </c>
      <c r="U16">
        <v>675.73</v>
      </c>
      <c r="V16" t="s">
        <v>76</v>
      </c>
      <c r="W16" t="s">
        <v>23</v>
      </c>
    </row>
    <row r="17" spans="1:23" x14ac:dyDescent="0.3">
      <c r="A17" s="15" t="s">
        <v>1036</v>
      </c>
      <c r="B17">
        <v>133570.40000000002</v>
      </c>
      <c r="C17">
        <v>474704.61999999994</v>
      </c>
      <c r="R17" t="str">
        <f t="shared" si="0"/>
        <v>Dec</v>
      </c>
      <c r="S17" t="s">
        <v>112</v>
      </c>
      <c r="T17">
        <v>2879.73</v>
      </c>
      <c r="U17">
        <v>779.44</v>
      </c>
      <c r="V17" t="s">
        <v>98</v>
      </c>
      <c r="W17" t="s">
        <v>57</v>
      </c>
    </row>
    <row r="18" spans="1:23" x14ac:dyDescent="0.3">
      <c r="R18" t="str">
        <f t="shared" si="0"/>
        <v>Sep</v>
      </c>
      <c r="S18" t="s">
        <v>115</v>
      </c>
      <c r="T18">
        <v>2447.56</v>
      </c>
      <c r="U18">
        <v>802.16</v>
      </c>
      <c r="V18" t="s">
        <v>76</v>
      </c>
      <c r="W18" t="s">
        <v>23</v>
      </c>
    </row>
    <row r="19" spans="1:23" x14ac:dyDescent="0.3">
      <c r="R19" t="str">
        <f t="shared" si="0"/>
        <v>Feb</v>
      </c>
      <c r="S19" t="s">
        <v>118</v>
      </c>
      <c r="T19">
        <v>1390.4</v>
      </c>
      <c r="U19">
        <v>560.36</v>
      </c>
      <c r="V19" t="s">
        <v>35</v>
      </c>
      <c r="W19" t="s">
        <v>75</v>
      </c>
    </row>
    <row r="20" spans="1:23" x14ac:dyDescent="0.3">
      <c r="A20" s="14" t="s">
        <v>1038</v>
      </c>
      <c r="B20" s="14" t="s">
        <v>1037</v>
      </c>
      <c r="R20" t="str">
        <f t="shared" si="0"/>
        <v>Mar</v>
      </c>
      <c r="S20" t="s">
        <v>121</v>
      </c>
      <c r="T20">
        <v>936.98</v>
      </c>
      <c r="U20">
        <v>357.11</v>
      </c>
      <c r="V20" t="s">
        <v>76</v>
      </c>
      <c r="W20" t="s">
        <v>75</v>
      </c>
    </row>
    <row r="21" spans="1:23" x14ac:dyDescent="0.3">
      <c r="A21" s="14" t="s">
        <v>1035</v>
      </c>
      <c r="B21" t="s">
        <v>23</v>
      </c>
      <c r="C21" t="s">
        <v>57</v>
      </c>
      <c r="D21" t="s">
        <v>47</v>
      </c>
      <c r="E21" t="s">
        <v>68</v>
      </c>
      <c r="F21" t="s">
        <v>75</v>
      </c>
      <c r="G21" t="s">
        <v>1036</v>
      </c>
      <c r="R21" t="str">
        <f t="shared" si="0"/>
        <v>Sep</v>
      </c>
      <c r="S21" t="s">
        <v>125</v>
      </c>
      <c r="T21">
        <v>1217.28</v>
      </c>
      <c r="U21">
        <v>207.6</v>
      </c>
      <c r="V21" t="s">
        <v>76</v>
      </c>
      <c r="W21" t="s">
        <v>47</v>
      </c>
    </row>
    <row r="22" spans="1:23" x14ac:dyDescent="0.3">
      <c r="A22" s="15" t="s">
        <v>142</v>
      </c>
      <c r="B22">
        <v>6956.41</v>
      </c>
      <c r="C22">
        <v>6721.25</v>
      </c>
      <c r="D22">
        <v>7452.9400000000005</v>
      </c>
      <c r="E22">
        <v>8364.44</v>
      </c>
      <c r="G22">
        <v>29495.040000000001</v>
      </c>
      <c r="R22" t="str">
        <f t="shared" si="0"/>
        <v>Aug</v>
      </c>
      <c r="S22" t="s">
        <v>129</v>
      </c>
      <c r="T22">
        <v>1443.36</v>
      </c>
      <c r="U22">
        <v>477.05</v>
      </c>
      <c r="V22" t="s">
        <v>76</v>
      </c>
      <c r="W22" t="s">
        <v>23</v>
      </c>
    </row>
    <row r="23" spans="1:23" x14ac:dyDescent="0.3">
      <c r="A23" s="15" t="s">
        <v>76</v>
      </c>
      <c r="B23">
        <v>33225.639999999992</v>
      </c>
      <c r="C23">
        <v>30263.43</v>
      </c>
      <c r="D23">
        <v>34174.130000000005</v>
      </c>
      <c r="E23">
        <v>51860.89</v>
      </c>
      <c r="F23">
        <v>21644.309999999998</v>
      </c>
      <c r="G23">
        <v>171168.4</v>
      </c>
      <c r="R23" t="str">
        <f t="shared" si="0"/>
        <v>Sep</v>
      </c>
      <c r="S23" t="s">
        <v>131</v>
      </c>
      <c r="T23">
        <v>193.02</v>
      </c>
      <c r="U23">
        <v>58.57</v>
      </c>
      <c r="V23" t="s">
        <v>76</v>
      </c>
      <c r="W23" t="s">
        <v>47</v>
      </c>
    </row>
    <row r="24" spans="1:23" x14ac:dyDescent="0.3">
      <c r="A24" s="15" t="s">
        <v>35</v>
      </c>
      <c r="B24">
        <v>30642.080000000002</v>
      </c>
      <c r="C24">
        <v>11433.35</v>
      </c>
      <c r="D24">
        <v>25086.150000000005</v>
      </c>
      <c r="E24">
        <v>33685.94</v>
      </c>
      <c r="F24">
        <v>14367.099999999999</v>
      </c>
      <c r="G24">
        <v>115214.62</v>
      </c>
      <c r="R24" t="str">
        <f t="shared" si="0"/>
        <v>Jul</v>
      </c>
      <c r="S24" t="s">
        <v>133</v>
      </c>
      <c r="T24">
        <v>893.18</v>
      </c>
      <c r="U24">
        <v>195.79</v>
      </c>
      <c r="V24" t="s">
        <v>76</v>
      </c>
      <c r="W24" t="s">
        <v>23</v>
      </c>
    </row>
    <row r="25" spans="1:23" x14ac:dyDescent="0.3">
      <c r="A25" s="15" t="s">
        <v>98</v>
      </c>
      <c r="B25">
        <v>24079.71</v>
      </c>
      <c r="C25">
        <v>9625.9699999999993</v>
      </c>
      <c r="D25">
        <v>22495.010000000002</v>
      </c>
      <c r="E25">
        <v>26924.320000000003</v>
      </c>
      <c r="F25">
        <v>3820.0600000000004</v>
      </c>
      <c r="G25">
        <v>86945.07</v>
      </c>
      <c r="R25" t="str">
        <f t="shared" si="0"/>
        <v>Apr</v>
      </c>
      <c r="S25" t="s">
        <v>136</v>
      </c>
      <c r="T25">
        <v>1475.76</v>
      </c>
      <c r="U25">
        <v>310.36</v>
      </c>
      <c r="V25" t="s">
        <v>35</v>
      </c>
      <c r="W25" t="s">
        <v>68</v>
      </c>
    </row>
    <row r="26" spans="1:23" x14ac:dyDescent="0.3">
      <c r="A26" s="15" t="s">
        <v>207</v>
      </c>
      <c r="B26">
        <v>6810.06</v>
      </c>
      <c r="C26">
        <v>12174.14</v>
      </c>
      <c r="D26">
        <v>8892.01</v>
      </c>
      <c r="E26">
        <v>6972.93</v>
      </c>
      <c r="F26">
        <v>2168.3200000000002</v>
      </c>
      <c r="G26">
        <v>37017.46</v>
      </c>
      <c r="R26" t="str">
        <f t="shared" si="0"/>
        <v>Feb</v>
      </c>
      <c r="S26" t="s">
        <v>139</v>
      </c>
      <c r="T26">
        <v>412.62</v>
      </c>
      <c r="U26">
        <v>155.44</v>
      </c>
      <c r="V26" t="s">
        <v>142</v>
      </c>
      <c r="W26" t="s">
        <v>57</v>
      </c>
    </row>
    <row r="27" spans="1:23" x14ac:dyDescent="0.3">
      <c r="A27" s="15" t="s">
        <v>49</v>
      </c>
      <c r="B27">
        <v>8480.99</v>
      </c>
      <c r="C27">
        <v>2134.23</v>
      </c>
      <c r="D27">
        <v>16927.670000000002</v>
      </c>
      <c r="E27">
        <v>2088.92</v>
      </c>
      <c r="F27">
        <v>5232.22</v>
      </c>
      <c r="G27">
        <v>34864.03</v>
      </c>
      <c r="R27" t="str">
        <f t="shared" si="0"/>
        <v>Mar</v>
      </c>
      <c r="S27" t="s">
        <v>144</v>
      </c>
      <c r="T27">
        <v>111</v>
      </c>
      <c r="U27">
        <v>29.24</v>
      </c>
      <c r="V27" t="s">
        <v>98</v>
      </c>
      <c r="W27" t="s">
        <v>47</v>
      </c>
    </row>
    <row r="28" spans="1:23" x14ac:dyDescent="0.3">
      <c r="A28" s="15" t="s">
        <v>1036</v>
      </c>
      <c r="B28">
        <v>110194.89</v>
      </c>
      <c r="C28">
        <v>72352.37</v>
      </c>
      <c r="D28">
        <v>115027.91</v>
      </c>
      <c r="E28">
        <v>129897.44000000002</v>
      </c>
      <c r="F28">
        <v>47232.009999999995</v>
      </c>
      <c r="G28">
        <v>474704.62</v>
      </c>
      <c r="R28" t="str">
        <f t="shared" si="0"/>
        <v>May</v>
      </c>
      <c r="S28" t="s">
        <v>147</v>
      </c>
      <c r="T28">
        <v>955.68</v>
      </c>
      <c r="U28">
        <v>164.11</v>
      </c>
      <c r="V28" t="s">
        <v>35</v>
      </c>
      <c r="W28" t="s">
        <v>68</v>
      </c>
    </row>
    <row r="29" spans="1:23" x14ac:dyDescent="0.3">
      <c r="R29" t="str">
        <f t="shared" si="0"/>
        <v>Feb</v>
      </c>
      <c r="S29" t="s">
        <v>150</v>
      </c>
      <c r="T29">
        <v>1085.6199999999999</v>
      </c>
      <c r="U29">
        <v>313.47000000000003</v>
      </c>
      <c r="V29" t="s">
        <v>98</v>
      </c>
      <c r="W29" t="s">
        <v>68</v>
      </c>
    </row>
    <row r="30" spans="1:23" x14ac:dyDescent="0.3">
      <c r="R30" t="str">
        <f t="shared" si="0"/>
        <v>Apr</v>
      </c>
      <c r="S30" t="s">
        <v>153</v>
      </c>
      <c r="T30">
        <v>789.25</v>
      </c>
      <c r="U30">
        <v>232.78</v>
      </c>
      <c r="V30" t="s">
        <v>98</v>
      </c>
      <c r="W30" t="s">
        <v>47</v>
      </c>
    </row>
    <row r="31" spans="1:23" x14ac:dyDescent="0.3">
      <c r="R31" t="str">
        <f t="shared" si="0"/>
        <v>Dec</v>
      </c>
      <c r="S31" t="s">
        <v>156</v>
      </c>
      <c r="T31">
        <v>379.12</v>
      </c>
      <c r="U31">
        <v>151</v>
      </c>
      <c r="V31" t="s">
        <v>35</v>
      </c>
      <c r="W31" t="s">
        <v>68</v>
      </c>
    </row>
    <row r="32" spans="1:23" x14ac:dyDescent="0.3">
      <c r="R32" t="str">
        <f t="shared" si="0"/>
        <v>Jun</v>
      </c>
      <c r="S32" t="s">
        <v>159</v>
      </c>
      <c r="T32">
        <v>1377.48</v>
      </c>
      <c r="U32">
        <v>221.76</v>
      </c>
      <c r="V32" t="s">
        <v>35</v>
      </c>
      <c r="W32" t="s">
        <v>68</v>
      </c>
    </row>
    <row r="33" spans="18:23" x14ac:dyDescent="0.3">
      <c r="R33" t="str">
        <f t="shared" si="0"/>
        <v>Aug</v>
      </c>
      <c r="S33" t="s">
        <v>161</v>
      </c>
      <c r="T33">
        <v>237.78</v>
      </c>
      <c r="U33">
        <v>94.7</v>
      </c>
      <c r="V33" t="s">
        <v>76</v>
      </c>
      <c r="W33" t="s">
        <v>68</v>
      </c>
    </row>
    <row r="34" spans="18:23" x14ac:dyDescent="0.3">
      <c r="R34" t="str">
        <f t="shared" si="0"/>
        <v>Jan</v>
      </c>
      <c r="S34" t="s">
        <v>164</v>
      </c>
      <c r="T34">
        <v>2462.4</v>
      </c>
      <c r="U34">
        <v>871.57</v>
      </c>
      <c r="V34" t="s">
        <v>142</v>
      </c>
      <c r="W34" t="s">
        <v>57</v>
      </c>
    </row>
    <row r="35" spans="18:23" x14ac:dyDescent="0.3">
      <c r="R35" t="str">
        <f t="shared" si="0"/>
        <v>Jul</v>
      </c>
      <c r="S35" t="s">
        <v>167</v>
      </c>
      <c r="T35">
        <v>44.98</v>
      </c>
      <c r="U35">
        <v>17.170000000000002</v>
      </c>
      <c r="V35" t="s">
        <v>35</v>
      </c>
      <c r="W35" t="s">
        <v>75</v>
      </c>
    </row>
    <row r="36" spans="18:23" x14ac:dyDescent="0.3">
      <c r="R36" t="str">
        <f t="shared" si="0"/>
        <v>Apr</v>
      </c>
      <c r="S36" t="s">
        <v>169</v>
      </c>
      <c r="T36">
        <v>113.22</v>
      </c>
      <c r="U36">
        <v>25.18</v>
      </c>
      <c r="V36" t="s">
        <v>35</v>
      </c>
      <c r="W36" t="s">
        <v>68</v>
      </c>
    </row>
    <row r="37" spans="18:23" x14ac:dyDescent="0.3">
      <c r="R37" t="str">
        <f t="shared" si="0"/>
        <v>May</v>
      </c>
      <c r="S37" t="s">
        <v>173</v>
      </c>
      <c r="T37">
        <v>477.6</v>
      </c>
      <c r="U37">
        <v>157.06</v>
      </c>
      <c r="V37" t="s">
        <v>35</v>
      </c>
      <c r="W37" t="s">
        <v>75</v>
      </c>
    </row>
    <row r="38" spans="18:23" x14ac:dyDescent="0.3">
      <c r="R38" t="str">
        <f t="shared" si="0"/>
        <v>Apr</v>
      </c>
      <c r="S38" t="s">
        <v>176</v>
      </c>
      <c r="T38">
        <v>1123.98</v>
      </c>
      <c r="U38">
        <v>234.78</v>
      </c>
      <c r="V38" t="s">
        <v>76</v>
      </c>
      <c r="W38" t="s">
        <v>47</v>
      </c>
    </row>
    <row r="39" spans="18:23" x14ac:dyDescent="0.3">
      <c r="R39" t="str">
        <f t="shared" si="0"/>
        <v>Jan</v>
      </c>
      <c r="S39" t="s">
        <v>179</v>
      </c>
      <c r="T39">
        <v>1127.78</v>
      </c>
      <c r="U39">
        <v>366.63</v>
      </c>
      <c r="V39" t="s">
        <v>35</v>
      </c>
      <c r="W39" t="s">
        <v>57</v>
      </c>
    </row>
    <row r="40" spans="18:23" x14ac:dyDescent="0.3">
      <c r="R40" t="str">
        <f t="shared" si="0"/>
        <v>Oct</v>
      </c>
      <c r="S40" t="s">
        <v>181</v>
      </c>
      <c r="T40">
        <v>135.47999999999999</v>
      </c>
      <c r="U40">
        <v>28.89</v>
      </c>
      <c r="V40" t="s">
        <v>76</v>
      </c>
      <c r="W40" t="s">
        <v>75</v>
      </c>
    </row>
    <row r="41" spans="18:23" x14ac:dyDescent="0.3">
      <c r="R41" t="str">
        <f t="shared" si="0"/>
        <v>Nov</v>
      </c>
      <c r="S41" t="s">
        <v>184</v>
      </c>
      <c r="T41">
        <v>646.5</v>
      </c>
      <c r="U41">
        <v>228.61</v>
      </c>
      <c r="V41" t="s">
        <v>35</v>
      </c>
      <c r="W41" t="s">
        <v>57</v>
      </c>
    </row>
    <row r="42" spans="18:23" x14ac:dyDescent="0.3">
      <c r="R42" t="str">
        <f t="shared" si="0"/>
        <v>Dec</v>
      </c>
      <c r="S42" t="s">
        <v>187</v>
      </c>
      <c r="T42">
        <v>354.72</v>
      </c>
      <c r="U42">
        <v>63.32</v>
      </c>
      <c r="V42" t="s">
        <v>142</v>
      </c>
      <c r="W42" t="s">
        <v>68</v>
      </c>
    </row>
    <row r="43" spans="18:23" x14ac:dyDescent="0.3">
      <c r="R43" t="str">
        <f t="shared" si="0"/>
        <v>May</v>
      </c>
      <c r="S43" t="s">
        <v>190</v>
      </c>
      <c r="T43">
        <v>141.44</v>
      </c>
      <c r="U43">
        <v>32.78</v>
      </c>
      <c r="V43" t="s">
        <v>98</v>
      </c>
      <c r="W43" t="s">
        <v>75</v>
      </c>
    </row>
    <row r="44" spans="18:23" x14ac:dyDescent="0.3">
      <c r="R44" t="str">
        <f t="shared" si="0"/>
        <v>Jan</v>
      </c>
      <c r="S44" t="s">
        <v>193</v>
      </c>
      <c r="T44">
        <v>879.76</v>
      </c>
      <c r="U44">
        <v>250.44</v>
      </c>
      <c r="V44" t="s">
        <v>35</v>
      </c>
      <c r="W44" t="s">
        <v>47</v>
      </c>
    </row>
    <row r="45" spans="18:23" x14ac:dyDescent="0.3">
      <c r="R45" t="str">
        <f t="shared" si="0"/>
        <v>May</v>
      </c>
      <c r="S45" t="s">
        <v>196</v>
      </c>
      <c r="T45">
        <v>1929.2</v>
      </c>
      <c r="U45">
        <v>645.98</v>
      </c>
      <c r="V45" t="s">
        <v>98</v>
      </c>
      <c r="W45" t="s">
        <v>23</v>
      </c>
    </row>
    <row r="46" spans="18:23" x14ac:dyDescent="0.3">
      <c r="R46" t="str">
        <f t="shared" si="0"/>
        <v>Apr</v>
      </c>
      <c r="S46" t="s">
        <v>199</v>
      </c>
      <c r="T46">
        <v>1391.54</v>
      </c>
      <c r="U46">
        <v>435.78</v>
      </c>
      <c r="V46" t="s">
        <v>76</v>
      </c>
      <c r="W46" t="s">
        <v>68</v>
      </c>
    </row>
    <row r="47" spans="18:23" x14ac:dyDescent="0.3">
      <c r="R47" t="str">
        <f t="shared" si="0"/>
        <v>Aug</v>
      </c>
      <c r="S47" t="s">
        <v>107</v>
      </c>
      <c r="T47">
        <v>768.6</v>
      </c>
      <c r="U47">
        <v>258.52999999999997</v>
      </c>
      <c r="V47" t="s">
        <v>76</v>
      </c>
      <c r="W47" t="s">
        <v>68</v>
      </c>
    </row>
    <row r="48" spans="18:23" x14ac:dyDescent="0.3">
      <c r="R48" t="str">
        <f t="shared" si="0"/>
        <v>May</v>
      </c>
      <c r="S48" t="s">
        <v>203</v>
      </c>
      <c r="T48">
        <v>806.61</v>
      </c>
      <c r="U48">
        <v>210.38</v>
      </c>
      <c r="V48" t="s">
        <v>49</v>
      </c>
      <c r="W48" t="s">
        <v>75</v>
      </c>
    </row>
    <row r="49" spans="18:23" x14ac:dyDescent="0.3">
      <c r="R49" t="str">
        <f t="shared" si="0"/>
        <v>Mar</v>
      </c>
      <c r="S49" t="s">
        <v>205</v>
      </c>
      <c r="T49">
        <v>2500.4</v>
      </c>
      <c r="U49">
        <v>933.59</v>
      </c>
      <c r="V49" t="s">
        <v>207</v>
      </c>
      <c r="W49" t="s">
        <v>57</v>
      </c>
    </row>
    <row r="50" spans="18:23" x14ac:dyDescent="0.3">
      <c r="R50" t="str">
        <f t="shared" si="0"/>
        <v>Dec</v>
      </c>
      <c r="S50" t="s">
        <v>209</v>
      </c>
      <c r="T50">
        <v>286.55</v>
      </c>
      <c r="U50">
        <v>75.16</v>
      </c>
      <c r="V50" t="s">
        <v>98</v>
      </c>
      <c r="W50" t="s">
        <v>23</v>
      </c>
    </row>
    <row r="51" spans="18:23" x14ac:dyDescent="0.3">
      <c r="R51" t="str">
        <f t="shared" si="0"/>
        <v>Feb</v>
      </c>
      <c r="S51" t="s">
        <v>211</v>
      </c>
      <c r="T51">
        <v>1226.82</v>
      </c>
      <c r="U51">
        <v>430.27</v>
      </c>
      <c r="V51" t="s">
        <v>35</v>
      </c>
      <c r="W51" t="s">
        <v>68</v>
      </c>
    </row>
    <row r="52" spans="18:23" x14ac:dyDescent="0.3">
      <c r="R52" t="str">
        <f t="shared" si="0"/>
        <v>Nov</v>
      </c>
      <c r="S52" t="s">
        <v>213</v>
      </c>
      <c r="T52">
        <v>514.08000000000004</v>
      </c>
      <c r="U52">
        <v>155.34</v>
      </c>
      <c r="V52" t="s">
        <v>35</v>
      </c>
      <c r="W52" t="s">
        <v>68</v>
      </c>
    </row>
    <row r="53" spans="18:23" x14ac:dyDescent="0.3">
      <c r="R53" t="str">
        <f t="shared" si="0"/>
        <v>Jul</v>
      </c>
      <c r="S53" t="s">
        <v>215</v>
      </c>
      <c r="T53">
        <v>556.02</v>
      </c>
      <c r="U53">
        <v>220.02</v>
      </c>
      <c r="V53" t="s">
        <v>76</v>
      </c>
      <c r="W53" t="s">
        <v>23</v>
      </c>
    </row>
    <row r="54" spans="18:23" x14ac:dyDescent="0.3">
      <c r="R54" t="str">
        <f t="shared" si="0"/>
        <v>Dec</v>
      </c>
      <c r="S54" t="s">
        <v>218</v>
      </c>
      <c r="T54">
        <v>1100.6099999999999</v>
      </c>
      <c r="U54">
        <v>284.51</v>
      </c>
      <c r="V54" t="s">
        <v>98</v>
      </c>
      <c r="W54" t="s">
        <v>23</v>
      </c>
    </row>
    <row r="55" spans="18:23" x14ac:dyDescent="0.3">
      <c r="R55" t="str">
        <f t="shared" si="0"/>
        <v>Jan</v>
      </c>
      <c r="S55" t="s">
        <v>221</v>
      </c>
      <c r="T55">
        <v>656.88</v>
      </c>
      <c r="U55">
        <v>167.02</v>
      </c>
      <c r="V55" t="s">
        <v>207</v>
      </c>
      <c r="W55" t="s">
        <v>68</v>
      </c>
    </row>
    <row r="56" spans="18:23" x14ac:dyDescent="0.3">
      <c r="R56" t="str">
        <f t="shared" si="0"/>
        <v>Apr</v>
      </c>
      <c r="S56" t="s">
        <v>224</v>
      </c>
      <c r="T56">
        <v>1057.3900000000001</v>
      </c>
      <c r="U56">
        <v>248.17</v>
      </c>
      <c r="V56" t="s">
        <v>76</v>
      </c>
      <c r="W56" t="s">
        <v>23</v>
      </c>
    </row>
    <row r="57" spans="18:23" x14ac:dyDescent="0.3">
      <c r="R57" t="str">
        <f t="shared" si="0"/>
        <v>Jul</v>
      </c>
      <c r="S57" t="s">
        <v>226</v>
      </c>
      <c r="T57">
        <v>1686.33</v>
      </c>
      <c r="U57">
        <v>458.21</v>
      </c>
      <c r="V57" t="s">
        <v>76</v>
      </c>
      <c r="W57" t="s">
        <v>68</v>
      </c>
    </row>
    <row r="58" spans="18:23" x14ac:dyDescent="0.3">
      <c r="R58" t="str">
        <f t="shared" si="0"/>
        <v>Nov</v>
      </c>
      <c r="S58" t="s">
        <v>229</v>
      </c>
      <c r="T58">
        <v>1837.11</v>
      </c>
      <c r="U58">
        <v>372.79</v>
      </c>
      <c r="V58" t="s">
        <v>76</v>
      </c>
      <c r="W58" t="s">
        <v>57</v>
      </c>
    </row>
    <row r="59" spans="18:23" x14ac:dyDescent="0.3">
      <c r="R59" t="str">
        <f t="shared" si="0"/>
        <v>Nov</v>
      </c>
      <c r="S59" t="s">
        <v>231</v>
      </c>
      <c r="T59">
        <v>915.66</v>
      </c>
      <c r="U59">
        <v>145.72999999999999</v>
      </c>
      <c r="V59" t="s">
        <v>76</v>
      </c>
      <c r="W59" t="s">
        <v>57</v>
      </c>
    </row>
    <row r="60" spans="18:23" x14ac:dyDescent="0.3">
      <c r="R60" t="str">
        <f t="shared" si="0"/>
        <v>Apr</v>
      </c>
      <c r="S60" t="s">
        <v>234</v>
      </c>
      <c r="T60">
        <v>373.8</v>
      </c>
      <c r="U60">
        <v>144.96</v>
      </c>
      <c r="V60" t="s">
        <v>142</v>
      </c>
      <c r="W60" t="s">
        <v>68</v>
      </c>
    </row>
    <row r="61" spans="18:23" x14ac:dyDescent="0.3">
      <c r="R61" t="str">
        <f t="shared" si="0"/>
        <v>Sep</v>
      </c>
      <c r="S61" t="s">
        <v>237</v>
      </c>
      <c r="T61">
        <v>463.36</v>
      </c>
      <c r="U61">
        <v>139.71</v>
      </c>
      <c r="V61" t="s">
        <v>98</v>
      </c>
      <c r="W61" t="s">
        <v>23</v>
      </c>
    </row>
    <row r="62" spans="18:23" x14ac:dyDescent="0.3">
      <c r="R62" t="str">
        <f t="shared" si="0"/>
        <v>May</v>
      </c>
      <c r="S62" t="s">
        <v>240</v>
      </c>
      <c r="T62">
        <v>1082.4100000000001</v>
      </c>
      <c r="U62">
        <v>186.29</v>
      </c>
      <c r="V62" t="s">
        <v>35</v>
      </c>
      <c r="W62" t="s">
        <v>23</v>
      </c>
    </row>
    <row r="63" spans="18:23" x14ac:dyDescent="0.3">
      <c r="R63" t="str">
        <f t="shared" si="0"/>
        <v>May</v>
      </c>
      <c r="S63" t="s">
        <v>243</v>
      </c>
      <c r="T63">
        <v>900.54</v>
      </c>
      <c r="U63">
        <v>202.1</v>
      </c>
      <c r="V63" t="s">
        <v>207</v>
      </c>
      <c r="W63" t="s">
        <v>23</v>
      </c>
    </row>
    <row r="64" spans="18:23" x14ac:dyDescent="0.3">
      <c r="R64" t="str">
        <f t="shared" si="0"/>
        <v>Jul</v>
      </c>
      <c r="S64" t="s">
        <v>245</v>
      </c>
      <c r="T64">
        <v>1218.6600000000001</v>
      </c>
      <c r="U64">
        <v>214.17</v>
      </c>
      <c r="V64" t="s">
        <v>35</v>
      </c>
      <c r="W64" t="s">
        <v>75</v>
      </c>
    </row>
    <row r="65" spans="18:23" x14ac:dyDescent="0.3">
      <c r="R65" t="str">
        <f t="shared" si="0"/>
        <v>Apr</v>
      </c>
      <c r="S65" t="s">
        <v>248</v>
      </c>
      <c r="T65">
        <v>1172.08</v>
      </c>
      <c r="U65">
        <v>375.08</v>
      </c>
      <c r="V65" t="s">
        <v>49</v>
      </c>
      <c r="W65" t="s">
        <v>47</v>
      </c>
    </row>
    <row r="66" spans="18:23" x14ac:dyDescent="0.3">
      <c r="R66" t="str">
        <f t="shared" si="0"/>
        <v>Mar</v>
      </c>
      <c r="S66" t="s">
        <v>251</v>
      </c>
      <c r="T66">
        <v>3247.6</v>
      </c>
      <c r="U66">
        <v>1240.69</v>
      </c>
      <c r="V66" t="s">
        <v>76</v>
      </c>
      <c r="W66" t="s">
        <v>57</v>
      </c>
    </row>
    <row r="67" spans="18:23" x14ac:dyDescent="0.3">
      <c r="R67" t="str">
        <f t="shared" si="0"/>
        <v>Aug</v>
      </c>
      <c r="S67" t="s">
        <v>254</v>
      </c>
      <c r="T67">
        <v>800.4</v>
      </c>
      <c r="U67">
        <v>144.11000000000001</v>
      </c>
      <c r="V67" t="s">
        <v>76</v>
      </c>
      <c r="W67" t="s">
        <v>57</v>
      </c>
    </row>
    <row r="68" spans="18:23" x14ac:dyDescent="0.3">
      <c r="R68" t="str">
        <f t="shared" si="0"/>
        <v>Mar</v>
      </c>
      <c r="S68" t="s">
        <v>256</v>
      </c>
      <c r="T68">
        <v>1673.28</v>
      </c>
      <c r="U68">
        <v>196.54</v>
      </c>
      <c r="V68" t="s">
        <v>207</v>
      </c>
      <c r="W68" t="s">
        <v>47</v>
      </c>
    </row>
    <row r="69" spans="18:23" x14ac:dyDescent="0.3">
      <c r="R69" t="str">
        <f t="shared" si="0"/>
        <v>Apr</v>
      </c>
      <c r="S69" t="s">
        <v>259</v>
      </c>
      <c r="T69">
        <v>1186.06</v>
      </c>
      <c r="U69">
        <v>341.73</v>
      </c>
      <c r="V69" t="s">
        <v>76</v>
      </c>
      <c r="W69" t="s">
        <v>75</v>
      </c>
    </row>
    <row r="70" spans="18:23" x14ac:dyDescent="0.3">
      <c r="R70" t="str">
        <f t="shared" si="0"/>
        <v>Oct</v>
      </c>
      <c r="S70" t="s">
        <v>261</v>
      </c>
      <c r="T70">
        <v>46.18</v>
      </c>
      <c r="U70">
        <v>12.66</v>
      </c>
      <c r="V70" t="s">
        <v>35</v>
      </c>
      <c r="W70" t="s">
        <v>68</v>
      </c>
    </row>
    <row r="71" spans="18:23" x14ac:dyDescent="0.3">
      <c r="R71" t="str">
        <f t="shared" ref="R71:R134" si="1">TEXT(S71,"MMM")</f>
        <v>Dec</v>
      </c>
      <c r="S71" t="s">
        <v>263</v>
      </c>
      <c r="T71">
        <v>1872.4</v>
      </c>
      <c r="U71">
        <v>549.39</v>
      </c>
      <c r="V71" t="s">
        <v>76</v>
      </c>
      <c r="W71" t="s">
        <v>47</v>
      </c>
    </row>
    <row r="72" spans="18:23" x14ac:dyDescent="0.3">
      <c r="R72" t="str">
        <f t="shared" si="1"/>
        <v>Mar</v>
      </c>
      <c r="S72" t="s">
        <v>265</v>
      </c>
      <c r="T72">
        <v>2451.4299999999998</v>
      </c>
      <c r="U72">
        <v>960.39</v>
      </c>
      <c r="V72" t="s">
        <v>76</v>
      </c>
      <c r="W72" t="s">
        <v>47</v>
      </c>
    </row>
    <row r="73" spans="18:23" x14ac:dyDescent="0.3">
      <c r="R73" t="str">
        <f t="shared" si="1"/>
        <v>Mar</v>
      </c>
      <c r="S73" t="s">
        <v>268</v>
      </c>
      <c r="T73">
        <v>333.45</v>
      </c>
      <c r="U73">
        <v>125.31</v>
      </c>
      <c r="V73" t="s">
        <v>98</v>
      </c>
      <c r="W73" t="s">
        <v>47</v>
      </c>
    </row>
    <row r="74" spans="18:23" x14ac:dyDescent="0.3">
      <c r="R74" t="str">
        <f t="shared" si="1"/>
        <v>Aug</v>
      </c>
      <c r="S74" t="s">
        <v>271</v>
      </c>
      <c r="T74">
        <v>288.45</v>
      </c>
      <c r="U74">
        <v>35.729999999999997</v>
      </c>
      <c r="V74" t="s">
        <v>35</v>
      </c>
      <c r="W74" t="s">
        <v>68</v>
      </c>
    </row>
    <row r="75" spans="18:23" x14ac:dyDescent="0.3">
      <c r="R75" t="str">
        <f t="shared" si="1"/>
        <v>Jun</v>
      </c>
      <c r="S75" t="s">
        <v>274</v>
      </c>
      <c r="T75">
        <v>1548.36</v>
      </c>
      <c r="U75">
        <v>559.6</v>
      </c>
      <c r="V75" t="s">
        <v>35</v>
      </c>
      <c r="W75" t="s">
        <v>68</v>
      </c>
    </row>
    <row r="76" spans="18:23" x14ac:dyDescent="0.3">
      <c r="R76" t="str">
        <f t="shared" si="1"/>
        <v>Aug</v>
      </c>
      <c r="S76" t="s">
        <v>276</v>
      </c>
      <c r="T76">
        <v>2108.04</v>
      </c>
      <c r="U76">
        <v>676.34</v>
      </c>
      <c r="V76" t="s">
        <v>35</v>
      </c>
      <c r="W76" t="s">
        <v>57</v>
      </c>
    </row>
    <row r="77" spans="18:23" x14ac:dyDescent="0.3">
      <c r="R77" t="str">
        <f t="shared" si="1"/>
        <v>Jun</v>
      </c>
      <c r="S77" t="s">
        <v>279</v>
      </c>
      <c r="T77">
        <v>989.82</v>
      </c>
      <c r="U77">
        <v>237</v>
      </c>
      <c r="V77" t="s">
        <v>35</v>
      </c>
      <c r="W77" t="s">
        <v>23</v>
      </c>
    </row>
    <row r="78" spans="18:23" x14ac:dyDescent="0.3">
      <c r="R78" t="str">
        <f t="shared" si="1"/>
        <v>Jun</v>
      </c>
      <c r="S78" t="s">
        <v>281</v>
      </c>
      <c r="T78">
        <v>350.82</v>
      </c>
      <c r="U78">
        <v>100.26</v>
      </c>
      <c r="V78" t="s">
        <v>76</v>
      </c>
      <c r="W78" t="s">
        <v>75</v>
      </c>
    </row>
    <row r="79" spans="18:23" x14ac:dyDescent="0.3">
      <c r="R79" t="str">
        <f t="shared" si="1"/>
        <v>Oct</v>
      </c>
      <c r="S79" t="s">
        <v>284</v>
      </c>
      <c r="T79">
        <v>502.04</v>
      </c>
      <c r="U79">
        <v>181.91</v>
      </c>
      <c r="V79" t="s">
        <v>142</v>
      </c>
      <c r="W79" t="s">
        <v>47</v>
      </c>
    </row>
    <row r="80" spans="18:23" x14ac:dyDescent="0.3">
      <c r="R80" t="str">
        <f t="shared" si="1"/>
        <v>Jan</v>
      </c>
      <c r="S80" t="s">
        <v>287</v>
      </c>
      <c r="T80">
        <v>1047.1300000000001</v>
      </c>
      <c r="U80">
        <v>221.65</v>
      </c>
      <c r="V80" t="s">
        <v>76</v>
      </c>
      <c r="W80" t="s">
        <v>68</v>
      </c>
    </row>
    <row r="81" spans="18:23" x14ac:dyDescent="0.3">
      <c r="R81" t="str">
        <f t="shared" si="1"/>
        <v>Mar</v>
      </c>
      <c r="S81" t="s">
        <v>205</v>
      </c>
      <c r="T81">
        <v>1031.94</v>
      </c>
      <c r="U81">
        <v>219.49</v>
      </c>
      <c r="V81" t="s">
        <v>98</v>
      </c>
      <c r="W81" t="s">
        <v>23</v>
      </c>
    </row>
    <row r="82" spans="18:23" x14ac:dyDescent="0.3">
      <c r="R82" t="str">
        <f t="shared" si="1"/>
        <v>Nov</v>
      </c>
      <c r="S82" t="s">
        <v>292</v>
      </c>
      <c r="T82">
        <v>1108.3800000000001</v>
      </c>
      <c r="U82">
        <v>307.82</v>
      </c>
      <c r="V82" t="s">
        <v>76</v>
      </c>
      <c r="W82" t="s">
        <v>23</v>
      </c>
    </row>
    <row r="83" spans="18:23" x14ac:dyDescent="0.3">
      <c r="R83" t="str">
        <f t="shared" si="1"/>
        <v>Nov</v>
      </c>
      <c r="S83" t="s">
        <v>294</v>
      </c>
      <c r="T83">
        <v>1486.5</v>
      </c>
      <c r="U83">
        <v>389.73</v>
      </c>
      <c r="V83" t="s">
        <v>98</v>
      </c>
      <c r="W83" t="s">
        <v>47</v>
      </c>
    </row>
    <row r="84" spans="18:23" x14ac:dyDescent="0.3">
      <c r="R84" t="str">
        <f t="shared" si="1"/>
        <v>Mar</v>
      </c>
      <c r="S84" t="s">
        <v>296</v>
      </c>
      <c r="T84">
        <v>801.84</v>
      </c>
      <c r="U84">
        <v>153.79</v>
      </c>
      <c r="V84" t="s">
        <v>76</v>
      </c>
      <c r="W84" t="s">
        <v>68</v>
      </c>
    </row>
    <row r="85" spans="18:23" x14ac:dyDescent="0.3">
      <c r="R85" t="str">
        <f t="shared" si="1"/>
        <v>Jan</v>
      </c>
      <c r="S85" t="s">
        <v>298</v>
      </c>
      <c r="T85">
        <v>1169.28</v>
      </c>
      <c r="U85">
        <v>343.68</v>
      </c>
      <c r="V85" t="s">
        <v>76</v>
      </c>
      <c r="W85" t="s">
        <v>68</v>
      </c>
    </row>
    <row r="86" spans="18:23" x14ac:dyDescent="0.3">
      <c r="R86" t="str">
        <f t="shared" si="1"/>
        <v>Sep</v>
      </c>
      <c r="S86" t="s">
        <v>300</v>
      </c>
      <c r="T86">
        <v>1118</v>
      </c>
      <c r="U86">
        <v>180.41</v>
      </c>
      <c r="V86" t="s">
        <v>35</v>
      </c>
      <c r="W86" t="s">
        <v>68</v>
      </c>
    </row>
    <row r="87" spans="18:23" x14ac:dyDescent="0.3">
      <c r="R87" t="str">
        <f t="shared" si="1"/>
        <v>Feb</v>
      </c>
      <c r="S87" t="s">
        <v>303</v>
      </c>
      <c r="T87">
        <v>843.99</v>
      </c>
      <c r="U87">
        <v>223.59</v>
      </c>
      <c r="V87" t="s">
        <v>76</v>
      </c>
      <c r="W87" t="s">
        <v>68</v>
      </c>
    </row>
    <row r="88" spans="18:23" x14ac:dyDescent="0.3">
      <c r="R88" t="str">
        <f t="shared" si="1"/>
        <v>Jun</v>
      </c>
      <c r="S88" t="s">
        <v>159</v>
      </c>
      <c r="T88">
        <v>433.42</v>
      </c>
      <c r="U88">
        <v>69.13</v>
      </c>
      <c r="V88" t="s">
        <v>76</v>
      </c>
      <c r="W88" t="s">
        <v>47</v>
      </c>
    </row>
    <row r="89" spans="18:23" x14ac:dyDescent="0.3">
      <c r="R89" t="str">
        <f t="shared" si="1"/>
        <v>Nov</v>
      </c>
      <c r="S89" t="s">
        <v>306</v>
      </c>
      <c r="T89">
        <v>1115.8</v>
      </c>
      <c r="U89">
        <v>175.93</v>
      </c>
      <c r="V89" t="s">
        <v>49</v>
      </c>
      <c r="W89" t="s">
        <v>47</v>
      </c>
    </row>
    <row r="90" spans="18:23" x14ac:dyDescent="0.3">
      <c r="R90" t="str">
        <f t="shared" si="1"/>
        <v>Nov</v>
      </c>
      <c r="S90" t="s">
        <v>309</v>
      </c>
      <c r="T90">
        <v>750.59</v>
      </c>
      <c r="U90">
        <v>102.79</v>
      </c>
      <c r="V90" t="s">
        <v>98</v>
      </c>
      <c r="W90" t="s">
        <v>47</v>
      </c>
    </row>
    <row r="91" spans="18:23" x14ac:dyDescent="0.3">
      <c r="R91" t="str">
        <f t="shared" si="1"/>
        <v>Nov</v>
      </c>
      <c r="S91" t="s">
        <v>311</v>
      </c>
      <c r="T91">
        <v>1500.8</v>
      </c>
      <c r="U91">
        <v>312.25</v>
      </c>
      <c r="V91" t="s">
        <v>76</v>
      </c>
      <c r="W91" t="s">
        <v>57</v>
      </c>
    </row>
    <row r="92" spans="18:23" x14ac:dyDescent="0.3">
      <c r="R92" t="str">
        <f t="shared" si="1"/>
        <v>Dec</v>
      </c>
      <c r="S92" t="s">
        <v>263</v>
      </c>
      <c r="T92">
        <v>1481.85</v>
      </c>
      <c r="U92">
        <v>400.25</v>
      </c>
      <c r="V92" t="s">
        <v>76</v>
      </c>
      <c r="W92" t="s">
        <v>68</v>
      </c>
    </row>
    <row r="93" spans="18:23" x14ac:dyDescent="0.3">
      <c r="R93" t="str">
        <f t="shared" si="1"/>
        <v>Feb</v>
      </c>
      <c r="S93" t="s">
        <v>314</v>
      </c>
      <c r="T93">
        <v>1968.3</v>
      </c>
      <c r="U93">
        <v>312.75</v>
      </c>
      <c r="V93" t="s">
        <v>35</v>
      </c>
      <c r="W93" t="s">
        <v>23</v>
      </c>
    </row>
    <row r="94" spans="18:23" x14ac:dyDescent="0.3">
      <c r="R94" t="str">
        <f t="shared" si="1"/>
        <v>Mar</v>
      </c>
      <c r="S94" t="s">
        <v>316</v>
      </c>
      <c r="T94">
        <v>221.67</v>
      </c>
      <c r="U94">
        <v>68.64</v>
      </c>
      <c r="V94" t="s">
        <v>35</v>
      </c>
      <c r="W94" t="s">
        <v>68</v>
      </c>
    </row>
    <row r="95" spans="18:23" x14ac:dyDescent="0.3">
      <c r="R95" t="str">
        <f t="shared" si="1"/>
        <v>Mar</v>
      </c>
      <c r="S95" t="s">
        <v>319</v>
      </c>
      <c r="T95">
        <v>130.74</v>
      </c>
      <c r="U95">
        <v>29.99</v>
      </c>
      <c r="V95" t="s">
        <v>142</v>
      </c>
      <c r="W95" t="s">
        <v>68</v>
      </c>
    </row>
    <row r="96" spans="18:23" x14ac:dyDescent="0.3">
      <c r="R96" t="str">
        <f t="shared" si="1"/>
        <v>Jul</v>
      </c>
      <c r="S96" t="s">
        <v>226</v>
      </c>
      <c r="T96">
        <v>1343.89</v>
      </c>
      <c r="U96">
        <v>500.16</v>
      </c>
      <c r="V96" t="s">
        <v>35</v>
      </c>
      <c r="W96" t="s">
        <v>23</v>
      </c>
    </row>
    <row r="97" spans="18:23" x14ac:dyDescent="0.3">
      <c r="R97" t="str">
        <f t="shared" si="1"/>
        <v>Sep</v>
      </c>
      <c r="S97" t="s">
        <v>115</v>
      </c>
      <c r="T97">
        <v>1274.1400000000001</v>
      </c>
      <c r="U97">
        <v>428.41</v>
      </c>
      <c r="V97" t="s">
        <v>76</v>
      </c>
      <c r="W97" t="s">
        <v>57</v>
      </c>
    </row>
    <row r="98" spans="18:23" x14ac:dyDescent="0.3">
      <c r="R98" t="str">
        <f t="shared" si="1"/>
        <v>Jul</v>
      </c>
      <c r="S98" t="s">
        <v>325</v>
      </c>
      <c r="T98">
        <v>100.52</v>
      </c>
      <c r="U98">
        <v>22.92</v>
      </c>
      <c r="V98" t="s">
        <v>35</v>
      </c>
      <c r="W98" t="s">
        <v>23</v>
      </c>
    </row>
    <row r="99" spans="18:23" x14ac:dyDescent="0.3">
      <c r="R99" t="str">
        <f t="shared" si="1"/>
        <v>Apr</v>
      </c>
      <c r="S99" t="s">
        <v>327</v>
      </c>
      <c r="T99">
        <v>502.84</v>
      </c>
      <c r="U99">
        <v>73.33</v>
      </c>
      <c r="V99" t="s">
        <v>35</v>
      </c>
      <c r="W99" t="s">
        <v>68</v>
      </c>
    </row>
    <row r="100" spans="18:23" x14ac:dyDescent="0.3">
      <c r="R100" t="str">
        <f t="shared" si="1"/>
        <v>Sep</v>
      </c>
      <c r="S100" t="s">
        <v>330</v>
      </c>
      <c r="T100">
        <v>931.06</v>
      </c>
      <c r="U100">
        <v>350</v>
      </c>
      <c r="V100" t="s">
        <v>142</v>
      </c>
      <c r="W100" t="s">
        <v>47</v>
      </c>
    </row>
    <row r="101" spans="18:23" x14ac:dyDescent="0.3">
      <c r="R101" t="str">
        <f t="shared" si="1"/>
        <v>Mar</v>
      </c>
      <c r="S101" t="s">
        <v>333</v>
      </c>
      <c r="T101">
        <v>1677.9</v>
      </c>
      <c r="U101">
        <v>638.95000000000005</v>
      </c>
      <c r="V101" t="s">
        <v>76</v>
      </c>
      <c r="W101" t="s">
        <v>68</v>
      </c>
    </row>
    <row r="102" spans="18:23" x14ac:dyDescent="0.3">
      <c r="R102" t="str">
        <f t="shared" si="1"/>
        <v>Jul</v>
      </c>
      <c r="S102" t="s">
        <v>336</v>
      </c>
      <c r="T102">
        <v>1899.24</v>
      </c>
      <c r="U102">
        <v>456.33</v>
      </c>
      <c r="V102" t="s">
        <v>76</v>
      </c>
      <c r="W102" t="s">
        <v>23</v>
      </c>
    </row>
    <row r="103" spans="18:23" x14ac:dyDescent="0.3">
      <c r="R103" t="str">
        <f t="shared" si="1"/>
        <v>Aug</v>
      </c>
      <c r="S103" t="s">
        <v>338</v>
      </c>
      <c r="T103">
        <v>45.84</v>
      </c>
      <c r="U103">
        <v>16.579999999999998</v>
      </c>
      <c r="V103" t="s">
        <v>76</v>
      </c>
      <c r="W103" t="s">
        <v>68</v>
      </c>
    </row>
    <row r="104" spans="18:23" x14ac:dyDescent="0.3">
      <c r="R104" t="str">
        <f t="shared" si="1"/>
        <v>Apr</v>
      </c>
      <c r="S104" t="s">
        <v>340</v>
      </c>
      <c r="T104">
        <v>1000.92</v>
      </c>
      <c r="U104">
        <v>269.04000000000002</v>
      </c>
      <c r="V104" t="s">
        <v>207</v>
      </c>
      <c r="W104" t="s">
        <v>23</v>
      </c>
    </row>
    <row r="105" spans="18:23" x14ac:dyDescent="0.3">
      <c r="R105" t="str">
        <f t="shared" si="1"/>
        <v>Oct</v>
      </c>
      <c r="S105" t="s">
        <v>342</v>
      </c>
      <c r="T105">
        <v>1092.9000000000001</v>
      </c>
      <c r="U105">
        <v>280.93</v>
      </c>
      <c r="V105" t="s">
        <v>35</v>
      </c>
      <c r="W105" t="s">
        <v>75</v>
      </c>
    </row>
    <row r="106" spans="18:23" x14ac:dyDescent="0.3">
      <c r="R106" t="str">
        <f t="shared" si="1"/>
        <v>Jun</v>
      </c>
      <c r="S106" t="s">
        <v>344</v>
      </c>
      <c r="T106">
        <v>200.43</v>
      </c>
      <c r="U106">
        <v>72.47</v>
      </c>
      <c r="V106" t="s">
        <v>35</v>
      </c>
      <c r="W106" t="s">
        <v>47</v>
      </c>
    </row>
    <row r="107" spans="18:23" x14ac:dyDescent="0.3">
      <c r="R107" t="str">
        <f t="shared" si="1"/>
        <v>Sep</v>
      </c>
      <c r="S107" t="s">
        <v>115</v>
      </c>
      <c r="T107">
        <v>718.9</v>
      </c>
      <c r="U107">
        <v>269.64999999999998</v>
      </c>
      <c r="V107" t="s">
        <v>207</v>
      </c>
      <c r="W107" t="s">
        <v>68</v>
      </c>
    </row>
    <row r="108" spans="18:23" x14ac:dyDescent="0.3">
      <c r="R108" t="str">
        <f t="shared" si="1"/>
        <v>Jul</v>
      </c>
      <c r="S108" t="s">
        <v>347</v>
      </c>
      <c r="T108">
        <v>516.35</v>
      </c>
      <c r="U108">
        <v>144.16999999999999</v>
      </c>
      <c r="V108" t="s">
        <v>35</v>
      </c>
      <c r="W108" t="s">
        <v>68</v>
      </c>
    </row>
    <row r="109" spans="18:23" x14ac:dyDescent="0.3">
      <c r="R109" t="str">
        <f t="shared" si="1"/>
        <v>Aug</v>
      </c>
      <c r="S109" t="s">
        <v>349</v>
      </c>
      <c r="T109">
        <v>657.9</v>
      </c>
      <c r="U109">
        <v>168.24</v>
      </c>
      <c r="V109" t="s">
        <v>35</v>
      </c>
      <c r="W109" t="s">
        <v>68</v>
      </c>
    </row>
    <row r="110" spans="18:23" x14ac:dyDescent="0.3">
      <c r="R110" t="str">
        <f t="shared" si="1"/>
        <v>Sep</v>
      </c>
      <c r="S110" t="s">
        <v>351</v>
      </c>
      <c r="T110">
        <v>942.56</v>
      </c>
      <c r="U110">
        <v>343.16</v>
      </c>
      <c r="V110" t="s">
        <v>76</v>
      </c>
      <c r="W110" t="s">
        <v>47</v>
      </c>
    </row>
    <row r="111" spans="18:23" x14ac:dyDescent="0.3">
      <c r="R111" t="str">
        <f t="shared" si="1"/>
        <v>Feb</v>
      </c>
      <c r="S111" t="s">
        <v>354</v>
      </c>
      <c r="T111">
        <v>168.63</v>
      </c>
      <c r="U111">
        <v>41.07</v>
      </c>
      <c r="V111" t="s">
        <v>49</v>
      </c>
      <c r="W111" t="s">
        <v>57</v>
      </c>
    </row>
    <row r="112" spans="18:23" x14ac:dyDescent="0.3">
      <c r="R112" t="str">
        <f t="shared" si="1"/>
        <v>Apr</v>
      </c>
      <c r="S112" t="s">
        <v>356</v>
      </c>
      <c r="T112">
        <v>509.52</v>
      </c>
      <c r="U112">
        <v>69.069999999999993</v>
      </c>
      <c r="V112" t="s">
        <v>35</v>
      </c>
      <c r="W112" t="s">
        <v>47</v>
      </c>
    </row>
    <row r="113" spans="18:23" x14ac:dyDescent="0.3">
      <c r="R113" t="str">
        <f t="shared" si="1"/>
        <v>Sep</v>
      </c>
      <c r="S113" t="s">
        <v>358</v>
      </c>
      <c r="T113">
        <v>1151</v>
      </c>
      <c r="U113">
        <v>306.7</v>
      </c>
      <c r="V113" t="s">
        <v>142</v>
      </c>
      <c r="W113" t="s">
        <v>68</v>
      </c>
    </row>
    <row r="114" spans="18:23" x14ac:dyDescent="0.3">
      <c r="R114" t="str">
        <f t="shared" si="1"/>
        <v>Mar</v>
      </c>
      <c r="S114" t="s">
        <v>268</v>
      </c>
      <c r="T114">
        <v>136.08000000000001</v>
      </c>
      <c r="U114">
        <v>25.24</v>
      </c>
      <c r="V114" t="s">
        <v>49</v>
      </c>
      <c r="W114" t="s">
        <v>47</v>
      </c>
    </row>
    <row r="115" spans="18:23" x14ac:dyDescent="0.3">
      <c r="R115" t="str">
        <f t="shared" si="1"/>
        <v>Oct</v>
      </c>
      <c r="S115" t="s">
        <v>362</v>
      </c>
      <c r="T115">
        <v>423.52</v>
      </c>
      <c r="U115">
        <v>119.65</v>
      </c>
      <c r="V115" t="s">
        <v>35</v>
      </c>
      <c r="W115" t="s">
        <v>23</v>
      </c>
    </row>
    <row r="116" spans="18:23" x14ac:dyDescent="0.3">
      <c r="R116" t="str">
        <f t="shared" si="1"/>
        <v>Sep</v>
      </c>
      <c r="S116" t="s">
        <v>364</v>
      </c>
      <c r="T116">
        <v>1381.76</v>
      </c>
      <c r="U116">
        <v>269.22000000000003</v>
      </c>
      <c r="V116" t="s">
        <v>49</v>
      </c>
      <c r="W116" t="s">
        <v>47</v>
      </c>
    </row>
    <row r="117" spans="18:23" x14ac:dyDescent="0.3">
      <c r="R117" t="str">
        <f t="shared" si="1"/>
        <v>Jun</v>
      </c>
      <c r="S117" t="s">
        <v>366</v>
      </c>
      <c r="T117">
        <v>546.65</v>
      </c>
      <c r="U117">
        <v>83.93</v>
      </c>
      <c r="V117" t="s">
        <v>207</v>
      </c>
      <c r="W117" t="s">
        <v>68</v>
      </c>
    </row>
    <row r="118" spans="18:23" x14ac:dyDescent="0.3">
      <c r="R118" t="str">
        <f t="shared" si="1"/>
        <v>Jan</v>
      </c>
      <c r="S118" t="s">
        <v>368</v>
      </c>
      <c r="T118">
        <v>1030.4000000000001</v>
      </c>
      <c r="U118">
        <v>328.68</v>
      </c>
      <c r="V118" t="s">
        <v>35</v>
      </c>
      <c r="W118" t="s">
        <v>57</v>
      </c>
    </row>
    <row r="119" spans="18:23" x14ac:dyDescent="0.3">
      <c r="R119" t="str">
        <f t="shared" si="1"/>
        <v>Nov</v>
      </c>
      <c r="S119" t="s">
        <v>371</v>
      </c>
      <c r="T119">
        <v>292.95</v>
      </c>
      <c r="U119">
        <v>53.3</v>
      </c>
      <c r="V119" t="s">
        <v>76</v>
      </c>
      <c r="W119" t="s">
        <v>68</v>
      </c>
    </row>
    <row r="120" spans="18:23" x14ac:dyDescent="0.3">
      <c r="R120" t="str">
        <f t="shared" si="1"/>
        <v>Jul</v>
      </c>
      <c r="S120" t="s">
        <v>325</v>
      </c>
      <c r="T120">
        <v>937.8</v>
      </c>
      <c r="U120">
        <v>185</v>
      </c>
      <c r="V120" t="s">
        <v>35</v>
      </c>
      <c r="W120" t="s">
        <v>47</v>
      </c>
    </row>
    <row r="121" spans="18:23" x14ac:dyDescent="0.3">
      <c r="R121" t="str">
        <f t="shared" si="1"/>
        <v>Feb</v>
      </c>
      <c r="S121" t="s">
        <v>375</v>
      </c>
      <c r="T121">
        <v>1235.52</v>
      </c>
      <c r="U121">
        <v>372.11</v>
      </c>
      <c r="V121" t="s">
        <v>142</v>
      </c>
      <c r="W121" t="s">
        <v>47</v>
      </c>
    </row>
    <row r="122" spans="18:23" x14ac:dyDescent="0.3">
      <c r="R122" t="str">
        <f t="shared" si="1"/>
        <v>Sep</v>
      </c>
      <c r="S122" t="s">
        <v>131</v>
      </c>
      <c r="T122">
        <v>1002.44</v>
      </c>
      <c r="U122">
        <v>285.39</v>
      </c>
      <c r="V122" t="s">
        <v>35</v>
      </c>
      <c r="W122" t="s">
        <v>23</v>
      </c>
    </row>
    <row r="123" spans="18:23" x14ac:dyDescent="0.3">
      <c r="R123" t="str">
        <f t="shared" si="1"/>
        <v>Apr</v>
      </c>
      <c r="S123" t="s">
        <v>327</v>
      </c>
      <c r="T123">
        <v>123.62</v>
      </c>
      <c r="U123">
        <v>27.42</v>
      </c>
      <c r="V123" t="s">
        <v>76</v>
      </c>
      <c r="W123" t="s">
        <v>47</v>
      </c>
    </row>
    <row r="124" spans="18:23" x14ac:dyDescent="0.3">
      <c r="R124" t="str">
        <f t="shared" si="1"/>
        <v>Nov</v>
      </c>
      <c r="S124" t="s">
        <v>309</v>
      </c>
      <c r="T124">
        <v>1339</v>
      </c>
      <c r="U124">
        <v>336.91</v>
      </c>
      <c r="V124" t="s">
        <v>207</v>
      </c>
      <c r="W124" t="s">
        <v>23</v>
      </c>
    </row>
    <row r="125" spans="18:23" x14ac:dyDescent="0.3">
      <c r="R125" t="str">
        <f t="shared" si="1"/>
        <v>Apr</v>
      </c>
      <c r="S125" t="s">
        <v>380</v>
      </c>
      <c r="T125">
        <v>675</v>
      </c>
      <c r="U125">
        <v>241.01</v>
      </c>
      <c r="V125" t="s">
        <v>98</v>
      </c>
      <c r="W125" t="s">
        <v>68</v>
      </c>
    </row>
    <row r="126" spans="18:23" x14ac:dyDescent="0.3">
      <c r="R126" t="str">
        <f t="shared" si="1"/>
        <v>Jul</v>
      </c>
      <c r="S126" t="s">
        <v>383</v>
      </c>
      <c r="T126">
        <v>76</v>
      </c>
      <c r="U126">
        <v>21.22</v>
      </c>
      <c r="V126" t="s">
        <v>142</v>
      </c>
      <c r="W126" t="s">
        <v>47</v>
      </c>
    </row>
    <row r="127" spans="18:23" x14ac:dyDescent="0.3">
      <c r="R127" t="str">
        <f t="shared" si="1"/>
        <v>May</v>
      </c>
      <c r="S127" t="s">
        <v>147</v>
      </c>
      <c r="T127">
        <v>639.12</v>
      </c>
      <c r="U127">
        <v>235.2</v>
      </c>
      <c r="V127" t="s">
        <v>98</v>
      </c>
      <c r="W127" t="s">
        <v>68</v>
      </c>
    </row>
    <row r="128" spans="18:23" x14ac:dyDescent="0.3">
      <c r="R128" t="str">
        <f t="shared" si="1"/>
        <v>Jan</v>
      </c>
      <c r="S128" t="s">
        <v>386</v>
      </c>
      <c r="T128">
        <v>1121.6400000000001</v>
      </c>
      <c r="U128">
        <v>423.56</v>
      </c>
      <c r="V128" t="s">
        <v>76</v>
      </c>
      <c r="W128" t="s">
        <v>75</v>
      </c>
    </row>
    <row r="129" spans="18:23" x14ac:dyDescent="0.3">
      <c r="R129" t="str">
        <f t="shared" si="1"/>
        <v>Dec</v>
      </c>
      <c r="S129" t="s">
        <v>388</v>
      </c>
      <c r="T129">
        <v>1170.3900000000001</v>
      </c>
      <c r="U129">
        <v>134.96</v>
      </c>
      <c r="V129" t="s">
        <v>98</v>
      </c>
      <c r="W129" t="s">
        <v>75</v>
      </c>
    </row>
    <row r="130" spans="18:23" x14ac:dyDescent="0.3">
      <c r="R130" t="str">
        <f t="shared" si="1"/>
        <v>Dec</v>
      </c>
      <c r="S130" t="s">
        <v>390</v>
      </c>
      <c r="T130">
        <v>156.55000000000001</v>
      </c>
      <c r="U130">
        <v>40.01</v>
      </c>
      <c r="V130" t="s">
        <v>35</v>
      </c>
      <c r="W130" t="s">
        <v>68</v>
      </c>
    </row>
    <row r="131" spans="18:23" x14ac:dyDescent="0.3">
      <c r="R131" t="str">
        <f t="shared" si="1"/>
        <v>Aug</v>
      </c>
      <c r="S131" t="s">
        <v>393</v>
      </c>
      <c r="T131">
        <v>1551.9</v>
      </c>
      <c r="U131">
        <v>301.64</v>
      </c>
      <c r="V131" t="s">
        <v>98</v>
      </c>
      <c r="W131" t="s">
        <v>68</v>
      </c>
    </row>
    <row r="132" spans="18:23" x14ac:dyDescent="0.3">
      <c r="R132" t="str">
        <f t="shared" si="1"/>
        <v>Jan</v>
      </c>
      <c r="S132" t="s">
        <v>395</v>
      </c>
      <c r="T132">
        <v>2065.3200000000002</v>
      </c>
      <c r="U132">
        <v>530.98</v>
      </c>
      <c r="V132" t="s">
        <v>76</v>
      </c>
      <c r="W132" t="s">
        <v>57</v>
      </c>
    </row>
    <row r="133" spans="18:23" x14ac:dyDescent="0.3">
      <c r="R133" t="str">
        <f t="shared" si="1"/>
        <v>Nov</v>
      </c>
      <c r="S133" t="s">
        <v>398</v>
      </c>
      <c r="T133">
        <v>522.34</v>
      </c>
      <c r="U133">
        <v>120.97</v>
      </c>
      <c r="V133" t="s">
        <v>76</v>
      </c>
      <c r="W133" t="s">
        <v>68</v>
      </c>
    </row>
    <row r="134" spans="18:23" x14ac:dyDescent="0.3">
      <c r="R134" t="str">
        <f t="shared" si="1"/>
        <v>Apr</v>
      </c>
      <c r="S134" t="s">
        <v>400</v>
      </c>
      <c r="T134">
        <v>1454.1</v>
      </c>
      <c r="U134">
        <v>203.02</v>
      </c>
      <c r="V134" t="s">
        <v>76</v>
      </c>
      <c r="W134" t="s">
        <v>47</v>
      </c>
    </row>
    <row r="135" spans="18:23" x14ac:dyDescent="0.3">
      <c r="R135" t="str">
        <f t="shared" ref="R135:R198" si="2">TEXT(S135,"MMM")</f>
        <v>Apr</v>
      </c>
      <c r="S135" t="s">
        <v>402</v>
      </c>
      <c r="T135">
        <v>735.76</v>
      </c>
      <c r="U135">
        <v>140.80000000000001</v>
      </c>
      <c r="V135" t="s">
        <v>98</v>
      </c>
      <c r="W135" t="s">
        <v>47</v>
      </c>
    </row>
    <row r="136" spans="18:23" x14ac:dyDescent="0.3">
      <c r="R136" t="str">
        <f t="shared" si="2"/>
        <v>Oct</v>
      </c>
      <c r="S136" t="s">
        <v>404</v>
      </c>
      <c r="T136">
        <v>1381.38</v>
      </c>
      <c r="U136">
        <v>535.54</v>
      </c>
      <c r="V136" t="s">
        <v>76</v>
      </c>
      <c r="W136" t="s">
        <v>23</v>
      </c>
    </row>
    <row r="137" spans="18:23" x14ac:dyDescent="0.3">
      <c r="R137" t="str">
        <f t="shared" si="2"/>
        <v>Apr</v>
      </c>
      <c r="S137" t="s">
        <v>406</v>
      </c>
      <c r="T137">
        <v>1305.48</v>
      </c>
      <c r="U137">
        <v>322.55</v>
      </c>
      <c r="V137" t="s">
        <v>35</v>
      </c>
      <c r="W137" t="s">
        <v>57</v>
      </c>
    </row>
    <row r="138" spans="18:23" x14ac:dyDescent="0.3">
      <c r="R138" t="str">
        <f t="shared" si="2"/>
        <v>Jul</v>
      </c>
      <c r="S138" t="s">
        <v>408</v>
      </c>
      <c r="T138">
        <v>1322.86</v>
      </c>
      <c r="U138">
        <v>388.8</v>
      </c>
      <c r="V138" t="s">
        <v>35</v>
      </c>
      <c r="W138" t="s">
        <v>57</v>
      </c>
    </row>
    <row r="139" spans="18:23" x14ac:dyDescent="0.3">
      <c r="R139" t="str">
        <f t="shared" si="2"/>
        <v>Jan</v>
      </c>
      <c r="S139" t="s">
        <v>386</v>
      </c>
      <c r="T139">
        <v>860.58</v>
      </c>
      <c r="U139">
        <v>298.57</v>
      </c>
      <c r="V139" t="s">
        <v>76</v>
      </c>
      <c r="W139" t="s">
        <v>75</v>
      </c>
    </row>
    <row r="140" spans="18:23" x14ac:dyDescent="0.3">
      <c r="R140" t="str">
        <f t="shared" si="2"/>
        <v>Dec</v>
      </c>
      <c r="S140" t="s">
        <v>412</v>
      </c>
      <c r="T140">
        <v>1965.6</v>
      </c>
      <c r="U140">
        <v>375.26</v>
      </c>
      <c r="V140" t="s">
        <v>49</v>
      </c>
      <c r="W140" t="s">
        <v>57</v>
      </c>
    </row>
    <row r="141" spans="18:23" x14ac:dyDescent="0.3">
      <c r="R141" t="str">
        <f t="shared" si="2"/>
        <v>Jul</v>
      </c>
      <c r="S141" t="s">
        <v>414</v>
      </c>
      <c r="T141">
        <v>27.49</v>
      </c>
      <c r="U141">
        <v>11.36</v>
      </c>
      <c r="V141" t="s">
        <v>35</v>
      </c>
      <c r="W141" t="s">
        <v>68</v>
      </c>
    </row>
    <row r="142" spans="18:23" x14ac:dyDescent="0.3">
      <c r="R142" t="str">
        <f t="shared" si="2"/>
        <v>Jan</v>
      </c>
      <c r="S142" t="s">
        <v>416</v>
      </c>
      <c r="T142">
        <v>2055.5</v>
      </c>
      <c r="U142">
        <v>359.89</v>
      </c>
      <c r="V142" t="s">
        <v>76</v>
      </c>
      <c r="W142" t="s">
        <v>47</v>
      </c>
    </row>
    <row r="143" spans="18:23" x14ac:dyDescent="0.3">
      <c r="R143" t="str">
        <f t="shared" si="2"/>
        <v>Dec</v>
      </c>
      <c r="S143" t="s">
        <v>419</v>
      </c>
      <c r="T143">
        <v>459.72</v>
      </c>
      <c r="U143">
        <v>153.69999999999999</v>
      </c>
      <c r="V143" t="s">
        <v>76</v>
      </c>
      <c r="W143" t="s">
        <v>68</v>
      </c>
    </row>
    <row r="144" spans="18:23" x14ac:dyDescent="0.3">
      <c r="R144" t="str">
        <f t="shared" si="2"/>
        <v>Jan</v>
      </c>
      <c r="S144" t="s">
        <v>421</v>
      </c>
      <c r="T144">
        <v>190.08</v>
      </c>
      <c r="U144">
        <v>67.849999999999994</v>
      </c>
      <c r="V144" t="s">
        <v>76</v>
      </c>
      <c r="W144" t="s">
        <v>68</v>
      </c>
    </row>
    <row r="145" spans="18:23" x14ac:dyDescent="0.3">
      <c r="R145" t="str">
        <f t="shared" si="2"/>
        <v>Aug</v>
      </c>
      <c r="S145" t="s">
        <v>423</v>
      </c>
      <c r="T145">
        <v>883.92</v>
      </c>
      <c r="U145">
        <v>125.77</v>
      </c>
      <c r="V145" t="s">
        <v>35</v>
      </c>
      <c r="W145" t="s">
        <v>75</v>
      </c>
    </row>
    <row r="146" spans="18:23" x14ac:dyDescent="0.3">
      <c r="R146" t="str">
        <f t="shared" si="2"/>
        <v>Mar</v>
      </c>
      <c r="S146" t="s">
        <v>256</v>
      </c>
      <c r="T146">
        <v>1360.53</v>
      </c>
      <c r="U146">
        <v>174.13</v>
      </c>
      <c r="V146" t="s">
        <v>142</v>
      </c>
      <c r="W146" t="s">
        <v>57</v>
      </c>
    </row>
    <row r="147" spans="18:23" x14ac:dyDescent="0.3">
      <c r="R147" t="str">
        <f t="shared" si="2"/>
        <v>Jan</v>
      </c>
      <c r="S147" t="s">
        <v>426</v>
      </c>
      <c r="T147">
        <v>1281.1199999999999</v>
      </c>
      <c r="U147">
        <v>376.26</v>
      </c>
      <c r="V147" t="s">
        <v>35</v>
      </c>
      <c r="W147" t="s">
        <v>75</v>
      </c>
    </row>
    <row r="148" spans="18:23" x14ac:dyDescent="0.3">
      <c r="R148" t="str">
        <f t="shared" si="2"/>
        <v>Apr</v>
      </c>
      <c r="S148" t="s">
        <v>109</v>
      </c>
      <c r="T148">
        <v>117.96</v>
      </c>
      <c r="U148">
        <v>35.99</v>
      </c>
      <c r="V148" t="s">
        <v>76</v>
      </c>
      <c r="W148" t="s">
        <v>75</v>
      </c>
    </row>
    <row r="149" spans="18:23" x14ac:dyDescent="0.3">
      <c r="R149" t="str">
        <f t="shared" si="2"/>
        <v>Dec</v>
      </c>
      <c r="S149" t="s">
        <v>390</v>
      </c>
      <c r="T149">
        <v>432</v>
      </c>
      <c r="U149">
        <v>103.32</v>
      </c>
      <c r="V149" t="s">
        <v>98</v>
      </c>
      <c r="W149" t="s">
        <v>47</v>
      </c>
    </row>
    <row r="150" spans="18:23" x14ac:dyDescent="0.3">
      <c r="R150" t="str">
        <f t="shared" si="2"/>
        <v>Dec</v>
      </c>
      <c r="S150" t="s">
        <v>431</v>
      </c>
      <c r="T150">
        <v>182.15</v>
      </c>
      <c r="U150">
        <v>61.83</v>
      </c>
      <c r="V150" t="s">
        <v>35</v>
      </c>
      <c r="W150" t="s">
        <v>68</v>
      </c>
    </row>
    <row r="151" spans="18:23" x14ac:dyDescent="0.3">
      <c r="R151" t="str">
        <f t="shared" si="2"/>
        <v>Jul</v>
      </c>
      <c r="S151" t="s">
        <v>433</v>
      </c>
      <c r="T151">
        <v>1036.53</v>
      </c>
      <c r="U151">
        <v>400.43</v>
      </c>
      <c r="V151" t="s">
        <v>76</v>
      </c>
      <c r="W151" t="s">
        <v>68</v>
      </c>
    </row>
    <row r="152" spans="18:23" x14ac:dyDescent="0.3">
      <c r="R152" t="str">
        <f t="shared" si="2"/>
        <v>May</v>
      </c>
      <c r="S152" t="s">
        <v>435</v>
      </c>
      <c r="T152">
        <v>475</v>
      </c>
      <c r="U152">
        <v>179.05</v>
      </c>
      <c r="V152" t="s">
        <v>49</v>
      </c>
      <c r="W152" t="s">
        <v>68</v>
      </c>
    </row>
    <row r="153" spans="18:23" x14ac:dyDescent="0.3">
      <c r="R153" t="str">
        <f t="shared" si="2"/>
        <v>Jun</v>
      </c>
      <c r="S153" t="s">
        <v>274</v>
      </c>
      <c r="T153">
        <v>2356.11</v>
      </c>
      <c r="U153">
        <v>685.89</v>
      </c>
      <c r="V153" t="s">
        <v>76</v>
      </c>
      <c r="W153" t="s">
        <v>47</v>
      </c>
    </row>
    <row r="154" spans="18:23" x14ac:dyDescent="0.3">
      <c r="R154" t="str">
        <f t="shared" si="2"/>
        <v>Oct</v>
      </c>
      <c r="S154" t="s">
        <v>439</v>
      </c>
      <c r="T154">
        <v>1985.75</v>
      </c>
      <c r="U154">
        <v>553</v>
      </c>
      <c r="V154" t="s">
        <v>98</v>
      </c>
      <c r="W154" t="s">
        <v>68</v>
      </c>
    </row>
    <row r="155" spans="18:23" x14ac:dyDescent="0.3">
      <c r="R155" t="str">
        <f t="shared" si="2"/>
        <v>Mar</v>
      </c>
      <c r="S155" t="s">
        <v>121</v>
      </c>
      <c r="T155">
        <v>688.68</v>
      </c>
      <c r="U155">
        <v>219.9</v>
      </c>
      <c r="V155" t="s">
        <v>76</v>
      </c>
      <c r="W155" t="s">
        <v>75</v>
      </c>
    </row>
    <row r="156" spans="18:23" x14ac:dyDescent="0.3">
      <c r="R156" t="str">
        <f t="shared" si="2"/>
        <v>Feb</v>
      </c>
      <c r="S156" t="s">
        <v>444</v>
      </c>
      <c r="T156">
        <v>1446.46</v>
      </c>
      <c r="U156">
        <v>469.22</v>
      </c>
      <c r="V156" t="s">
        <v>76</v>
      </c>
      <c r="W156" t="s">
        <v>68</v>
      </c>
    </row>
    <row r="157" spans="18:23" x14ac:dyDescent="0.3">
      <c r="R157" t="str">
        <f t="shared" si="2"/>
        <v>Mar</v>
      </c>
      <c r="S157" t="s">
        <v>446</v>
      </c>
      <c r="T157">
        <v>2158.65</v>
      </c>
      <c r="U157">
        <v>736.55</v>
      </c>
      <c r="V157" t="s">
        <v>142</v>
      </c>
      <c r="W157" t="s">
        <v>47</v>
      </c>
    </row>
    <row r="158" spans="18:23" x14ac:dyDescent="0.3">
      <c r="R158" t="str">
        <f t="shared" si="2"/>
        <v>Mar</v>
      </c>
      <c r="S158" t="s">
        <v>449</v>
      </c>
      <c r="T158">
        <v>634.48</v>
      </c>
      <c r="U158">
        <v>114.93</v>
      </c>
      <c r="V158" t="s">
        <v>76</v>
      </c>
      <c r="W158" t="s">
        <v>23</v>
      </c>
    </row>
    <row r="159" spans="18:23" x14ac:dyDescent="0.3">
      <c r="R159" t="str">
        <f t="shared" si="2"/>
        <v>Feb</v>
      </c>
      <c r="S159" t="s">
        <v>451</v>
      </c>
      <c r="T159">
        <v>1203.3599999999999</v>
      </c>
      <c r="U159">
        <v>429.43</v>
      </c>
      <c r="V159" t="s">
        <v>98</v>
      </c>
      <c r="W159" t="s">
        <v>68</v>
      </c>
    </row>
    <row r="160" spans="18:23" x14ac:dyDescent="0.3">
      <c r="R160" t="str">
        <f t="shared" si="2"/>
        <v>May</v>
      </c>
      <c r="S160" t="s">
        <v>240</v>
      </c>
      <c r="T160">
        <v>946.43</v>
      </c>
      <c r="U160">
        <v>316.27999999999997</v>
      </c>
      <c r="V160" t="s">
        <v>49</v>
      </c>
      <c r="W160" t="s">
        <v>23</v>
      </c>
    </row>
    <row r="161" spans="18:23" x14ac:dyDescent="0.3">
      <c r="R161" t="str">
        <f t="shared" si="2"/>
        <v>Dec</v>
      </c>
      <c r="S161" t="s">
        <v>454</v>
      </c>
      <c r="T161">
        <v>1023</v>
      </c>
      <c r="U161">
        <v>216.56</v>
      </c>
      <c r="V161" t="s">
        <v>142</v>
      </c>
      <c r="W161" t="s">
        <v>68</v>
      </c>
    </row>
    <row r="162" spans="18:23" x14ac:dyDescent="0.3">
      <c r="R162" t="str">
        <f t="shared" si="2"/>
        <v>Oct</v>
      </c>
      <c r="S162" t="s">
        <v>457</v>
      </c>
      <c r="T162">
        <v>667.52</v>
      </c>
      <c r="U162">
        <v>149.9</v>
      </c>
      <c r="V162" t="s">
        <v>35</v>
      </c>
      <c r="W162" t="s">
        <v>68</v>
      </c>
    </row>
    <row r="163" spans="18:23" x14ac:dyDescent="0.3">
      <c r="R163" t="str">
        <f t="shared" si="2"/>
        <v>Sep</v>
      </c>
      <c r="S163" t="s">
        <v>330</v>
      </c>
      <c r="T163">
        <v>442.98</v>
      </c>
      <c r="U163">
        <v>55.99</v>
      </c>
      <c r="V163" t="s">
        <v>35</v>
      </c>
      <c r="W163" t="s">
        <v>47</v>
      </c>
    </row>
    <row r="164" spans="18:23" x14ac:dyDescent="0.3">
      <c r="R164" t="str">
        <f t="shared" si="2"/>
        <v>Oct</v>
      </c>
      <c r="S164" t="s">
        <v>460</v>
      </c>
      <c r="T164">
        <v>1166.94</v>
      </c>
      <c r="U164">
        <v>412.66</v>
      </c>
      <c r="V164" t="s">
        <v>76</v>
      </c>
      <c r="W164" t="s">
        <v>57</v>
      </c>
    </row>
    <row r="165" spans="18:23" x14ac:dyDescent="0.3">
      <c r="R165" t="str">
        <f t="shared" si="2"/>
        <v>Jul</v>
      </c>
      <c r="S165" t="s">
        <v>133</v>
      </c>
      <c r="T165">
        <v>1446.48</v>
      </c>
      <c r="U165">
        <v>361.78</v>
      </c>
      <c r="V165" t="s">
        <v>98</v>
      </c>
      <c r="W165" t="s">
        <v>47</v>
      </c>
    </row>
    <row r="166" spans="18:23" x14ac:dyDescent="0.3">
      <c r="R166" t="str">
        <f t="shared" si="2"/>
        <v>Jul</v>
      </c>
      <c r="S166" t="s">
        <v>464</v>
      </c>
      <c r="T166">
        <v>267.3</v>
      </c>
      <c r="U166">
        <v>57.09</v>
      </c>
      <c r="V166" t="s">
        <v>142</v>
      </c>
      <c r="W166" t="s">
        <v>47</v>
      </c>
    </row>
    <row r="167" spans="18:23" x14ac:dyDescent="0.3">
      <c r="R167" t="str">
        <f t="shared" si="2"/>
        <v>Feb</v>
      </c>
      <c r="S167" t="s">
        <v>467</v>
      </c>
      <c r="T167">
        <v>544.5</v>
      </c>
      <c r="U167">
        <v>207.91</v>
      </c>
      <c r="V167" t="s">
        <v>35</v>
      </c>
      <c r="W167" t="s">
        <v>47</v>
      </c>
    </row>
    <row r="168" spans="18:23" x14ac:dyDescent="0.3">
      <c r="R168" t="str">
        <f t="shared" si="2"/>
        <v>Jun</v>
      </c>
      <c r="S168" t="s">
        <v>469</v>
      </c>
      <c r="T168">
        <v>1382.76</v>
      </c>
      <c r="U168">
        <v>477.59</v>
      </c>
      <c r="V168" t="s">
        <v>76</v>
      </c>
      <c r="W168" t="s">
        <v>23</v>
      </c>
    </row>
    <row r="169" spans="18:23" x14ac:dyDescent="0.3">
      <c r="R169" t="str">
        <f t="shared" si="2"/>
        <v>Feb</v>
      </c>
      <c r="S169" t="s">
        <v>118</v>
      </c>
      <c r="T169">
        <v>538</v>
      </c>
      <c r="U169">
        <v>123.77</v>
      </c>
      <c r="V169" t="s">
        <v>98</v>
      </c>
      <c r="W169" t="s">
        <v>68</v>
      </c>
    </row>
    <row r="170" spans="18:23" x14ac:dyDescent="0.3">
      <c r="R170" t="str">
        <f t="shared" si="2"/>
        <v>Feb</v>
      </c>
      <c r="S170" t="s">
        <v>473</v>
      </c>
      <c r="T170">
        <v>131.25</v>
      </c>
      <c r="U170">
        <v>37.9</v>
      </c>
      <c r="V170" t="s">
        <v>76</v>
      </c>
      <c r="W170" t="s">
        <v>23</v>
      </c>
    </row>
    <row r="171" spans="18:23" x14ac:dyDescent="0.3">
      <c r="R171" t="str">
        <f t="shared" si="2"/>
        <v>Jun</v>
      </c>
      <c r="S171" t="s">
        <v>281</v>
      </c>
      <c r="T171">
        <v>314.8</v>
      </c>
      <c r="U171">
        <v>54.57</v>
      </c>
      <c r="V171" t="s">
        <v>35</v>
      </c>
      <c r="W171" t="s">
        <v>75</v>
      </c>
    </row>
    <row r="172" spans="18:23" x14ac:dyDescent="0.3">
      <c r="R172" t="str">
        <f t="shared" si="2"/>
        <v>Aug</v>
      </c>
      <c r="S172" t="s">
        <v>477</v>
      </c>
      <c r="T172">
        <v>649.11</v>
      </c>
      <c r="U172">
        <v>190.69</v>
      </c>
      <c r="V172" t="s">
        <v>49</v>
      </c>
      <c r="W172" t="s">
        <v>47</v>
      </c>
    </row>
    <row r="173" spans="18:23" x14ac:dyDescent="0.3">
      <c r="R173" t="str">
        <f t="shared" si="2"/>
        <v>May</v>
      </c>
      <c r="S173" t="s">
        <v>479</v>
      </c>
      <c r="T173">
        <v>535.63</v>
      </c>
      <c r="U173">
        <v>152.66999999999999</v>
      </c>
      <c r="V173" t="s">
        <v>76</v>
      </c>
      <c r="W173" t="s">
        <v>47</v>
      </c>
    </row>
    <row r="174" spans="18:23" x14ac:dyDescent="0.3">
      <c r="R174" t="str">
        <f t="shared" si="2"/>
        <v>Nov</v>
      </c>
      <c r="S174" t="s">
        <v>482</v>
      </c>
      <c r="T174">
        <v>1612.44</v>
      </c>
      <c r="U174">
        <v>283.83999999999997</v>
      </c>
      <c r="V174" t="s">
        <v>98</v>
      </c>
      <c r="W174" t="s">
        <v>23</v>
      </c>
    </row>
    <row r="175" spans="18:23" x14ac:dyDescent="0.3">
      <c r="R175" t="str">
        <f t="shared" si="2"/>
        <v>Apr</v>
      </c>
      <c r="S175" t="s">
        <v>484</v>
      </c>
      <c r="T175">
        <v>56.58</v>
      </c>
      <c r="U175">
        <v>7.47</v>
      </c>
      <c r="V175" t="s">
        <v>49</v>
      </c>
      <c r="W175" t="s">
        <v>68</v>
      </c>
    </row>
    <row r="176" spans="18:23" x14ac:dyDescent="0.3">
      <c r="R176" t="str">
        <f t="shared" si="2"/>
        <v>Nov</v>
      </c>
      <c r="S176" t="s">
        <v>311</v>
      </c>
      <c r="T176">
        <v>458.6</v>
      </c>
      <c r="U176">
        <v>164.2</v>
      </c>
      <c r="V176" t="s">
        <v>76</v>
      </c>
      <c r="W176" t="s">
        <v>68</v>
      </c>
    </row>
    <row r="177" spans="18:23" x14ac:dyDescent="0.3">
      <c r="R177" t="str">
        <f t="shared" si="2"/>
        <v>Feb</v>
      </c>
      <c r="S177" t="s">
        <v>488</v>
      </c>
      <c r="T177">
        <v>24.64</v>
      </c>
      <c r="U177">
        <v>5.99</v>
      </c>
      <c r="V177" t="s">
        <v>35</v>
      </c>
      <c r="W177" t="s">
        <v>23</v>
      </c>
    </row>
    <row r="178" spans="18:23" x14ac:dyDescent="0.3">
      <c r="R178" t="str">
        <f t="shared" si="2"/>
        <v>Jul</v>
      </c>
      <c r="S178" t="s">
        <v>347</v>
      </c>
      <c r="T178">
        <v>1117.2</v>
      </c>
      <c r="U178">
        <v>306.64</v>
      </c>
      <c r="V178" t="s">
        <v>35</v>
      </c>
      <c r="W178" t="s">
        <v>68</v>
      </c>
    </row>
    <row r="179" spans="18:23" x14ac:dyDescent="0.3">
      <c r="R179" t="str">
        <f t="shared" si="2"/>
        <v>Oct</v>
      </c>
      <c r="S179" t="s">
        <v>491</v>
      </c>
      <c r="T179">
        <v>1424</v>
      </c>
      <c r="U179">
        <v>260.08</v>
      </c>
      <c r="V179" t="s">
        <v>98</v>
      </c>
      <c r="W179" t="s">
        <v>23</v>
      </c>
    </row>
    <row r="180" spans="18:23" x14ac:dyDescent="0.3">
      <c r="R180" t="str">
        <f t="shared" si="2"/>
        <v>Aug</v>
      </c>
      <c r="S180" t="s">
        <v>493</v>
      </c>
      <c r="T180">
        <v>2396.8200000000002</v>
      </c>
      <c r="U180">
        <v>827.97</v>
      </c>
      <c r="V180" t="s">
        <v>49</v>
      </c>
      <c r="W180" t="s">
        <v>23</v>
      </c>
    </row>
    <row r="181" spans="18:23" x14ac:dyDescent="0.3">
      <c r="R181" t="str">
        <f t="shared" si="2"/>
        <v>Oct</v>
      </c>
      <c r="S181" t="s">
        <v>495</v>
      </c>
      <c r="T181">
        <v>489.82</v>
      </c>
      <c r="U181">
        <v>166.92</v>
      </c>
      <c r="V181" t="s">
        <v>76</v>
      </c>
      <c r="W181" t="s">
        <v>68</v>
      </c>
    </row>
    <row r="182" spans="18:23" x14ac:dyDescent="0.3">
      <c r="R182" t="str">
        <f t="shared" si="2"/>
        <v>Feb</v>
      </c>
      <c r="S182" t="s">
        <v>497</v>
      </c>
      <c r="T182">
        <v>1308.49</v>
      </c>
      <c r="U182">
        <v>499.15</v>
      </c>
      <c r="V182" t="s">
        <v>98</v>
      </c>
      <c r="W182" t="s">
        <v>23</v>
      </c>
    </row>
    <row r="183" spans="18:23" x14ac:dyDescent="0.3">
      <c r="R183" t="str">
        <f t="shared" si="2"/>
        <v>Dec</v>
      </c>
      <c r="S183" t="s">
        <v>454</v>
      </c>
      <c r="T183">
        <v>318.07</v>
      </c>
      <c r="U183">
        <v>32.54</v>
      </c>
      <c r="V183" t="s">
        <v>35</v>
      </c>
      <c r="W183" t="s">
        <v>68</v>
      </c>
    </row>
    <row r="184" spans="18:23" x14ac:dyDescent="0.3">
      <c r="R184" t="str">
        <f t="shared" si="2"/>
        <v>Mar</v>
      </c>
      <c r="S184" t="s">
        <v>268</v>
      </c>
      <c r="T184">
        <v>1050.28</v>
      </c>
      <c r="U184">
        <v>334.77</v>
      </c>
      <c r="V184" t="s">
        <v>76</v>
      </c>
      <c r="W184" t="s">
        <v>68</v>
      </c>
    </row>
    <row r="185" spans="18:23" x14ac:dyDescent="0.3">
      <c r="R185" t="str">
        <f t="shared" si="2"/>
        <v>Sep</v>
      </c>
      <c r="S185" t="s">
        <v>502</v>
      </c>
      <c r="T185">
        <v>514.91999999999996</v>
      </c>
      <c r="U185">
        <v>115.74</v>
      </c>
      <c r="V185" t="s">
        <v>207</v>
      </c>
      <c r="W185" t="s">
        <v>47</v>
      </c>
    </row>
    <row r="186" spans="18:23" x14ac:dyDescent="0.3">
      <c r="R186" t="str">
        <f t="shared" si="2"/>
        <v>Nov</v>
      </c>
      <c r="S186" t="s">
        <v>504</v>
      </c>
      <c r="T186">
        <v>1060.29</v>
      </c>
      <c r="U186">
        <v>187.95</v>
      </c>
      <c r="V186" t="s">
        <v>76</v>
      </c>
      <c r="W186" t="s">
        <v>57</v>
      </c>
    </row>
    <row r="187" spans="18:23" x14ac:dyDescent="0.3">
      <c r="R187" t="str">
        <f t="shared" si="2"/>
        <v>Dec</v>
      </c>
      <c r="S187" t="s">
        <v>454</v>
      </c>
      <c r="T187">
        <v>1770.38</v>
      </c>
      <c r="U187">
        <v>206.98</v>
      </c>
      <c r="V187" t="s">
        <v>35</v>
      </c>
      <c r="W187" t="s">
        <v>23</v>
      </c>
    </row>
    <row r="188" spans="18:23" x14ac:dyDescent="0.3">
      <c r="R188" t="str">
        <f t="shared" si="2"/>
        <v>Mar</v>
      </c>
      <c r="S188" t="s">
        <v>508</v>
      </c>
      <c r="T188">
        <v>732.6</v>
      </c>
      <c r="U188">
        <v>206.17</v>
      </c>
      <c r="V188" t="s">
        <v>207</v>
      </c>
      <c r="W188" t="s">
        <v>47</v>
      </c>
    </row>
    <row r="189" spans="18:23" x14ac:dyDescent="0.3">
      <c r="R189" t="str">
        <f t="shared" si="2"/>
        <v>Mar</v>
      </c>
      <c r="S189" t="s">
        <v>510</v>
      </c>
      <c r="T189">
        <v>72.239999999999995</v>
      </c>
      <c r="U189">
        <v>16.579999999999998</v>
      </c>
      <c r="V189" t="s">
        <v>98</v>
      </c>
      <c r="W189" t="s">
        <v>47</v>
      </c>
    </row>
    <row r="190" spans="18:23" x14ac:dyDescent="0.3">
      <c r="R190" t="str">
        <f t="shared" si="2"/>
        <v>Dec</v>
      </c>
      <c r="S190" t="s">
        <v>412</v>
      </c>
      <c r="T190">
        <v>2223.6</v>
      </c>
      <c r="U190">
        <v>749.03</v>
      </c>
      <c r="V190" t="s">
        <v>98</v>
      </c>
      <c r="W190" t="s">
        <v>23</v>
      </c>
    </row>
    <row r="191" spans="18:23" x14ac:dyDescent="0.3">
      <c r="R191" t="str">
        <f t="shared" si="2"/>
        <v>Apr</v>
      </c>
      <c r="S191" t="s">
        <v>327</v>
      </c>
      <c r="T191">
        <v>157.9</v>
      </c>
      <c r="U191">
        <v>29.17</v>
      </c>
      <c r="V191" t="s">
        <v>76</v>
      </c>
      <c r="W191" t="s">
        <v>75</v>
      </c>
    </row>
    <row r="192" spans="18:23" x14ac:dyDescent="0.3">
      <c r="R192" t="str">
        <f t="shared" si="2"/>
        <v>Apr</v>
      </c>
      <c r="S192" t="s">
        <v>515</v>
      </c>
      <c r="T192">
        <v>1333.5</v>
      </c>
      <c r="U192">
        <v>353.35</v>
      </c>
      <c r="V192" t="s">
        <v>98</v>
      </c>
      <c r="W192" t="s">
        <v>23</v>
      </c>
    </row>
    <row r="193" spans="18:23" x14ac:dyDescent="0.3">
      <c r="R193" t="str">
        <f t="shared" si="2"/>
        <v>Mar</v>
      </c>
      <c r="S193" t="s">
        <v>517</v>
      </c>
      <c r="T193">
        <v>351.56</v>
      </c>
      <c r="U193">
        <v>69.59</v>
      </c>
      <c r="V193" t="s">
        <v>76</v>
      </c>
      <c r="W193" t="s">
        <v>68</v>
      </c>
    </row>
    <row r="194" spans="18:23" x14ac:dyDescent="0.3">
      <c r="R194" t="str">
        <f t="shared" si="2"/>
        <v>Apr</v>
      </c>
      <c r="S194" t="s">
        <v>259</v>
      </c>
      <c r="T194">
        <v>1600.51</v>
      </c>
      <c r="U194">
        <v>482.45</v>
      </c>
      <c r="V194" t="s">
        <v>142</v>
      </c>
      <c r="W194" t="s">
        <v>23</v>
      </c>
    </row>
    <row r="195" spans="18:23" x14ac:dyDescent="0.3">
      <c r="R195" t="str">
        <f t="shared" si="2"/>
        <v>Apr</v>
      </c>
      <c r="S195" t="s">
        <v>520</v>
      </c>
      <c r="T195">
        <v>2095.08</v>
      </c>
      <c r="U195">
        <v>824.95</v>
      </c>
      <c r="V195" t="s">
        <v>76</v>
      </c>
      <c r="W195" t="s">
        <v>23</v>
      </c>
    </row>
    <row r="196" spans="18:23" x14ac:dyDescent="0.3">
      <c r="R196" t="str">
        <f t="shared" si="2"/>
        <v>Nov</v>
      </c>
      <c r="S196" t="s">
        <v>306</v>
      </c>
      <c r="T196">
        <v>400.3</v>
      </c>
      <c r="U196">
        <v>149.5</v>
      </c>
      <c r="V196" t="s">
        <v>98</v>
      </c>
      <c r="W196" t="s">
        <v>68</v>
      </c>
    </row>
    <row r="197" spans="18:23" x14ac:dyDescent="0.3">
      <c r="R197" t="str">
        <f t="shared" si="2"/>
        <v>Mar</v>
      </c>
      <c r="S197" t="s">
        <v>524</v>
      </c>
      <c r="T197">
        <v>719.9</v>
      </c>
      <c r="U197">
        <v>212.02</v>
      </c>
      <c r="V197" t="s">
        <v>76</v>
      </c>
      <c r="W197" t="s">
        <v>47</v>
      </c>
    </row>
    <row r="198" spans="18:23" x14ac:dyDescent="0.3">
      <c r="R198" t="str">
        <f t="shared" si="2"/>
        <v>May</v>
      </c>
      <c r="S198" t="s">
        <v>105</v>
      </c>
      <c r="T198">
        <v>1864.43</v>
      </c>
      <c r="U198">
        <v>509.37</v>
      </c>
      <c r="V198" t="s">
        <v>98</v>
      </c>
      <c r="W198" t="s">
        <v>23</v>
      </c>
    </row>
    <row r="199" spans="18:23" x14ac:dyDescent="0.3">
      <c r="R199" t="str">
        <f t="shared" ref="R199:R262" si="3">TEXT(S199,"MMM")</f>
        <v>Dec</v>
      </c>
      <c r="S199" t="s">
        <v>527</v>
      </c>
      <c r="T199">
        <v>644.86</v>
      </c>
      <c r="U199">
        <v>120.36</v>
      </c>
      <c r="V199" t="s">
        <v>98</v>
      </c>
      <c r="W199" t="s">
        <v>47</v>
      </c>
    </row>
    <row r="200" spans="18:23" x14ac:dyDescent="0.3">
      <c r="R200" t="str">
        <f t="shared" si="3"/>
        <v>Jul</v>
      </c>
      <c r="S200" t="s">
        <v>408</v>
      </c>
      <c r="T200">
        <v>71.84</v>
      </c>
      <c r="U200">
        <v>29.5</v>
      </c>
      <c r="V200" t="s">
        <v>142</v>
      </c>
      <c r="W200" t="s">
        <v>47</v>
      </c>
    </row>
    <row r="201" spans="18:23" x14ac:dyDescent="0.3">
      <c r="R201" t="str">
        <f t="shared" si="3"/>
        <v>May</v>
      </c>
      <c r="S201" t="s">
        <v>530</v>
      </c>
      <c r="T201">
        <v>1529.76</v>
      </c>
      <c r="U201">
        <v>479.91</v>
      </c>
      <c r="V201" t="s">
        <v>49</v>
      </c>
      <c r="W201" t="s">
        <v>47</v>
      </c>
    </row>
    <row r="202" spans="18:23" x14ac:dyDescent="0.3">
      <c r="R202" t="str">
        <f t="shared" si="3"/>
        <v>Dec</v>
      </c>
      <c r="S202" t="s">
        <v>532</v>
      </c>
      <c r="T202">
        <v>3220</v>
      </c>
      <c r="U202">
        <v>1219.8900000000001</v>
      </c>
      <c r="V202" t="s">
        <v>207</v>
      </c>
      <c r="W202" t="s">
        <v>57</v>
      </c>
    </row>
    <row r="203" spans="18:23" x14ac:dyDescent="0.3">
      <c r="R203" t="str">
        <f t="shared" si="3"/>
        <v>Apr</v>
      </c>
      <c r="S203" t="s">
        <v>534</v>
      </c>
      <c r="T203">
        <v>2596.5</v>
      </c>
      <c r="U203">
        <v>918.98</v>
      </c>
      <c r="V203" t="s">
        <v>76</v>
      </c>
      <c r="W203" t="s">
        <v>23</v>
      </c>
    </row>
    <row r="204" spans="18:23" x14ac:dyDescent="0.3">
      <c r="R204" t="str">
        <f t="shared" si="3"/>
        <v>May</v>
      </c>
      <c r="S204" t="s">
        <v>536</v>
      </c>
      <c r="T204">
        <v>465.29</v>
      </c>
      <c r="U204">
        <v>154.75</v>
      </c>
      <c r="V204" t="s">
        <v>76</v>
      </c>
      <c r="W204" t="s">
        <v>47</v>
      </c>
    </row>
    <row r="205" spans="18:23" x14ac:dyDescent="0.3">
      <c r="R205" t="str">
        <f t="shared" si="3"/>
        <v>Apr</v>
      </c>
      <c r="S205" t="s">
        <v>224</v>
      </c>
      <c r="T205">
        <v>229.6</v>
      </c>
      <c r="U205">
        <v>31.34</v>
      </c>
      <c r="V205" t="s">
        <v>35</v>
      </c>
      <c r="W205" t="s">
        <v>23</v>
      </c>
    </row>
    <row r="206" spans="18:23" x14ac:dyDescent="0.3">
      <c r="R206" t="str">
        <f t="shared" si="3"/>
        <v>Aug</v>
      </c>
      <c r="S206" t="s">
        <v>493</v>
      </c>
      <c r="T206">
        <v>2193.6</v>
      </c>
      <c r="U206">
        <v>704.34</v>
      </c>
      <c r="V206" t="s">
        <v>49</v>
      </c>
      <c r="W206" t="s">
        <v>23</v>
      </c>
    </row>
    <row r="207" spans="18:23" x14ac:dyDescent="0.3">
      <c r="R207" t="str">
        <f t="shared" si="3"/>
        <v>Apr</v>
      </c>
      <c r="S207" t="s">
        <v>541</v>
      </c>
      <c r="T207">
        <v>255.01</v>
      </c>
      <c r="U207">
        <v>73.709999999999994</v>
      </c>
      <c r="V207" t="s">
        <v>76</v>
      </c>
      <c r="W207" t="s">
        <v>75</v>
      </c>
    </row>
    <row r="208" spans="18:23" x14ac:dyDescent="0.3">
      <c r="R208" t="str">
        <f t="shared" si="3"/>
        <v>Mar</v>
      </c>
      <c r="S208" t="s">
        <v>543</v>
      </c>
      <c r="T208">
        <v>759.72</v>
      </c>
      <c r="U208">
        <v>222.38</v>
      </c>
      <c r="V208" t="s">
        <v>98</v>
      </c>
      <c r="W208" t="s">
        <v>47</v>
      </c>
    </row>
    <row r="209" spans="18:23" x14ac:dyDescent="0.3">
      <c r="R209" t="str">
        <f t="shared" si="3"/>
        <v>Feb</v>
      </c>
      <c r="S209" t="s">
        <v>444</v>
      </c>
      <c r="T209">
        <v>1359.05</v>
      </c>
      <c r="U209">
        <v>477.63</v>
      </c>
      <c r="V209" t="s">
        <v>142</v>
      </c>
      <c r="W209" t="s">
        <v>68</v>
      </c>
    </row>
    <row r="210" spans="18:23" x14ac:dyDescent="0.3">
      <c r="R210" t="str">
        <f t="shared" si="3"/>
        <v>Oct</v>
      </c>
      <c r="S210" t="s">
        <v>404</v>
      </c>
      <c r="T210">
        <v>1277.6400000000001</v>
      </c>
      <c r="U210">
        <v>461.83</v>
      </c>
      <c r="V210" t="s">
        <v>76</v>
      </c>
      <c r="W210" t="s">
        <v>47</v>
      </c>
    </row>
    <row r="211" spans="18:23" x14ac:dyDescent="0.3">
      <c r="R211" t="str">
        <f t="shared" si="3"/>
        <v>Jan</v>
      </c>
      <c r="S211" t="s">
        <v>547</v>
      </c>
      <c r="T211">
        <v>318.95999999999998</v>
      </c>
      <c r="U211">
        <v>47.01</v>
      </c>
      <c r="V211" t="s">
        <v>98</v>
      </c>
      <c r="W211" t="s">
        <v>47</v>
      </c>
    </row>
    <row r="212" spans="18:23" x14ac:dyDescent="0.3">
      <c r="R212" t="str">
        <f t="shared" si="3"/>
        <v>Apr</v>
      </c>
      <c r="S212" t="s">
        <v>153</v>
      </c>
      <c r="T212">
        <v>631</v>
      </c>
      <c r="U212">
        <v>204.07</v>
      </c>
      <c r="V212" t="s">
        <v>76</v>
      </c>
      <c r="W212" t="s">
        <v>57</v>
      </c>
    </row>
    <row r="213" spans="18:23" x14ac:dyDescent="0.3">
      <c r="R213" t="str">
        <f t="shared" si="3"/>
        <v>May</v>
      </c>
      <c r="S213" t="s">
        <v>550</v>
      </c>
      <c r="T213">
        <v>165.3</v>
      </c>
      <c r="U213">
        <v>60.13</v>
      </c>
      <c r="V213" t="s">
        <v>35</v>
      </c>
      <c r="W213" t="s">
        <v>47</v>
      </c>
    </row>
    <row r="214" spans="18:23" x14ac:dyDescent="0.3">
      <c r="R214" t="str">
        <f t="shared" si="3"/>
        <v>Feb</v>
      </c>
      <c r="S214" t="s">
        <v>552</v>
      </c>
      <c r="T214">
        <v>515.05999999999995</v>
      </c>
      <c r="U214">
        <v>101.76</v>
      </c>
      <c r="V214" t="s">
        <v>76</v>
      </c>
      <c r="W214" t="s">
        <v>68</v>
      </c>
    </row>
    <row r="215" spans="18:23" x14ac:dyDescent="0.3">
      <c r="R215" t="str">
        <f t="shared" si="3"/>
        <v>Apr</v>
      </c>
      <c r="S215" t="s">
        <v>554</v>
      </c>
      <c r="T215">
        <v>906.78</v>
      </c>
      <c r="U215">
        <v>196.18</v>
      </c>
      <c r="V215" t="s">
        <v>76</v>
      </c>
      <c r="W215" t="s">
        <v>57</v>
      </c>
    </row>
    <row r="216" spans="18:23" x14ac:dyDescent="0.3">
      <c r="R216" t="str">
        <f t="shared" si="3"/>
        <v>Jul</v>
      </c>
      <c r="S216" t="s">
        <v>556</v>
      </c>
      <c r="T216">
        <v>479.91</v>
      </c>
      <c r="U216">
        <v>108.03</v>
      </c>
      <c r="V216" t="s">
        <v>76</v>
      </c>
      <c r="W216" t="s">
        <v>47</v>
      </c>
    </row>
    <row r="217" spans="18:23" x14ac:dyDescent="0.3">
      <c r="R217" t="str">
        <f t="shared" si="3"/>
        <v>Mar</v>
      </c>
      <c r="S217" t="s">
        <v>558</v>
      </c>
      <c r="T217">
        <v>1060.92</v>
      </c>
      <c r="U217">
        <v>227.87</v>
      </c>
      <c r="V217" t="s">
        <v>35</v>
      </c>
      <c r="W217" t="s">
        <v>23</v>
      </c>
    </row>
    <row r="218" spans="18:23" x14ac:dyDescent="0.3">
      <c r="R218" t="str">
        <f t="shared" si="3"/>
        <v>Sep</v>
      </c>
      <c r="S218" t="s">
        <v>561</v>
      </c>
      <c r="T218">
        <v>54.54</v>
      </c>
      <c r="U218">
        <v>17.09</v>
      </c>
      <c r="V218" t="s">
        <v>76</v>
      </c>
      <c r="W218" t="s">
        <v>23</v>
      </c>
    </row>
    <row r="219" spans="18:23" x14ac:dyDescent="0.3">
      <c r="R219" t="str">
        <f t="shared" si="3"/>
        <v>Nov</v>
      </c>
      <c r="S219" t="s">
        <v>563</v>
      </c>
      <c r="T219">
        <v>2157.6</v>
      </c>
      <c r="U219">
        <v>665.19</v>
      </c>
      <c r="V219" t="s">
        <v>76</v>
      </c>
      <c r="W219" t="s">
        <v>68</v>
      </c>
    </row>
    <row r="220" spans="18:23" x14ac:dyDescent="0.3">
      <c r="R220" t="str">
        <f t="shared" si="3"/>
        <v>Apr</v>
      </c>
      <c r="S220" t="s">
        <v>400</v>
      </c>
      <c r="T220">
        <v>657.8</v>
      </c>
      <c r="U220">
        <v>184.44</v>
      </c>
      <c r="V220" t="s">
        <v>76</v>
      </c>
      <c r="W220" t="s">
        <v>47</v>
      </c>
    </row>
    <row r="221" spans="18:23" x14ac:dyDescent="0.3">
      <c r="R221" t="str">
        <f t="shared" si="3"/>
        <v>Nov</v>
      </c>
      <c r="S221" t="s">
        <v>309</v>
      </c>
      <c r="T221">
        <v>469.8</v>
      </c>
      <c r="U221">
        <v>171.28</v>
      </c>
      <c r="V221" t="s">
        <v>35</v>
      </c>
      <c r="W221" t="s">
        <v>68</v>
      </c>
    </row>
    <row r="222" spans="18:23" x14ac:dyDescent="0.3">
      <c r="R222" t="str">
        <f t="shared" si="3"/>
        <v>Oct</v>
      </c>
      <c r="S222" t="s">
        <v>567</v>
      </c>
      <c r="T222">
        <v>786.45</v>
      </c>
      <c r="U222">
        <v>136.05000000000001</v>
      </c>
      <c r="V222" t="s">
        <v>98</v>
      </c>
      <c r="W222" t="s">
        <v>68</v>
      </c>
    </row>
    <row r="223" spans="18:23" x14ac:dyDescent="0.3">
      <c r="R223" t="str">
        <f t="shared" si="3"/>
        <v>Dec</v>
      </c>
      <c r="S223" t="s">
        <v>570</v>
      </c>
      <c r="T223">
        <v>713.5</v>
      </c>
      <c r="U223">
        <v>163.12</v>
      </c>
      <c r="V223" t="s">
        <v>76</v>
      </c>
      <c r="W223" t="s">
        <v>47</v>
      </c>
    </row>
    <row r="224" spans="18:23" x14ac:dyDescent="0.3">
      <c r="R224" t="str">
        <f t="shared" si="3"/>
        <v>Feb</v>
      </c>
      <c r="S224" t="s">
        <v>303</v>
      </c>
      <c r="T224">
        <v>418.77</v>
      </c>
      <c r="U224">
        <v>114.75</v>
      </c>
      <c r="V224" t="s">
        <v>98</v>
      </c>
      <c r="W224" t="s">
        <v>75</v>
      </c>
    </row>
    <row r="225" spans="18:23" x14ac:dyDescent="0.3">
      <c r="R225" t="str">
        <f t="shared" si="3"/>
        <v>Oct</v>
      </c>
      <c r="S225" t="s">
        <v>573</v>
      </c>
      <c r="T225">
        <v>347.76</v>
      </c>
      <c r="U225">
        <v>47.42</v>
      </c>
      <c r="V225" t="s">
        <v>98</v>
      </c>
      <c r="W225" t="s">
        <v>68</v>
      </c>
    </row>
    <row r="226" spans="18:23" x14ac:dyDescent="0.3">
      <c r="R226" t="str">
        <f t="shared" si="3"/>
        <v>Jun</v>
      </c>
      <c r="S226" t="s">
        <v>281</v>
      </c>
      <c r="T226">
        <v>2100.84</v>
      </c>
      <c r="U226">
        <v>835.19</v>
      </c>
      <c r="V226" t="s">
        <v>35</v>
      </c>
      <c r="W226" t="s">
        <v>68</v>
      </c>
    </row>
    <row r="227" spans="18:23" x14ac:dyDescent="0.3">
      <c r="R227" t="str">
        <f t="shared" si="3"/>
        <v>Jan</v>
      </c>
      <c r="S227" t="s">
        <v>577</v>
      </c>
      <c r="T227">
        <v>642.07000000000005</v>
      </c>
      <c r="U227">
        <v>239.75</v>
      </c>
      <c r="V227" t="s">
        <v>207</v>
      </c>
      <c r="W227" t="s">
        <v>68</v>
      </c>
    </row>
    <row r="228" spans="18:23" x14ac:dyDescent="0.3">
      <c r="R228" t="str">
        <f t="shared" si="3"/>
        <v>May</v>
      </c>
      <c r="S228" t="s">
        <v>579</v>
      </c>
      <c r="T228">
        <v>342.9</v>
      </c>
      <c r="U228">
        <v>45.74</v>
      </c>
      <c r="V228" t="s">
        <v>35</v>
      </c>
      <c r="W228" t="s">
        <v>23</v>
      </c>
    </row>
    <row r="229" spans="18:23" x14ac:dyDescent="0.3">
      <c r="R229" t="str">
        <f t="shared" si="3"/>
        <v>Sep</v>
      </c>
      <c r="S229" t="s">
        <v>581</v>
      </c>
      <c r="T229">
        <v>1378.99</v>
      </c>
      <c r="U229">
        <v>361.07</v>
      </c>
      <c r="V229" t="s">
        <v>76</v>
      </c>
      <c r="W229" t="s">
        <v>75</v>
      </c>
    </row>
    <row r="230" spans="18:23" x14ac:dyDescent="0.3">
      <c r="R230" t="str">
        <f t="shared" si="3"/>
        <v>Mar</v>
      </c>
      <c r="S230" t="s">
        <v>583</v>
      </c>
      <c r="T230">
        <v>2648.45</v>
      </c>
      <c r="U230">
        <v>866.65</v>
      </c>
      <c r="V230" t="s">
        <v>35</v>
      </c>
      <c r="W230" t="s">
        <v>23</v>
      </c>
    </row>
    <row r="231" spans="18:23" x14ac:dyDescent="0.3">
      <c r="R231" t="str">
        <f t="shared" si="3"/>
        <v>Aug</v>
      </c>
      <c r="S231" t="s">
        <v>585</v>
      </c>
      <c r="T231">
        <v>661.98</v>
      </c>
      <c r="U231">
        <v>191.21</v>
      </c>
      <c r="V231" t="s">
        <v>35</v>
      </c>
      <c r="W231" t="s">
        <v>47</v>
      </c>
    </row>
    <row r="232" spans="18:23" x14ac:dyDescent="0.3">
      <c r="R232" t="str">
        <f t="shared" si="3"/>
        <v>Nov</v>
      </c>
      <c r="S232" t="s">
        <v>588</v>
      </c>
      <c r="T232">
        <v>1748.32</v>
      </c>
      <c r="U232">
        <v>251.85</v>
      </c>
      <c r="V232" t="s">
        <v>35</v>
      </c>
      <c r="W232" t="s">
        <v>68</v>
      </c>
    </row>
    <row r="233" spans="18:23" x14ac:dyDescent="0.3">
      <c r="R233" t="str">
        <f t="shared" si="3"/>
        <v>Mar</v>
      </c>
      <c r="S233" t="s">
        <v>590</v>
      </c>
      <c r="T233">
        <v>710.47</v>
      </c>
      <c r="U233">
        <v>116.73</v>
      </c>
      <c r="V233" t="s">
        <v>76</v>
      </c>
      <c r="W233" t="s">
        <v>75</v>
      </c>
    </row>
    <row r="234" spans="18:23" x14ac:dyDescent="0.3">
      <c r="R234" t="str">
        <f t="shared" si="3"/>
        <v>Oct</v>
      </c>
      <c r="S234" t="s">
        <v>101</v>
      </c>
      <c r="T234">
        <v>834.4</v>
      </c>
      <c r="U234">
        <v>325.29000000000002</v>
      </c>
      <c r="V234" t="s">
        <v>35</v>
      </c>
      <c r="W234" t="s">
        <v>23</v>
      </c>
    </row>
    <row r="235" spans="18:23" x14ac:dyDescent="0.3">
      <c r="R235" t="str">
        <f t="shared" si="3"/>
        <v>Feb</v>
      </c>
      <c r="S235" t="s">
        <v>314</v>
      </c>
      <c r="T235">
        <v>85.08</v>
      </c>
      <c r="U235">
        <v>13.12</v>
      </c>
      <c r="V235" t="s">
        <v>35</v>
      </c>
      <c r="W235" t="s">
        <v>68</v>
      </c>
    </row>
    <row r="236" spans="18:23" x14ac:dyDescent="0.3">
      <c r="R236" t="str">
        <f t="shared" si="3"/>
        <v>Nov</v>
      </c>
      <c r="S236" t="s">
        <v>398</v>
      </c>
      <c r="T236">
        <v>619.64</v>
      </c>
      <c r="U236">
        <v>245.44</v>
      </c>
      <c r="V236" t="s">
        <v>35</v>
      </c>
      <c r="W236" t="s">
        <v>47</v>
      </c>
    </row>
    <row r="237" spans="18:23" x14ac:dyDescent="0.3">
      <c r="R237" t="str">
        <f t="shared" si="3"/>
        <v>Dec</v>
      </c>
      <c r="S237" t="s">
        <v>388</v>
      </c>
      <c r="T237">
        <v>773.36</v>
      </c>
      <c r="U237">
        <v>239.48</v>
      </c>
      <c r="V237" t="s">
        <v>98</v>
      </c>
      <c r="W237" t="s">
        <v>23</v>
      </c>
    </row>
    <row r="238" spans="18:23" x14ac:dyDescent="0.3">
      <c r="R238" t="str">
        <f t="shared" si="3"/>
        <v>Mar</v>
      </c>
      <c r="S238" t="s">
        <v>596</v>
      </c>
      <c r="T238">
        <v>1369.2</v>
      </c>
      <c r="U238">
        <v>291.17</v>
      </c>
      <c r="V238" t="s">
        <v>98</v>
      </c>
      <c r="W238" t="s">
        <v>75</v>
      </c>
    </row>
    <row r="239" spans="18:23" x14ac:dyDescent="0.3">
      <c r="R239" t="str">
        <f t="shared" si="3"/>
        <v>Jan</v>
      </c>
      <c r="S239" t="s">
        <v>598</v>
      </c>
      <c r="T239">
        <v>469.8</v>
      </c>
      <c r="U239">
        <v>78.3</v>
      </c>
      <c r="V239" t="s">
        <v>76</v>
      </c>
      <c r="W239" t="s">
        <v>57</v>
      </c>
    </row>
    <row r="240" spans="18:23" x14ac:dyDescent="0.3">
      <c r="R240" t="str">
        <f t="shared" si="3"/>
        <v>Mar</v>
      </c>
      <c r="S240" t="s">
        <v>205</v>
      </c>
      <c r="T240">
        <v>1349.74</v>
      </c>
      <c r="U240">
        <v>474.88</v>
      </c>
      <c r="V240" t="s">
        <v>35</v>
      </c>
      <c r="W240" t="s">
        <v>75</v>
      </c>
    </row>
    <row r="241" spans="18:23" x14ac:dyDescent="0.3">
      <c r="R241" t="str">
        <f t="shared" si="3"/>
        <v>May</v>
      </c>
      <c r="S241" t="s">
        <v>479</v>
      </c>
      <c r="T241">
        <v>577.53</v>
      </c>
      <c r="U241">
        <v>60.38</v>
      </c>
      <c r="V241" t="s">
        <v>76</v>
      </c>
      <c r="W241" t="s">
        <v>68</v>
      </c>
    </row>
    <row r="242" spans="18:23" x14ac:dyDescent="0.3">
      <c r="R242" t="str">
        <f t="shared" si="3"/>
        <v>Feb</v>
      </c>
      <c r="S242" t="s">
        <v>602</v>
      </c>
      <c r="T242">
        <v>1036.6400000000001</v>
      </c>
      <c r="U242">
        <v>237.87</v>
      </c>
      <c r="V242" t="s">
        <v>76</v>
      </c>
      <c r="W242" t="s">
        <v>47</v>
      </c>
    </row>
    <row r="243" spans="18:23" x14ac:dyDescent="0.3">
      <c r="R243" t="str">
        <f t="shared" si="3"/>
        <v>Nov</v>
      </c>
      <c r="S243" t="s">
        <v>482</v>
      </c>
      <c r="T243">
        <v>1548.5</v>
      </c>
      <c r="U243">
        <v>566.41</v>
      </c>
      <c r="V243" t="s">
        <v>49</v>
      </c>
      <c r="W243" t="s">
        <v>23</v>
      </c>
    </row>
    <row r="244" spans="18:23" x14ac:dyDescent="0.3">
      <c r="R244" t="str">
        <f t="shared" si="3"/>
        <v>Feb</v>
      </c>
      <c r="S244" t="s">
        <v>118</v>
      </c>
      <c r="T244">
        <v>1035.47</v>
      </c>
      <c r="U244">
        <v>301.38</v>
      </c>
      <c r="V244" t="s">
        <v>76</v>
      </c>
      <c r="W244" t="s">
        <v>57</v>
      </c>
    </row>
    <row r="245" spans="18:23" x14ac:dyDescent="0.3">
      <c r="R245" t="str">
        <f t="shared" si="3"/>
        <v>May</v>
      </c>
      <c r="S245" t="s">
        <v>606</v>
      </c>
      <c r="T245">
        <v>778.75</v>
      </c>
      <c r="U245">
        <v>231.3</v>
      </c>
      <c r="V245" t="s">
        <v>76</v>
      </c>
      <c r="W245" t="s">
        <v>47</v>
      </c>
    </row>
    <row r="246" spans="18:23" x14ac:dyDescent="0.3">
      <c r="R246" t="str">
        <f t="shared" si="3"/>
        <v>Jul</v>
      </c>
      <c r="S246" t="s">
        <v>608</v>
      </c>
      <c r="T246">
        <v>933.6</v>
      </c>
      <c r="U246">
        <v>342.72</v>
      </c>
      <c r="V246" t="s">
        <v>35</v>
      </c>
      <c r="W246" t="s">
        <v>23</v>
      </c>
    </row>
    <row r="247" spans="18:23" x14ac:dyDescent="0.3">
      <c r="R247" t="str">
        <f t="shared" si="3"/>
        <v>Feb</v>
      </c>
      <c r="S247" t="s">
        <v>610</v>
      </c>
      <c r="T247">
        <v>333.88</v>
      </c>
      <c r="U247">
        <v>48.15</v>
      </c>
      <c r="V247" t="s">
        <v>98</v>
      </c>
      <c r="W247" t="s">
        <v>68</v>
      </c>
    </row>
    <row r="248" spans="18:23" x14ac:dyDescent="0.3">
      <c r="R248" t="str">
        <f t="shared" si="3"/>
        <v>Jun</v>
      </c>
      <c r="S248" t="s">
        <v>612</v>
      </c>
      <c r="T248">
        <v>2121.9499999999998</v>
      </c>
      <c r="U248">
        <v>790.56</v>
      </c>
      <c r="V248" t="s">
        <v>98</v>
      </c>
      <c r="W248" t="s">
        <v>47</v>
      </c>
    </row>
    <row r="249" spans="18:23" x14ac:dyDescent="0.3">
      <c r="R249" t="str">
        <f t="shared" si="3"/>
        <v>Feb</v>
      </c>
      <c r="S249" t="s">
        <v>615</v>
      </c>
      <c r="T249">
        <v>1917</v>
      </c>
      <c r="U249">
        <v>237.73</v>
      </c>
      <c r="V249" t="s">
        <v>35</v>
      </c>
      <c r="W249" t="s">
        <v>23</v>
      </c>
    </row>
    <row r="250" spans="18:23" x14ac:dyDescent="0.3">
      <c r="R250" t="str">
        <f t="shared" si="3"/>
        <v>Jun</v>
      </c>
      <c r="S250" t="s">
        <v>617</v>
      </c>
      <c r="T250">
        <v>795.5</v>
      </c>
      <c r="U250">
        <v>258.17</v>
      </c>
      <c r="V250" t="s">
        <v>35</v>
      </c>
      <c r="W250" t="s">
        <v>47</v>
      </c>
    </row>
    <row r="251" spans="18:23" x14ac:dyDescent="0.3">
      <c r="R251" t="str">
        <f t="shared" si="3"/>
        <v>May</v>
      </c>
      <c r="S251" t="s">
        <v>105</v>
      </c>
      <c r="T251">
        <v>616.59</v>
      </c>
      <c r="U251">
        <v>168.83</v>
      </c>
      <c r="V251" t="s">
        <v>76</v>
      </c>
      <c r="W251" t="s">
        <v>75</v>
      </c>
    </row>
    <row r="252" spans="18:23" x14ac:dyDescent="0.3">
      <c r="R252" t="str">
        <f t="shared" si="3"/>
        <v>Nov</v>
      </c>
      <c r="S252" t="s">
        <v>620</v>
      </c>
      <c r="T252">
        <v>108.04</v>
      </c>
      <c r="U252">
        <v>31.31</v>
      </c>
      <c r="V252" t="s">
        <v>76</v>
      </c>
      <c r="W252" t="s">
        <v>23</v>
      </c>
    </row>
    <row r="253" spans="18:23" x14ac:dyDescent="0.3">
      <c r="R253" t="str">
        <f t="shared" si="3"/>
        <v>May</v>
      </c>
      <c r="S253" t="s">
        <v>173</v>
      </c>
      <c r="T253">
        <v>1267.2</v>
      </c>
      <c r="U253">
        <v>461.88</v>
      </c>
      <c r="V253" t="s">
        <v>98</v>
      </c>
      <c r="W253" t="s">
        <v>23</v>
      </c>
    </row>
    <row r="254" spans="18:23" x14ac:dyDescent="0.3">
      <c r="R254" t="str">
        <f t="shared" si="3"/>
        <v>Jan</v>
      </c>
      <c r="S254" t="s">
        <v>623</v>
      </c>
      <c r="T254">
        <v>1040.1600000000001</v>
      </c>
      <c r="U254">
        <v>398.98</v>
      </c>
      <c r="V254" t="s">
        <v>35</v>
      </c>
      <c r="W254" t="s">
        <v>75</v>
      </c>
    </row>
    <row r="255" spans="18:23" x14ac:dyDescent="0.3">
      <c r="R255" t="str">
        <f t="shared" si="3"/>
        <v>Feb</v>
      </c>
      <c r="S255" t="s">
        <v>625</v>
      </c>
      <c r="T255">
        <v>2656.6</v>
      </c>
      <c r="U255">
        <v>1116.3</v>
      </c>
      <c r="V255" t="s">
        <v>98</v>
      </c>
      <c r="W255" t="s">
        <v>57</v>
      </c>
    </row>
    <row r="256" spans="18:23" x14ac:dyDescent="0.3">
      <c r="R256" t="str">
        <f t="shared" si="3"/>
        <v>Jun</v>
      </c>
      <c r="S256" t="s">
        <v>627</v>
      </c>
      <c r="T256">
        <v>698.64</v>
      </c>
      <c r="U256">
        <v>164.65</v>
      </c>
      <c r="V256" t="s">
        <v>76</v>
      </c>
      <c r="W256" t="s">
        <v>47</v>
      </c>
    </row>
    <row r="257" spans="18:23" x14ac:dyDescent="0.3">
      <c r="R257" t="str">
        <f t="shared" si="3"/>
        <v>Jan</v>
      </c>
      <c r="S257" t="s">
        <v>629</v>
      </c>
      <c r="T257">
        <v>167.46</v>
      </c>
      <c r="U257">
        <v>22.45</v>
      </c>
      <c r="V257" t="s">
        <v>76</v>
      </c>
      <c r="W257" t="s">
        <v>68</v>
      </c>
    </row>
    <row r="258" spans="18:23" x14ac:dyDescent="0.3">
      <c r="R258" t="str">
        <f t="shared" si="3"/>
        <v>Feb</v>
      </c>
      <c r="S258" t="s">
        <v>602</v>
      </c>
      <c r="T258">
        <v>764.12</v>
      </c>
      <c r="U258">
        <v>108.34</v>
      </c>
      <c r="V258" t="s">
        <v>76</v>
      </c>
      <c r="W258" t="s">
        <v>68</v>
      </c>
    </row>
    <row r="259" spans="18:23" x14ac:dyDescent="0.3">
      <c r="R259" t="str">
        <f t="shared" si="3"/>
        <v>Feb</v>
      </c>
      <c r="S259" t="s">
        <v>633</v>
      </c>
      <c r="T259">
        <v>1686.36</v>
      </c>
      <c r="U259">
        <v>558.55999999999995</v>
      </c>
      <c r="V259" t="s">
        <v>98</v>
      </c>
      <c r="W259" t="s">
        <v>68</v>
      </c>
    </row>
    <row r="260" spans="18:23" x14ac:dyDescent="0.3">
      <c r="R260" t="str">
        <f t="shared" si="3"/>
        <v>Jun</v>
      </c>
      <c r="S260" t="s">
        <v>617</v>
      </c>
      <c r="T260">
        <v>521.92999999999995</v>
      </c>
      <c r="U260">
        <v>196.14</v>
      </c>
      <c r="V260" t="s">
        <v>35</v>
      </c>
      <c r="W260" t="s">
        <v>68</v>
      </c>
    </row>
    <row r="261" spans="18:23" x14ac:dyDescent="0.3">
      <c r="R261" t="str">
        <f t="shared" si="3"/>
        <v>Nov</v>
      </c>
      <c r="S261" t="s">
        <v>294</v>
      </c>
      <c r="T261">
        <v>380.38</v>
      </c>
      <c r="U261">
        <v>110.91</v>
      </c>
      <c r="V261" t="s">
        <v>207</v>
      </c>
      <c r="W261" t="s">
        <v>47</v>
      </c>
    </row>
    <row r="262" spans="18:23" x14ac:dyDescent="0.3">
      <c r="R262" t="str">
        <f t="shared" si="3"/>
        <v>Jan</v>
      </c>
      <c r="S262" t="s">
        <v>598</v>
      </c>
      <c r="T262">
        <v>104.68</v>
      </c>
      <c r="U262">
        <v>26.35</v>
      </c>
      <c r="V262" t="s">
        <v>35</v>
      </c>
      <c r="W262" t="s">
        <v>23</v>
      </c>
    </row>
    <row r="263" spans="18:23" x14ac:dyDescent="0.3">
      <c r="R263" t="str">
        <f t="shared" ref="R263:R326" si="4">TEXT(S263,"MMM")</f>
        <v>Jan</v>
      </c>
      <c r="S263" t="s">
        <v>638</v>
      </c>
      <c r="T263">
        <v>1604.76</v>
      </c>
      <c r="U263">
        <v>576.25</v>
      </c>
      <c r="V263" t="s">
        <v>35</v>
      </c>
      <c r="W263" t="s">
        <v>68</v>
      </c>
    </row>
    <row r="264" spans="18:23" x14ac:dyDescent="0.3">
      <c r="R264" t="str">
        <f t="shared" si="4"/>
        <v>Sep</v>
      </c>
      <c r="S264" t="s">
        <v>640</v>
      </c>
      <c r="T264">
        <v>622.35</v>
      </c>
      <c r="U264">
        <v>115.91</v>
      </c>
      <c r="V264" t="s">
        <v>142</v>
      </c>
      <c r="W264" t="s">
        <v>23</v>
      </c>
    </row>
    <row r="265" spans="18:23" x14ac:dyDescent="0.3">
      <c r="R265" t="str">
        <f t="shared" si="4"/>
        <v>Oct</v>
      </c>
      <c r="S265" t="s">
        <v>642</v>
      </c>
      <c r="T265">
        <v>722.76</v>
      </c>
      <c r="U265">
        <v>223.63</v>
      </c>
      <c r="V265" t="s">
        <v>76</v>
      </c>
      <c r="W265" t="s">
        <v>47</v>
      </c>
    </row>
    <row r="266" spans="18:23" x14ac:dyDescent="0.3">
      <c r="R266" t="str">
        <f t="shared" si="4"/>
        <v>Jun</v>
      </c>
      <c r="S266" t="s">
        <v>645</v>
      </c>
      <c r="T266">
        <v>709.4</v>
      </c>
      <c r="U266">
        <v>290.76</v>
      </c>
      <c r="V266" t="s">
        <v>98</v>
      </c>
      <c r="W266" t="s">
        <v>57</v>
      </c>
    </row>
    <row r="267" spans="18:23" x14ac:dyDescent="0.3">
      <c r="R267" t="str">
        <f t="shared" si="4"/>
        <v>Jan</v>
      </c>
      <c r="S267" t="s">
        <v>648</v>
      </c>
      <c r="T267">
        <v>650.76</v>
      </c>
      <c r="U267">
        <v>187.33</v>
      </c>
      <c r="V267" t="s">
        <v>76</v>
      </c>
      <c r="W267" t="s">
        <v>75</v>
      </c>
    </row>
    <row r="268" spans="18:23" x14ac:dyDescent="0.3">
      <c r="R268" t="str">
        <f t="shared" si="4"/>
        <v>Sep</v>
      </c>
      <c r="S268" t="s">
        <v>650</v>
      </c>
      <c r="T268">
        <v>388</v>
      </c>
      <c r="U268">
        <v>51.61</v>
      </c>
      <c r="V268" t="s">
        <v>98</v>
      </c>
      <c r="W268" t="s">
        <v>47</v>
      </c>
    </row>
    <row r="269" spans="18:23" x14ac:dyDescent="0.3">
      <c r="R269" t="str">
        <f t="shared" si="4"/>
        <v>May</v>
      </c>
      <c r="S269" t="s">
        <v>652</v>
      </c>
      <c r="T269">
        <v>101.52</v>
      </c>
      <c r="U269">
        <v>24.2</v>
      </c>
      <c r="V269" t="s">
        <v>76</v>
      </c>
      <c r="W269" t="s">
        <v>75</v>
      </c>
    </row>
    <row r="270" spans="18:23" x14ac:dyDescent="0.3">
      <c r="R270" t="str">
        <f t="shared" si="4"/>
        <v>Mar</v>
      </c>
      <c r="S270" t="s">
        <v>654</v>
      </c>
      <c r="T270">
        <v>422.4</v>
      </c>
      <c r="U270">
        <v>90.32</v>
      </c>
      <c r="V270" t="s">
        <v>35</v>
      </c>
      <c r="W270" t="s">
        <v>68</v>
      </c>
    </row>
    <row r="271" spans="18:23" x14ac:dyDescent="0.3">
      <c r="R271" t="str">
        <f t="shared" si="4"/>
        <v>Dec</v>
      </c>
      <c r="S271" t="s">
        <v>656</v>
      </c>
      <c r="T271">
        <v>58.15</v>
      </c>
      <c r="U271">
        <v>18.95</v>
      </c>
      <c r="V271" t="s">
        <v>142</v>
      </c>
      <c r="W271" t="s">
        <v>23</v>
      </c>
    </row>
    <row r="272" spans="18:23" x14ac:dyDescent="0.3">
      <c r="R272" t="str">
        <f t="shared" si="4"/>
        <v>Mar</v>
      </c>
      <c r="S272" t="s">
        <v>658</v>
      </c>
      <c r="T272">
        <v>1470.72</v>
      </c>
      <c r="U272">
        <v>363.95</v>
      </c>
      <c r="V272" t="s">
        <v>49</v>
      </c>
      <c r="W272" t="s">
        <v>47</v>
      </c>
    </row>
    <row r="273" spans="18:23" x14ac:dyDescent="0.3">
      <c r="R273" t="str">
        <f t="shared" si="4"/>
        <v>Apr</v>
      </c>
      <c r="S273" t="s">
        <v>660</v>
      </c>
      <c r="T273">
        <v>622.34</v>
      </c>
      <c r="U273">
        <v>117.69</v>
      </c>
      <c r="V273" t="s">
        <v>35</v>
      </c>
      <c r="W273" t="s">
        <v>47</v>
      </c>
    </row>
    <row r="274" spans="18:23" x14ac:dyDescent="0.3">
      <c r="R274" t="str">
        <f t="shared" si="4"/>
        <v>Apr</v>
      </c>
      <c r="S274" t="s">
        <v>662</v>
      </c>
      <c r="T274">
        <v>983.16</v>
      </c>
      <c r="U274">
        <v>384.55</v>
      </c>
      <c r="V274" t="s">
        <v>35</v>
      </c>
      <c r="W274" t="s">
        <v>47</v>
      </c>
    </row>
    <row r="275" spans="18:23" x14ac:dyDescent="0.3">
      <c r="R275" t="str">
        <f t="shared" si="4"/>
        <v>Mar</v>
      </c>
      <c r="S275" t="s">
        <v>664</v>
      </c>
      <c r="T275">
        <v>684.9</v>
      </c>
      <c r="U275">
        <v>270.08999999999997</v>
      </c>
      <c r="V275" t="s">
        <v>35</v>
      </c>
      <c r="W275" t="s">
        <v>47</v>
      </c>
    </row>
    <row r="276" spans="18:23" x14ac:dyDescent="0.3">
      <c r="R276" t="str">
        <f t="shared" si="4"/>
        <v>Dec</v>
      </c>
      <c r="S276" t="s">
        <v>388</v>
      </c>
      <c r="T276">
        <v>1833.78</v>
      </c>
      <c r="U276">
        <v>535.77</v>
      </c>
      <c r="V276" t="s">
        <v>35</v>
      </c>
      <c r="W276" t="s">
        <v>47</v>
      </c>
    </row>
    <row r="277" spans="18:23" x14ac:dyDescent="0.3">
      <c r="R277" t="str">
        <f t="shared" si="4"/>
        <v>Apr</v>
      </c>
      <c r="S277" t="s">
        <v>668</v>
      </c>
      <c r="T277">
        <v>953.04</v>
      </c>
      <c r="U277">
        <v>265.74</v>
      </c>
      <c r="V277" t="s">
        <v>98</v>
      </c>
      <c r="W277" t="s">
        <v>68</v>
      </c>
    </row>
    <row r="278" spans="18:23" x14ac:dyDescent="0.3">
      <c r="R278" t="str">
        <f t="shared" si="4"/>
        <v>Oct</v>
      </c>
      <c r="S278" t="s">
        <v>670</v>
      </c>
      <c r="T278">
        <v>190.14</v>
      </c>
      <c r="U278">
        <v>42.62</v>
      </c>
      <c r="V278" t="s">
        <v>76</v>
      </c>
      <c r="W278" t="s">
        <v>68</v>
      </c>
    </row>
    <row r="279" spans="18:23" x14ac:dyDescent="0.3">
      <c r="R279" t="str">
        <f t="shared" si="4"/>
        <v>Jun</v>
      </c>
      <c r="S279" t="s">
        <v>672</v>
      </c>
      <c r="T279">
        <v>1012.32</v>
      </c>
      <c r="U279">
        <v>320.08</v>
      </c>
      <c r="V279" t="s">
        <v>35</v>
      </c>
      <c r="W279" t="s">
        <v>23</v>
      </c>
    </row>
    <row r="280" spans="18:23" x14ac:dyDescent="0.3">
      <c r="R280" t="str">
        <f t="shared" si="4"/>
        <v>May</v>
      </c>
      <c r="S280" t="s">
        <v>530</v>
      </c>
      <c r="T280">
        <v>2233.91</v>
      </c>
      <c r="U280">
        <v>460</v>
      </c>
      <c r="V280" t="s">
        <v>98</v>
      </c>
      <c r="W280" t="s">
        <v>23</v>
      </c>
    </row>
    <row r="281" spans="18:23" x14ac:dyDescent="0.3">
      <c r="R281" t="str">
        <f t="shared" si="4"/>
        <v>Nov</v>
      </c>
      <c r="S281" t="s">
        <v>675</v>
      </c>
      <c r="T281">
        <v>288.24</v>
      </c>
      <c r="U281">
        <v>38.44</v>
      </c>
      <c r="V281" t="s">
        <v>76</v>
      </c>
      <c r="W281" t="s">
        <v>47</v>
      </c>
    </row>
    <row r="282" spans="18:23" x14ac:dyDescent="0.3">
      <c r="R282" t="str">
        <f t="shared" si="4"/>
        <v>Jan</v>
      </c>
      <c r="S282" t="s">
        <v>577</v>
      </c>
      <c r="T282">
        <v>500.48</v>
      </c>
      <c r="U282">
        <v>67.790000000000006</v>
      </c>
      <c r="V282" t="s">
        <v>76</v>
      </c>
      <c r="W282" t="s">
        <v>47</v>
      </c>
    </row>
    <row r="283" spans="18:23" x14ac:dyDescent="0.3">
      <c r="R283" t="str">
        <f t="shared" si="4"/>
        <v>Oct</v>
      </c>
      <c r="S283" t="s">
        <v>495</v>
      </c>
      <c r="T283">
        <v>935.88</v>
      </c>
      <c r="U283">
        <v>186.51</v>
      </c>
      <c r="V283" t="s">
        <v>207</v>
      </c>
      <c r="W283" t="s">
        <v>47</v>
      </c>
    </row>
    <row r="284" spans="18:23" x14ac:dyDescent="0.3">
      <c r="R284" t="str">
        <f t="shared" si="4"/>
        <v>Jun</v>
      </c>
      <c r="S284" t="s">
        <v>679</v>
      </c>
      <c r="T284">
        <v>1611.35</v>
      </c>
      <c r="U284">
        <v>618.57000000000005</v>
      </c>
      <c r="V284" t="s">
        <v>76</v>
      </c>
      <c r="W284" t="s">
        <v>75</v>
      </c>
    </row>
    <row r="285" spans="18:23" x14ac:dyDescent="0.3">
      <c r="R285" t="str">
        <f t="shared" si="4"/>
        <v>Aug</v>
      </c>
      <c r="S285" t="s">
        <v>349</v>
      </c>
      <c r="T285">
        <v>850.92</v>
      </c>
      <c r="U285">
        <v>177.49</v>
      </c>
      <c r="V285" t="s">
        <v>49</v>
      </c>
      <c r="W285" t="s">
        <v>68</v>
      </c>
    </row>
    <row r="286" spans="18:23" x14ac:dyDescent="0.3">
      <c r="R286" t="str">
        <f t="shared" si="4"/>
        <v>May</v>
      </c>
      <c r="S286" t="s">
        <v>682</v>
      </c>
      <c r="T286">
        <v>1035.44</v>
      </c>
      <c r="U286">
        <v>226.37</v>
      </c>
      <c r="V286" t="s">
        <v>98</v>
      </c>
      <c r="W286" t="s">
        <v>23</v>
      </c>
    </row>
    <row r="287" spans="18:23" x14ac:dyDescent="0.3">
      <c r="R287" t="str">
        <f t="shared" si="4"/>
        <v>Jun</v>
      </c>
      <c r="S287" t="s">
        <v>366</v>
      </c>
      <c r="T287">
        <v>966.14</v>
      </c>
      <c r="U287">
        <v>373.47</v>
      </c>
      <c r="V287" t="s">
        <v>35</v>
      </c>
      <c r="W287" t="s">
        <v>57</v>
      </c>
    </row>
    <row r="288" spans="18:23" x14ac:dyDescent="0.3">
      <c r="R288" t="str">
        <f t="shared" si="4"/>
        <v>May</v>
      </c>
      <c r="S288" t="s">
        <v>435</v>
      </c>
      <c r="T288">
        <v>820.41</v>
      </c>
      <c r="U288">
        <v>177.26</v>
      </c>
      <c r="V288" t="s">
        <v>207</v>
      </c>
      <c r="W288" t="s">
        <v>47</v>
      </c>
    </row>
    <row r="289" spans="18:23" x14ac:dyDescent="0.3">
      <c r="R289" t="str">
        <f t="shared" si="4"/>
        <v>Jan</v>
      </c>
      <c r="S289" t="s">
        <v>686</v>
      </c>
      <c r="T289">
        <v>768.79</v>
      </c>
      <c r="U289">
        <v>303.63</v>
      </c>
      <c r="V289" t="s">
        <v>98</v>
      </c>
      <c r="W289" t="s">
        <v>68</v>
      </c>
    </row>
    <row r="290" spans="18:23" x14ac:dyDescent="0.3">
      <c r="R290" t="str">
        <f t="shared" si="4"/>
        <v>Dec</v>
      </c>
      <c r="S290" t="s">
        <v>688</v>
      </c>
      <c r="T290">
        <v>638.77</v>
      </c>
      <c r="U290">
        <v>209.88</v>
      </c>
      <c r="V290" t="s">
        <v>98</v>
      </c>
      <c r="W290" t="s">
        <v>23</v>
      </c>
    </row>
    <row r="291" spans="18:23" x14ac:dyDescent="0.3">
      <c r="R291" t="str">
        <f t="shared" si="4"/>
        <v>May</v>
      </c>
      <c r="S291" t="s">
        <v>536</v>
      </c>
      <c r="T291">
        <v>146.28</v>
      </c>
      <c r="U291">
        <v>39.83</v>
      </c>
      <c r="V291" t="s">
        <v>35</v>
      </c>
      <c r="W291" t="s">
        <v>47</v>
      </c>
    </row>
    <row r="292" spans="18:23" x14ac:dyDescent="0.3">
      <c r="R292" t="str">
        <f t="shared" si="4"/>
        <v>May</v>
      </c>
      <c r="S292" t="s">
        <v>691</v>
      </c>
      <c r="T292">
        <v>1492.54</v>
      </c>
      <c r="U292">
        <v>460.72</v>
      </c>
      <c r="V292" t="s">
        <v>76</v>
      </c>
      <c r="W292" t="s">
        <v>47</v>
      </c>
    </row>
    <row r="293" spans="18:23" x14ac:dyDescent="0.3">
      <c r="R293" t="str">
        <f t="shared" si="4"/>
        <v>Sep</v>
      </c>
      <c r="S293" t="s">
        <v>131</v>
      </c>
      <c r="T293">
        <v>880.25</v>
      </c>
      <c r="U293">
        <v>140.44999999999999</v>
      </c>
      <c r="V293" t="s">
        <v>76</v>
      </c>
      <c r="W293" t="s">
        <v>68</v>
      </c>
    </row>
    <row r="294" spans="18:23" x14ac:dyDescent="0.3">
      <c r="R294" t="str">
        <f t="shared" si="4"/>
        <v>Jan</v>
      </c>
      <c r="S294" t="s">
        <v>694</v>
      </c>
      <c r="T294">
        <v>1658.34</v>
      </c>
      <c r="U294">
        <v>556.59</v>
      </c>
      <c r="V294" t="s">
        <v>98</v>
      </c>
      <c r="W294" t="s">
        <v>68</v>
      </c>
    </row>
    <row r="295" spans="18:23" x14ac:dyDescent="0.3">
      <c r="R295" t="str">
        <f t="shared" si="4"/>
        <v>Jun</v>
      </c>
      <c r="S295" t="s">
        <v>696</v>
      </c>
      <c r="T295">
        <v>206.25</v>
      </c>
      <c r="U295">
        <v>24.08</v>
      </c>
      <c r="V295" t="s">
        <v>35</v>
      </c>
      <c r="W295" t="s">
        <v>68</v>
      </c>
    </row>
    <row r="296" spans="18:23" x14ac:dyDescent="0.3">
      <c r="R296" t="str">
        <f t="shared" si="4"/>
        <v>Feb</v>
      </c>
      <c r="S296" t="s">
        <v>488</v>
      </c>
      <c r="T296">
        <v>1171.42</v>
      </c>
      <c r="U296">
        <v>372.47</v>
      </c>
      <c r="V296" t="s">
        <v>49</v>
      </c>
      <c r="W296" t="s">
        <v>47</v>
      </c>
    </row>
    <row r="297" spans="18:23" x14ac:dyDescent="0.3">
      <c r="R297" t="str">
        <f t="shared" si="4"/>
        <v>Jul</v>
      </c>
      <c r="S297" t="s">
        <v>699</v>
      </c>
      <c r="T297">
        <v>556.58000000000004</v>
      </c>
      <c r="U297">
        <v>201.9</v>
      </c>
      <c r="V297" t="s">
        <v>35</v>
      </c>
      <c r="W297" t="s">
        <v>47</v>
      </c>
    </row>
    <row r="298" spans="18:23" x14ac:dyDescent="0.3">
      <c r="R298" t="str">
        <f t="shared" si="4"/>
        <v>Apr</v>
      </c>
      <c r="S298" t="s">
        <v>701</v>
      </c>
      <c r="T298">
        <v>326.48</v>
      </c>
      <c r="U298">
        <v>105.29</v>
      </c>
      <c r="V298" t="s">
        <v>98</v>
      </c>
      <c r="W298" t="s">
        <v>68</v>
      </c>
    </row>
    <row r="299" spans="18:23" x14ac:dyDescent="0.3">
      <c r="R299" t="str">
        <f t="shared" si="4"/>
        <v>Feb</v>
      </c>
      <c r="S299" t="s">
        <v>703</v>
      </c>
      <c r="T299">
        <v>396.32</v>
      </c>
      <c r="U299">
        <v>92.72</v>
      </c>
      <c r="V299" t="s">
        <v>76</v>
      </c>
      <c r="W299" t="s">
        <v>23</v>
      </c>
    </row>
    <row r="300" spans="18:23" x14ac:dyDescent="0.3">
      <c r="R300" t="str">
        <f t="shared" si="4"/>
        <v>Apr</v>
      </c>
      <c r="S300" t="s">
        <v>406</v>
      </c>
      <c r="T300">
        <v>2203.5</v>
      </c>
      <c r="U300">
        <v>501.92</v>
      </c>
      <c r="V300" t="s">
        <v>98</v>
      </c>
      <c r="W300" t="s">
        <v>57</v>
      </c>
    </row>
    <row r="301" spans="18:23" x14ac:dyDescent="0.3">
      <c r="R301" t="str">
        <f t="shared" si="4"/>
        <v>Sep</v>
      </c>
      <c r="S301" t="s">
        <v>706</v>
      </c>
      <c r="T301">
        <v>24.01</v>
      </c>
      <c r="U301">
        <v>6.93</v>
      </c>
      <c r="V301" t="s">
        <v>76</v>
      </c>
      <c r="W301" t="s">
        <v>68</v>
      </c>
    </row>
    <row r="302" spans="18:23" x14ac:dyDescent="0.3">
      <c r="R302" t="str">
        <f t="shared" si="4"/>
        <v>Dec</v>
      </c>
      <c r="S302" t="s">
        <v>187</v>
      </c>
      <c r="T302">
        <v>1619.55</v>
      </c>
      <c r="U302">
        <v>444.6</v>
      </c>
      <c r="V302" t="s">
        <v>76</v>
      </c>
      <c r="W302" t="s">
        <v>75</v>
      </c>
    </row>
    <row r="303" spans="18:23" x14ac:dyDescent="0.3">
      <c r="R303" t="str">
        <f t="shared" si="4"/>
        <v>Feb</v>
      </c>
      <c r="S303" t="s">
        <v>303</v>
      </c>
      <c r="T303">
        <v>127.25</v>
      </c>
      <c r="U303">
        <v>20.03</v>
      </c>
      <c r="V303" t="s">
        <v>76</v>
      </c>
      <c r="W303" t="s">
        <v>47</v>
      </c>
    </row>
    <row r="304" spans="18:23" x14ac:dyDescent="0.3">
      <c r="R304" t="str">
        <f t="shared" si="4"/>
        <v>Jan</v>
      </c>
      <c r="S304" t="s">
        <v>395</v>
      </c>
      <c r="T304">
        <v>468.72</v>
      </c>
      <c r="U304">
        <v>82.6</v>
      </c>
      <c r="V304" t="s">
        <v>76</v>
      </c>
      <c r="W304" t="s">
        <v>68</v>
      </c>
    </row>
    <row r="305" spans="18:23" x14ac:dyDescent="0.3">
      <c r="R305" t="str">
        <f t="shared" si="4"/>
        <v>Jan</v>
      </c>
      <c r="S305" t="s">
        <v>164</v>
      </c>
      <c r="T305">
        <v>625.24</v>
      </c>
      <c r="U305">
        <v>224</v>
      </c>
      <c r="V305" t="s">
        <v>98</v>
      </c>
      <c r="W305" t="s">
        <v>47</v>
      </c>
    </row>
    <row r="306" spans="18:23" x14ac:dyDescent="0.3">
      <c r="R306" t="str">
        <f t="shared" si="4"/>
        <v>Nov</v>
      </c>
      <c r="S306" t="s">
        <v>712</v>
      </c>
      <c r="T306">
        <v>1926.19</v>
      </c>
      <c r="U306">
        <v>288.49</v>
      </c>
      <c r="V306" t="s">
        <v>35</v>
      </c>
      <c r="W306" t="s">
        <v>47</v>
      </c>
    </row>
    <row r="307" spans="18:23" x14ac:dyDescent="0.3">
      <c r="R307" t="str">
        <f t="shared" si="4"/>
        <v>Jul</v>
      </c>
      <c r="S307" t="s">
        <v>714</v>
      </c>
      <c r="T307">
        <v>137.69999999999999</v>
      </c>
      <c r="U307">
        <v>39.07</v>
      </c>
      <c r="V307" t="s">
        <v>76</v>
      </c>
      <c r="W307" t="s">
        <v>68</v>
      </c>
    </row>
    <row r="308" spans="18:23" x14ac:dyDescent="0.3">
      <c r="R308" t="str">
        <f t="shared" si="4"/>
        <v>Jun</v>
      </c>
      <c r="S308" t="s">
        <v>612</v>
      </c>
      <c r="T308">
        <v>970.2</v>
      </c>
      <c r="U308">
        <v>208.46</v>
      </c>
      <c r="V308" t="s">
        <v>98</v>
      </c>
      <c r="W308" t="s">
        <v>47</v>
      </c>
    </row>
    <row r="309" spans="18:23" x14ac:dyDescent="0.3">
      <c r="R309" t="str">
        <f t="shared" si="4"/>
        <v>Oct</v>
      </c>
      <c r="S309" t="s">
        <v>261</v>
      </c>
      <c r="T309">
        <v>2201.5</v>
      </c>
      <c r="U309">
        <v>773.45</v>
      </c>
      <c r="V309" t="s">
        <v>76</v>
      </c>
      <c r="W309" t="s">
        <v>57</v>
      </c>
    </row>
    <row r="310" spans="18:23" x14ac:dyDescent="0.3">
      <c r="R310" t="str">
        <f t="shared" si="4"/>
        <v>Apr</v>
      </c>
      <c r="S310" t="s">
        <v>718</v>
      </c>
      <c r="T310">
        <v>1274.98</v>
      </c>
      <c r="U310">
        <v>233.14</v>
      </c>
      <c r="V310" t="s">
        <v>207</v>
      </c>
      <c r="W310" t="s">
        <v>47</v>
      </c>
    </row>
    <row r="311" spans="18:23" x14ac:dyDescent="0.3">
      <c r="R311" t="str">
        <f t="shared" si="4"/>
        <v>Dec</v>
      </c>
      <c r="S311" t="s">
        <v>263</v>
      </c>
      <c r="T311">
        <v>32.979999999999997</v>
      </c>
      <c r="U311">
        <v>6.09</v>
      </c>
      <c r="V311" t="s">
        <v>49</v>
      </c>
      <c r="W311" t="s">
        <v>75</v>
      </c>
    </row>
    <row r="312" spans="18:23" x14ac:dyDescent="0.3">
      <c r="R312" t="str">
        <f t="shared" si="4"/>
        <v>Nov</v>
      </c>
      <c r="S312" t="s">
        <v>294</v>
      </c>
      <c r="T312">
        <v>361.62</v>
      </c>
      <c r="U312">
        <v>123.74</v>
      </c>
      <c r="V312" t="s">
        <v>49</v>
      </c>
      <c r="W312" t="s">
        <v>47</v>
      </c>
    </row>
    <row r="313" spans="18:23" x14ac:dyDescent="0.3">
      <c r="R313" t="str">
        <f t="shared" si="4"/>
        <v>Jun</v>
      </c>
      <c r="S313" t="s">
        <v>679</v>
      </c>
      <c r="T313">
        <v>1934.01</v>
      </c>
      <c r="U313">
        <v>506.22</v>
      </c>
      <c r="V313" t="s">
        <v>76</v>
      </c>
      <c r="W313" t="s">
        <v>23</v>
      </c>
    </row>
    <row r="314" spans="18:23" x14ac:dyDescent="0.3">
      <c r="R314" t="str">
        <f t="shared" si="4"/>
        <v>Apr</v>
      </c>
      <c r="S314" t="s">
        <v>723</v>
      </c>
      <c r="T314">
        <v>251.94</v>
      </c>
      <c r="U314">
        <v>49.18</v>
      </c>
      <c r="V314" t="s">
        <v>98</v>
      </c>
      <c r="W314" t="s">
        <v>47</v>
      </c>
    </row>
    <row r="315" spans="18:23" x14ac:dyDescent="0.3">
      <c r="R315" t="str">
        <f t="shared" si="4"/>
        <v>May</v>
      </c>
      <c r="S315" t="s">
        <v>243</v>
      </c>
      <c r="T315">
        <v>568.79999999999995</v>
      </c>
      <c r="U315">
        <v>125.49</v>
      </c>
      <c r="V315" t="s">
        <v>76</v>
      </c>
      <c r="W315" t="s">
        <v>23</v>
      </c>
    </row>
    <row r="316" spans="18:23" x14ac:dyDescent="0.3">
      <c r="R316" t="str">
        <f t="shared" si="4"/>
        <v>Jul</v>
      </c>
      <c r="S316" t="s">
        <v>726</v>
      </c>
      <c r="T316">
        <v>1714</v>
      </c>
      <c r="U316">
        <v>654.16</v>
      </c>
      <c r="V316" t="s">
        <v>76</v>
      </c>
      <c r="W316" t="s">
        <v>47</v>
      </c>
    </row>
    <row r="317" spans="18:23" x14ac:dyDescent="0.3">
      <c r="R317" t="str">
        <f t="shared" si="4"/>
        <v>Mar</v>
      </c>
      <c r="S317" t="s">
        <v>728</v>
      </c>
      <c r="T317">
        <v>1469.5</v>
      </c>
      <c r="U317">
        <v>467.99</v>
      </c>
      <c r="V317" t="s">
        <v>142</v>
      </c>
      <c r="W317" t="s">
        <v>23</v>
      </c>
    </row>
    <row r="318" spans="18:23" x14ac:dyDescent="0.3">
      <c r="R318" t="str">
        <f t="shared" si="4"/>
        <v>Aug</v>
      </c>
      <c r="S318" t="s">
        <v>423</v>
      </c>
      <c r="T318">
        <v>1395.64</v>
      </c>
      <c r="U318">
        <v>463.44</v>
      </c>
      <c r="V318" t="s">
        <v>49</v>
      </c>
      <c r="W318" t="s">
        <v>23</v>
      </c>
    </row>
    <row r="319" spans="18:23" x14ac:dyDescent="0.3">
      <c r="R319" t="str">
        <f t="shared" si="4"/>
        <v>Mar</v>
      </c>
      <c r="S319" t="s">
        <v>731</v>
      </c>
      <c r="T319">
        <v>940.5</v>
      </c>
      <c r="U319">
        <v>262.75</v>
      </c>
      <c r="V319" t="s">
        <v>76</v>
      </c>
      <c r="W319" t="s">
        <v>47</v>
      </c>
    </row>
    <row r="320" spans="18:23" x14ac:dyDescent="0.3">
      <c r="R320" t="str">
        <f t="shared" si="4"/>
        <v>Jul</v>
      </c>
      <c r="S320" t="s">
        <v>734</v>
      </c>
      <c r="T320">
        <v>59.28</v>
      </c>
      <c r="U320">
        <v>9.69</v>
      </c>
      <c r="V320" t="s">
        <v>207</v>
      </c>
      <c r="W320" t="s">
        <v>68</v>
      </c>
    </row>
    <row r="321" spans="18:23" x14ac:dyDescent="0.3">
      <c r="R321" t="str">
        <f t="shared" si="4"/>
        <v>Jan</v>
      </c>
      <c r="S321" t="s">
        <v>736</v>
      </c>
      <c r="T321">
        <v>1339.2</v>
      </c>
      <c r="U321">
        <v>192.89</v>
      </c>
      <c r="V321" t="s">
        <v>76</v>
      </c>
      <c r="W321" t="s">
        <v>68</v>
      </c>
    </row>
    <row r="322" spans="18:23" x14ac:dyDescent="0.3">
      <c r="R322" t="str">
        <f t="shared" si="4"/>
        <v>Dec</v>
      </c>
      <c r="S322" t="s">
        <v>527</v>
      </c>
      <c r="T322">
        <v>1078.56</v>
      </c>
      <c r="U322">
        <v>314.05</v>
      </c>
      <c r="V322" t="s">
        <v>35</v>
      </c>
      <c r="W322" t="s">
        <v>75</v>
      </c>
    </row>
    <row r="323" spans="18:23" x14ac:dyDescent="0.3">
      <c r="R323" t="str">
        <f t="shared" si="4"/>
        <v>Mar</v>
      </c>
      <c r="S323" t="s">
        <v>449</v>
      </c>
      <c r="T323">
        <v>341.88</v>
      </c>
      <c r="U323">
        <v>77.2</v>
      </c>
      <c r="V323" t="s">
        <v>35</v>
      </c>
      <c r="W323" t="s">
        <v>68</v>
      </c>
    </row>
    <row r="324" spans="18:23" x14ac:dyDescent="0.3">
      <c r="R324" t="str">
        <f t="shared" si="4"/>
        <v>Oct</v>
      </c>
      <c r="S324" t="s">
        <v>740</v>
      </c>
      <c r="T324">
        <v>1089.9000000000001</v>
      </c>
      <c r="U324">
        <v>222.4</v>
      </c>
      <c r="V324" t="s">
        <v>98</v>
      </c>
      <c r="W324" t="s">
        <v>47</v>
      </c>
    </row>
    <row r="325" spans="18:23" x14ac:dyDescent="0.3">
      <c r="R325" t="str">
        <f t="shared" si="4"/>
        <v>Aug</v>
      </c>
      <c r="S325" t="s">
        <v>393</v>
      </c>
      <c r="T325">
        <v>904.8</v>
      </c>
      <c r="U325">
        <v>84.67</v>
      </c>
      <c r="V325" t="s">
        <v>76</v>
      </c>
      <c r="W325" t="s">
        <v>75</v>
      </c>
    </row>
    <row r="326" spans="18:23" x14ac:dyDescent="0.3">
      <c r="R326" t="str">
        <f t="shared" si="4"/>
        <v>Jul</v>
      </c>
      <c r="S326" t="s">
        <v>464</v>
      </c>
      <c r="T326">
        <v>1201.2</v>
      </c>
      <c r="U326">
        <v>329.23</v>
      </c>
      <c r="V326" t="s">
        <v>49</v>
      </c>
      <c r="W326" t="s">
        <v>47</v>
      </c>
    </row>
    <row r="327" spans="18:23" x14ac:dyDescent="0.3">
      <c r="R327" t="str">
        <f t="shared" ref="R327:R390" si="5">TEXT(S327,"MMM")</f>
        <v>Oct</v>
      </c>
      <c r="S327" t="s">
        <v>745</v>
      </c>
      <c r="T327">
        <v>406.8</v>
      </c>
      <c r="U327">
        <v>82.52</v>
      </c>
      <c r="V327" t="s">
        <v>142</v>
      </c>
      <c r="W327" t="s">
        <v>47</v>
      </c>
    </row>
    <row r="328" spans="18:23" x14ac:dyDescent="0.3">
      <c r="R328" t="str">
        <f t="shared" si="5"/>
        <v>Oct</v>
      </c>
      <c r="S328" t="s">
        <v>567</v>
      </c>
      <c r="T328">
        <v>642.25</v>
      </c>
      <c r="U328">
        <v>166.65</v>
      </c>
      <c r="V328" t="s">
        <v>35</v>
      </c>
      <c r="W328" t="s">
        <v>47</v>
      </c>
    </row>
    <row r="329" spans="18:23" x14ac:dyDescent="0.3">
      <c r="R329" t="str">
        <f t="shared" si="5"/>
        <v>Jun</v>
      </c>
      <c r="S329" t="s">
        <v>696</v>
      </c>
      <c r="T329">
        <v>1104.3900000000001</v>
      </c>
      <c r="U329">
        <v>312.33</v>
      </c>
      <c r="V329" t="s">
        <v>142</v>
      </c>
      <c r="W329" t="s">
        <v>23</v>
      </c>
    </row>
    <row r="330" spans="18:23" x14ac:dyDescent="0.3">
      <c r="R330" t="str">
        <f t="shared" si="5"/>
        <v>Sep</v>
      </c>
      <c r="S330" t="s">
        <v>749</v>
      </c>
      <c r="T330">
        <v>442</v>
      </c>
      <c r="U330">
        <v>143.55000000000001</v>
      </c>
      <c r="V330" t="s">
        <v>76</v>
      </c>
      <c r="W330" t="s">
        <v>68</v>
      </c>
    </row>
    <row r="331" spans="18:23" x14ac:dyDescent="0.3">
      <c r="R331" t="str">
        <f t="shared" si="5"/>
        <v>Dec</v>
      </c>
      <c r="S331" t="s">
        <v>532</v>
      </c>
      <c r="T331">
        <v>669.9</v>
      </c>
      <c r="U331">
        <v>258.62</v>
      </c>
      <c r="V331" t="s">
        <v>76</v>
      </c>
      <c r="W331" t="s">
        <v>23</v>
      </c>
    </row>
    <row r="332" spans="18:23" x14ac:dyDescent="0.3">
      <c r="R332" t="str">
        <f t="shared" si="5"/>
        <v>Sep</v>
      </c>
      <c r="S332" t="s">
        <v>752</v>
      </c>
      <c r="T332">
        <v>580.32000000000005</v>
      </c>
      <c r="U332">
        <v>203.74</v>
      </c>
      <c r="V332" t="s">
        <v>76</v>
      </c>
      <c r="W332" t="s">
        <v>47</v>
      </c>
    </row>
    <row r="333" spans="18:23" x14ac:dyDescent="0.3">
      <c r="R333" t="str">
        <f t="shared" si="5"/>
        <v>Jan</v>
      </c>
      <c r="S333" t="s">
        <v>754</v>
      </c>
      <c r="T333">
        <v>1926.94</v>
      </c>
      <c r="U333">
        <v>541.54999999999995</v>
      </c>
      <c r="V333" t="s">
        <v>76</v>
      </c>
      <c r="W333" t="s">
        <v>68</v>
      </c>
    </row>
    <row r="334" spans="18:23" x14ac:dyDescent="0.3">
      <c r="R334" t="str">
        <f t="shared" si="5"/>
        <v>Oct</v>
      </c>
      <c r="S334" t="s">
        <v>495</v>
      </c>
      <c r="T334">
        <v>913.32</v>
      </c>
      <c r="U334">
        <v>314.75</v>
      </c>
      <c r="V334" t="s">
        <v>35</v>
      </c>
      <c r="W334" t="s">
        <v>47</v>
      </c>
    </row>
    <row r="335" spans="18:23" x14ac:dyDescent="0.3">
      <c r="R335" t="str">
        <f t="shared" si="5"/>
        <v>Mar</v>
      </c>
      <c r="S335" t="s">
        <v>658</v>
      </c>
      <c r="T335">
        <v>943.6</v>
      </c>
      <c r="U335">
        <v>293.43</v>
      </c>
      <c r="V335" t="s">
        <v>35</v>
      </c>
      <c r="W335" t="s">
        <v>68</v>
      </c>
    </row>
    <row r="336" spans="18:23" x14ac:dyDescent="0.3">
      <c r="R336" t="str">
        <f t="shared" si="5"/>
        <v>Aug</v>
      </c>
      <c r="S336" t="s">
        <v>759</v>
      </c>
      <c r="T336">
        <v>1752.34</v>
      </c>
      <c r="U336">
        <v>225.25</v>
      </c>
      <c r="V336" t="s">
        <v>76</v>
      </c>
      <c r="W336" t="s">
        <v>23</v>
      </c>
    </row>
    <row r="337" spans="18:23" x14ac:dyDescent="0.3">
      <c r="R337" t="str">
        <f t="shared" si="5"/>
        <v>Sep</v>
      </c>
      <c r="S337" t="s">
        <v>761</v>
      </c>
      <c r="T337">
        <v>724.32</v>
      </c>
      <c r="U337">
        <v>199.35</v>
      </c>
      <c r="V337" t="s">
        <v>35</v>
      </c>
      <c r="W337" t="s">
        <v>47</v>
      </c>
    </row>
    <row r="338" spans="18:23" x14ac:dyDescent="0.3">
      <c r="R338" t="str">
        <f t="shared" si="5"/>
        <v>Feb</v>
      </c>
      <c r="S338" t="s">
        <v>354</v>
      </c>
      <c r="T338">
        <v>880.88</v>
      </c>
      <c r="U338">
        <v>138.61000000000001</v>
      </c>
      <c r="V338" t="s">
        <v>76</v>
      </c>
      <c r="W338" t="s">
        <v>68</v>
      </c>
    </row>
    <row r="339" spans="18:23" x14ac:dyDescent="0.3">
      <c r="R339" t="str">
        <f t="shared" si="5"/>
        <v>Aug</v>
      </c>
      <c r="S339" t="s">
        <v>585</v>
      </c>
      <c r="T339">
        <v>329.4</v>
      </c>
      <c r="U339">
        <v>76.180000000000007</v>
      </c>
      <c r="V339" t="s">
        <v>35</v>
      </c>
      <c r="W339" t="s">
        <v>47</v>
      </c>
    </row>
    <row r="340" spans="18:23" x14ac:dyDescent="0.3">
      <c r="R340" t="str">
        <f t="shared" si="5"/>
        <v>Nov</v>
      </c>
      <c r="S340" t="s">
        <v>306</v>
      </c>
      <c r="T340">
        <v>794.82</v>
      </c>
      <c r="U340">
        <v>255.37</v>
      </c>
      <c r="V340" t="s">
        <v>142</v>
      </c>
      <c r="W340" t="s">
        <v>47</v>
      </c>
    </row>
    <row r="341" spans="18:23" x14ac:dyDescent="0.3">
      <c r="R341" t="str">
        <f t="shared" si="5"/>
        <v>Sep</v>
      </c>
      <c r="S341" t="s">
        <v>766</v>
      </c>
      <c r="T341">
        <v>1480.74</v>
      </c>
      <c r="U341">
        <v>219.61</v>
      </c>
      <c r="V341" t="s">
        <v>76</v>
      </c>
      <c r="W341" t="s">
        <v>75</v>
      </c>
    </row>
    <row r="342" spans="18:23" x14ac:dyDescent="0.3">
      <c r="R342" t="str">
        <f t="shared" si="5"/>
        <v>Mar</v>
      </c>
      <c r="S342" t="s">
        <v>768</v>
      </c>
      <c r="T342">
        <v>635.79999999999995</v>
      </c>
      <c r="U342">
        <v>237.37</v>
      </c>
      <c r="V342" t="s">
        <v>76</v>
      </c>
      <c r="W342" t="s">
        <v>23</v>
      </c>
    </row>
    <row r="343" spans="18:23" x14ac:dyDescent="0.3">
      <c r="R343" t="str">
        <f t="shared" si="5"/>
        <v>Mar</v>
      </c>
      <c r="S343" t="s">
        <v>770</v>
      </c>
      <c r="T343">
        <v>231.52</v>
      </c>
      <c r="U343">
        <v>80.52</v>
      </c>
      <c r="V343" t="s">
        <v>207</v>
      </c>
      <c r="W343" t="s">
        <v>23</v>
      </c>
    </row>
    <row r="344" spans="18:23" x14ac:dyDescent="0.3">
      <c r="R344" t="str">
        <f t="shared" si="5"/>
        <v>Oct</v>
      </c>
      <c r="S344" t="s">
        <v>772</v>
      </c>
      <c r="T344">
        <v>1226.4000000000001</v>
      </c>
      <c r="U344">
        <v>421.16</v>
      </c>
      <c r="V344" t="s">
        <v>35</v>
      </c>
      <c r="W344" t="s">
        <v>23</v>
      </c>
    </row>
    <row r="345" spans="18:23" x14ac:dyDescent="0.3">
      <c r="R345" t="str">
        <f t="shared" si="5"/>
        <v>Mar</v>
      </c>
      <c r="S345" t="s">
        <v>316</v>
      </c>
      <c r="T345">
        <v>2379.96</v>
      </c>
      <c r="U345">
        <v>865.57</v>
      </c>
      <c r="V345" t="s">
        <v>207</v>
      </c>
      <c r="W345" t="s">
        <v>47</v>
      </c>
    </row>
    <row r="346" spans="18:23" x14ac:dyDescent="0.3">
      <c r="R346" t="str">
        <f t="shared" si="5"/>
        <v>Feb</v>
      </c>
      <c r="S346" t="s">
        <v>615</v>
      </c>
      <c r="T346">
        <v>2204.48</v>
      </c>
      <c r="U346">
        <v>772.43</v>
      </c>
      <c r="V346" t="s">
        <v>76</v>
      </c>
      <c r="W346" t="s">
        <v>57</v>
      </c>
    </row>
    <row r="347" spans="18:23" x14ac:dyDescent="0.3">
      <c r="R347" t="str">
        <f t="shared" si="5"/>
        <v>May</v>
      </c>
      <c r="S347" t="s">
        <v>776</v>
      </c>
      <c r="T347">
        <v>1907.4</v>
      </c>
      <c r="U347">
        <v>268.35000000000002</v>
      </c>
      <c r="V347" t="s">
        <v>76</v>
      </c>
      <c r="W347" t="s">
        <v>23</v>
      </c>
    </row>
    <row r="348" spans="18:23" x14ac:dyDescent="0.3">
      <c r="R348" t="str">
        <f t="shared" si="5"/>
        <v>Jul</v>
      </c>
      <c r="S348" t="s">
        <v>778</v>
      </c>
      <c r="T348">
        <v>816</v>
      </c>
      <c r="U348">
        <v>101.85</v>
      </c>
      <c r="V348" t="s">
        <v>98</v>
      </c>
      <c r="W348" t="s">
        <v>68</v>
      </c>
    </row>
    <row r="349" spans="18:23" x14ac:dyDescent="0.3">
      <c r="R349" t="str">
        <f t="shared" si="5"/>
        <v>Feb</v>
      </c>
      <c r="S349" t="s">
        <v>633</v>
      </c>
      <c r="T349">
        <v>1240.25</v>
      </c>
      <c r="U349">
        <v>409.39</v>
      </c>
      <c r="V349" t="s">
        <v>76</v>
      </c>
      <c r="W349" t="s">
        <v>23</v>
      </c>
    </row>
    <row r="350" spans="18:23" x14ac:dyDescent="0.3">
      <c r="R350" t="str">
        <f t="shared" si="5"/>
        <v>Mar</v>
      </c>
      <c r="S350" t="s">
        <v>781</v>
      </c>
      <c r="T350">
        <v>355.65</v>
      </c>
      <c r="U350">
        <v>115.93</v>
      </c>
      <c r="V350" t="s">
        <v>142</v>
      </c>
      <c r="W350" t="s">
        <v>68</v>
      </c>
    </row>
    <row r="351" spans="18:23" x14ac:dyDescent="0.3">
      <c r="R351" t="str">
        <f t="shared" si="5"/>
        <v>Aug</v>
      </c>
      <c r="S351" t="s">
        <v>276</v>
      </c>
      <c r="T351">
        <v>1605.12</v>
      </c>
      <c r="U351">
        <v>450.41</v>
      </c>
      <c r="V351" t="s">
        <v>76</v>
      </c>
      <c r="W351" t="s">
        <v>47</v>
      </c>
    </row>
    <row r="352" spans="18:23" x14ac:dyDescent="0.3">
      <c r="R352" t="str">
        <f t="shared" si="5"/>
        <v>Apr</v>
      </c>
      <c r="S352" t="s">
        <v>784</v>
      </c>
      <c r="T352">
        <v>356.58</v>
      </c>
      <c r="U352">
        <v>100.39</v>
      </c>
      <c r="V352" t="s">
        <v>35</v>
      </c>
      <c r="W352" t="s">
        <v>23</v>
      </c>
    </row>
    <row r="353" spans="18:23" x14ac:dyDescent="0.3">
      <c r="R353" t="str">
        <f t="shared" si="5"/>
        <v>Jan</v>
      </c>
      <c r="S353" t="s">
        <v>786</v>
      </c>
      <c r="T353">
        <v>31.4</v>
      </c>
      <c r="U353">
        <v>10.26</v>
      </c>
      <c r="V353" t="s">
        <v>207</v>
      </c>
      <c r="W353" t="s">
        <v>47</v>
      </c>
    </row>
    <row r="354" spans="18:23" x14ac:dyDescent="0.3">
      <c r="R354" t="str">
        <f t="shared" si="5"/>
        <v>Jul</v>
      </c>
      <c r="S354" t="s">
        <v>408</v>
      </c>
      <c r="T354">
        <v>520.52</v>
      </c>
      <c r="U354">
        <v>149.44</v>
      </c>
      <c r="V354" t="s">
        <v>35</v>
      </c>
      <c r="W354" t="s">
        <v>47</v>
      </c>
    </row>
    <row r="355" spans="18:23" x14ac:dyDescent="0.3">
      <c r="R355" t="str">
        <f t="shared" si="5"/>
        <v>Mar</v>
      </c>
      <c r="S355" t="s">
        <v>789</v>
      </c>
      <c r="T355">
        <v>1033</v>
      </c>
      <c r="U355">
        <v>223.87</v>
      </c>
      <c r="V355" t="s">
        <v>35</v>
      </c>
      <c r="W355" t="s">
        <v>68</v>
      </c>
    </row>
    <row r="356" spans="18:23" x14ac:dyDescent="0.3">
      <c r="R356" t="str">
        <f t="shared" si="5"/>
        <v>Jan</v>
      </c>
      <c r="S356" t="s">
        <v>547</v>
      </c>
      <c r="T356">
        <v>186.48</v>
      </c>
      <c r="U356">
        <v>33.19</v>
      </c>
      <c r="V356" t="s">
        <v>76</v>
      </c>
      <c r="W356" t="s">
        <v>23</v>
      </c>
    </row>
    <row r="357" spans="18:23" x14ac:dyDescent="0.3">
      <c r="R357" t="str">
        <f t="shared" si="5"/>
        <v>Jan</v>
      </c>
      <c r="S357" t="s">
        <v>547</v>
      </c>
      <c r="T357">
        <v>806.97</v>
      </c>
      <c r="U357">
        <v>213.84</v>
      </c>
      <c r="V357" t="s">
        <v>142</v>
      </c>
      <c r="W357" t="s">
        <v>68</v>
      </c>
    </row>
    <row r="358" spans="18:23" x14ac:dyDescent="0.3">
      <c r="R358" t="str">
        <f t="shared" si="5"/>
        <v>Apr</v>
      </c>
      <c r="S358" t="s">
        <v>100</v>
      </c>
      <c r="T358">
        <v>1280.6400000000001</v>
      </c>
      <c r="U358">
        <v>481.28</v>
      </c>
      <c r="V358" t="s">
        <v>76</v>
      </c>
      <c r="W358" t="s">
        <v>68</v>
      </c>
    </row>
    <row r="359" spans="18:23" x14ac:dyDescent="0.3">
      <c r="R359" t="str">
        <f t="shared" si="5"/>
        <v>May</v>
      </c>
      <c r="S359" t="s">
        <v>795</v>
      </c>
      <c r="T359">
        <v>1027.68</v>
      </c>
      <c r="U359">
        <v>357.73</v>
      </c>
      <c r="V359" t="s">
        <v>49</v>
      </c>
      <c r="W359" t="s">
        <v>75</v>
      </c>
    </row>
    <row r="360" spans="18:23" x14ac:dyDescent="0.3">
      <c r="R360" t="str">
        <f t="shared" si="5"/>
        <v>Jan</v>
      </c>
      <c r="S360" t="s">
        <v>179</v>
      </c>
      <c r="T360">
        <v>894.4</v>
      </c>
      <c r="U360">
        <v>268.98</v>
      </c>
      <c r="V360" t="s">
        <v>207</v>
      </c>
      <c r="W360" t="s">
        <v>68</v>
      </c>
    </row>
    <row r="361" spans="18:23" x14ac:dyDescent="0.3">
      <c r="R361" t="str">
        <f t="shared" si="5"/>
        <v>Jun</v>
      </c>
      <c r="S361" t="s">
        <v>798</v>
      </c>
      <c r="T361">
        <v>2109.83</v>
      </c>
      <c r="U361">
        <v>418.92</v>
      </c>
      <c r="V361" t="s">
        <v>35</v>
      </c>
      <c r="W361" t="s">
        <v>23</v>
      </c>
    </row>
    <row r="362" spans="18:23" x14ac:dyDescent="0.3">
      <c r="R362" t="str">
        <f t="shared" si="5"/>
        <v>Dec</v>
      </c>
      <c r="S362" t="s">
        <v>688</v>
      </c>
      <c r="T362">
        <v>18.739999999999998</v>
      </c>
      <c r="U362">
        <v>2.74</v>
      </c>
      <c r="V362" t="s">
        <v>76</v>
      </c>
      <c r="W362" t="s">
        <v>68</v>
      </c>
    </row>
    <row r="363" spans="18:23" x14ac:dyDescent="0.3">
      <c r="R363" t="str">
        <f t="shared" si="5"/>
        <v>Dec</v>
      </c>
      <c r="S363" t="s">
        <v>156</v>
      </c>
      <c r="T363">
        <v>979.29</v>
      </c>
      <c r="U363">
        <v>317.20999999999998</v>
      </c>
      <c r="V363" t="s">
        <v>76</v>
      </c>
      <c r="W363" t="s">
        <v>68</v>
      </c>
    </row>
    <row r="364" spans="18:23" x14ac:dyDescent="0.3">
      <c r="R364" t="str">
        <f t="shared" si="5"/>
        <v>Oct</v>
      </c>
      <c r="S364" t="s">
        <v>261</v>
      </c>
      <c r="T364">
        <v>244.66</v>
      </c>
      <c r="U364">
        <v>72.42</v>
      </c>
      <c r="V364" t="s">
        <v>35</v>
      </c>
      <c r="W364" t="s">
        <v>47</v>
      </c>
    </row>
    <row r="365" spans="18:23" x14ac:dyDescent="0.3">
      <c r="R365" t="str">
        <f t="shared" si="5"/>
        <v>Feb</v>
      </c>
      <c r="S365" t="s">
        <v>139</v>
      </c>
      <c r="T365">
        <v>1770.79</v>
      </c>
      <c r="U365">
        <v>539.51</v>
      </c>
      <c r="V365" t="s">
        <v>207</v>
      </c>
      <c r="W365" t="s">
        <v>68</v>
      </c>
    </row>
    <row r="366" spans="18:23" x14ac:dyDescent="0.3">
      <c r="R366" t="str">
        <f t="shared" si="5"/>
        <v>Mar</v>
      </c>
      <c r="S366" t="s">
        <v>804</v>
      </c>
      <c r="T366">
        <v>1692.4</v>
      </c>
      <c r="U366">
        <v>453.81</v>
      </c>
      <c r="V366" t="s">
        <v>76</v>
      </c>
      <c r="W366" t="s">
        <v>68</v>
      </c>
    </row>
    <row r="367" spans="18:23" x14ac:dyDescent="0.3">
      <c r="R367" t="str">
        <f t="shared" si="5"/>
        <v>May</v>
      </c>
      <c r="S367" t="s">
        <v>536</v>
      </c>
      <c r="T367">
        <v>57.15</v>
      </c>
      <c r="U367">
        <v>21.04</v>
      </c>
      <c r="V367" t="s">
        <v>76</v>
      </c>
      <c r="W367" t="s">
        <v>47</v>
      </c>
    </row>
    <row r="368" spans="18:23" x14ac:dyDescent="0.3">
      <c r="R368" t="str">
        <f t="shared" si="5"/>
        <v>May</v>
      </c>
      <c r="S368" t="s">
        <v>196</v>
      </c>
      <c r="T368">
        <v>450.45</v>
      </c>
      <c r="U368">
        <v>120.46</v>
      </c>
      <c r="V368" t="s">
        <v>98</v>
      </c>
      <c r="W368" t="s">
        <v>47</v>
      </c>
    </row>
    <row r="369" spans="18:23" x14ac:dyDescent="0.3">
      <c r="R369" t="str">
        <f t="shared" si="5"/>
        <v>May</v>
      </c>
      <c r="S369" t="s">
        <v>808</v>
      </c>
      <c r="T369">
        <v>1483.68</v>
      </c>
      <c r="U369">
        <v>438.18</v>
      </c>
      <c r="V369" t="s">
        <v>49</v>
      </c>
      <c r="W369" t="s">
        <v>47</v>
      </c>
    </row>
    <row r="370" spans="18:23" x14ac:dyDescent="0.3">
      <c r="R370" t="str">
        <f t="shared" si="5"/>
        <v>Jan</v>
      </c>
      <c r="S370" t="s">
        <v>810</v>
      </c>
      <c r="T370">
        <v>257.52</v>
      </c>
      <c r="U370">
        <v>65.67</v>
      </c>
      <c r="V370" t="s">
        <v>98</v>
      </c>
      <c r="W370" t="s">
        <v>68</v>
      </c>
    </row>
    <row r="371" spans="18:23" x14ac:dyDescent="0.3">
      <c r="R371" t="str">
        <f t="shared" si="5"/>
        <v>Aug</v>
      </c>
      <c r="S371" t="s">
        <v>812</v>
      </c>
      <c r="T371">
        <v>1336.5</v>
      </c>
      <c r="U371">
        <v>418.16</v>
      </c>
      <c r="V371" t="s">
        <v>76</v>
      </c>
      <c r="W371" t="s">
        <v>57</v>
      </c>
    </row>
    <row r="372" spans="18:23" x14ac:dyDescent="0.3">
      <c r="R372" t="str">
        <f t="shared" si="5"/>
        <v>Mar</v>
      </c>
      <c r="S372" t="s">
        <v>319</v>
      </c>
      <c r="T372">
        <v>2510.2800000000002</v>
      </c>
      <c r="U372">
        <v>939.91</v>
      </c>
      <c r="V372" t="s">
        <v>35</v>
      </c>
      <c r="W372" t="s">
        <v>57</v>
      </c>
    </row>
    <row r="373" spans="18:23" x14ac:dyDescent="0.3">
      <c r="R373" t="str">
        <f t="shared" si="5"/>
        <v>Sep</v>
      </c>
      <c r="S373" t="s">
        <v>502</v>
      </c>
      <c r="T373">
        <v>1679.04</v>
      </c>
      <c r="U373">
        <v>462.56</v>
      </c>
      <c r="V373" t="s">
        <v>98</v>
      </c>
      <c r="W373" t="s">
        <v>23</v>
      </c>
    </row>
    <row r="374" spans="18:23" x14ac:dyDescent="0.3">
      <c r="R374" t="str">
        <f t="shared" si="5"/>
        <v>Jul</v>
      </c>
      <c r="S374" t="s">
        <v>816</v>
      </c>
      <c r="T374">
        <v>1689.52</v>
      </c>
      <c r="U374">
        <v>264.45999999999998</v>
      </c>
      <c r="V374" t="s">
        <v>76</v>
      </c>
      <c r="W374" t="s">
        <v>68</v>
      </c>
    </row>
    <row r="375" spans="18:23" x14ac:dyDescent="0.3">
      <c r="R375" t="str">
        <f t="shared" si="5"/>
        <v>Jan</v>
      </c>
      <c r="S375" t="s">
        <v>736</v>
      </c>
      <c r="T375">
        <v>788.33</v>
      </c>
      <c r="U375">
        <v>110.52</v>
      </c>
      <c r="V375" t="s">
        <v>76</v>
      </c>
      <c r="W375" t="s">
        <v>47</v>
      </c>
    </row>
    <row r="376" spans="18:23" x14ac:dyDescent="0.3">
      <c r="R376" t="str">
        <f t="shared" si="5"/>
        <v>Feb</v>
      </c>
      <c r="S376" t="s">
        <v>467</v>
      </c>
      <c r="T376">
        <v>918.72</v>
      </c>
      <c r="U376">
        <v>316.5</v>
      </c>
      <c r="V376" t="s">
        <v>35</v>
      </c>
      <c r="W376" t="s">
        <v>47</v>
      </c>
    </row>
    <row r="377" spans="18:23" x14ac:dyDescent="0.3">
      <c r="R377" t="str">
        <f t="shared" si="5"/>
        <v>Mar</v>
      </c>
      <c r="S377" t="s">
        <v>590</v>
      </c>
      <c r="T377">
        <v>1423.38</v>
      </c>
      <c r="U377">
        <v>161.97999999999999</v>
      </c>
      <c r="V377" t="s">
        <v>76</v>
      </c>
      <c r="W377" t="s">
        <v>68</v>
      </c>
    </row>
    <row r="378" spans="18:23" x14ac:dyDescent="0.3">
      <c r="R378" t="str">
        <f t="shared" si="5"/>
        <v>Sep</v>
      </c>
      <c r="S378" t="s">
        <v>821</v>
      </c>
      <c r="T378">
        <v>282.75</v>
      </c>
      <c r="U378">
        <v>36.25</v>
      </c>
      <c r="V378" t="s">
        <v>76</v>
      </c>
      <c r="W378" t="s">
        <v>23</v>
      </c>
    </row>
    <row r="379" spans="18:23" x14ac:dyDescent="0.3">
      <c r="R379" t="str">
        <f t="shared" si="5"/>
        <v>Mar</v>
      </c>
      <c r="S379" t="s">
        <v>823</v>
      </c>
      <c r="T379">
        <v>939.5</v>
      </c>
      <c r="U379">
        <v>328.56</v>
      </c>
      <c r="V379" t="s">
        <v>76</v>
      </c>
      <c r="W379" t="s">
        <v>68</v>
      </c>
    </row>
    <row r="380" spans="18:23" x14ac:dyDescent="0.3">
      <c r="R380" t="str">
        <f t="shared" si="5"/>
        <v>Feb</v>
      </c>
      <c r="S380" t="s">
        <v>825</v>
      </c>
      <c r="T380">
        <v>404</v>
      </c>
      <c r="U380">
        <v>65.25</v>
      </c>
      <c r="V380" t="s">
        <v>35</v>
      </c>
      <c r="W380" t="s">
        <v>47</v>
      </c>
    </row>
    <row r="381" spans="18:23" x14ac:dyDescent="0.3">
      <c r="R381" t="str">
        <f t="shared" si="5"/>
        <v>Sep</v>
      </c>
      <c r="S381" t="s">
        <v>131</v>
      </c>
      <c r="T381">
        <v>956.45</v>
      </c>
      <c r="U381">
        <v>351.25</v>
      </c>
      <c r="V381" t="s">
        <v>76</v>
      </c>
      <c r="W381" t="s">
        <v>68</v>
      </c>
    </row>
    <row r="382" spans="18:23" x14ac:dyDescent="0.3">
      <c r="R382" t="str">
        <f t="shared" si="5"/>
        <v>Jan</v>
      </c>
      <c r="S382" t="s">
        <v>421</v>
      </c>
      <c r="T382">
        <v>25.72</v>
      </c>
      <c r="U382">
        <v>3.68</v>
      </c>
      <c r="V382" t="s">
        <v>76</v>
      </c>
      <c r="W382" t="s">
        <v>47</v>
      </c>
    </row>
    <row r="383" spans="18:23" x14ac:dyDescent="0.3">
      <c r="R383" t="str">
        <f t="shared" si="5"/>
        <v>Nov</v>
      </c>
      <c r="S383" t="s">
        <v>229</v>
      </c>
      <c r="T383">
        <v>2258.4</v>
      </c>
      <c r="U383">
        <v>734.96</v>
      </c>
      <c r="V383" t="s">
        <v>76</v>
      </c>
      <c r="W383" t="s">
        <v>68</v>
      </c>
    </row>
    <row r="384" spans="18:23" x14ac:dyDescent="0.3">
      <c r="R384" t="str">
        <f t="shared" si="5"/>
        <v>Mar</v>
      </c>
      <c r="S384" t="s">
        <v>830</v>
      </c>
      <c r="T384">
        <v>1437.12</v>
      </c>
      <c r="U384">
        <v>446.98</v>
      </c>
      <c r="V384" t="s">
        <v>49</v>
      </c>
      <c r="W384" t="s">
        <v>47</v>
      </c>
    </row>
    <row r="385" spans="18:23" x14ac:dyDescent="0.3">
      <c r="R385" t="str">
        <f t="shared" si="5"/>
        <v>Aug</v>
      </c>
      <c r="S385" t="s">
        <v>832</v>
      </c>
      <c r="T385">
        <v>428.16</v>
      </c>
      <c r="U385">
        <v>145.09</v>
      </c>
      <c r="V385" t="s">
        <v>35</v>
      </c>
      <c r="W385" t="s">
        <v>68</v>
      </c>
    </row>
    <row r="386" spans="18:23" x14ac:dyDescent="0.3">
      <c r="R386" t="str">
        <f t="shared" si="5"/>
        <v>Sep</v>
      </c>
      <c r="S386" t="s">
        <v>706</v>
      </c>
      <c r="T386">
        <v>1479.6</v>
      </c>
      <c r="U386">
        <v>413.63</v>
      </c>
      <c r="V386" t="s">
        <v>98</v>
      </c>
      <c r="W386" t="s">
        <v>47</v>
      </c>
    </row>
    <row r="387" spans="18:23" x14ac:dyDescent="0.3">
      <c r="R387" t="str">
        <f t="shared" si="5"/>
        <v>Jan</v>
      </c>
      <c r="S387" t="s">
        <v>623</v>
      </c>
      <c r="T387">
        <v>1017.36</v>
      </c>
      <c r="U387">
        <v>180.62</v>
      </c>
      <c r="V387" t="s">
        <v>35</v>
      </c>
      <c r="W387" t="s">
        <v>68</v>
      </c>
    </row>
    <row r="388" spans="18:23" x14ac:dyDescent="0.3">
      <c r="R388" t="str">
        <f t="shared" si="5"/>
        <v>Mar</v>
      </c>
      <c r="S388" t="s">
        <v>836</v>
      </c>
      <c r="T388">
        <v>1417.26</v>
      </c>
      <c r="U388">
        <v>375.26</v>
      </c>
      <c r="V388" t="s">
        <v>35</v>
      </c>
      <c r="W388" t="s">
        <v>75</v>
      </c>
    </row>
    <row r="389" spans="18:23" x14ac:dyDescent="0.3">
      <c r="R389" t="str">
        <f t="shared" si="5"/>
        <v>May</v>
      </c>
      <c r="S389" t="s">
        <v>838</v>
      </c>
      <c r="T389">
        <v>389.28</v>
      </c>
      <c r="U389">
        <v>118.95</v>
      </c>
      <c r="V389" t="s">
        <v>76</v>
      </c>
      <c r="W389" t="s">
        <v>68</v>
      </c>
    </row>
    <row r="390" spans="18:23" x14ac:dyDescent="0.3">
      <c r="R390" t="str">
        <f t="shared" si="5"/>
        <v>Jan</v>
      </c>
      <c r="S390" t="s">
        <v>547</v>
      </c>
      <c r="T390">
        <v>891.2</v>
      </c>
      <c r="U390">
        <v>238.47</v>
      </c>
      <c r="V390" t="s">
        <v>76</v>
      </c>
      <c r="W390" t="s">
        <v>68</v>
      </c>
    </row>
    <row r="391" spans="18:23" x14ac:dyDescent="0.3">
      <c r="R391" t="str">
        <f t="shared" ref="R391:R454" si="6">TEXT(S391,"MMM")</f>
        <v>Aug</v>
      </c>
      <c r="S391" t="s">
        <v>129</v>
      </c>
      <c r="T391">
        <v>976.95</v>
      </c>
      <c r="U391">
        <v>351.6</v>
      </c>
      <c r="V391" t="s">
        <v>76</v>
      </c>
      <c r="W391" t="s">
        <v>47</v>
      </c>
    </row>
    <row r="392" spans="18:23" x14ac:dyDescent="0.3">
      <c r="R392" t="str">
        <f t="shared" si="6"/>
        <v>Aug</v>
      </c>
      <c r="S392" t="s">
        <v>477</v>
      </c>
      <c r="T392">
        <v>248.56</v>
      </c>
      <c r="U392">
        <v>37.590000000000003</v>
      </c>
      <c r="V392" t="s">
        <v>35</v>
      </c>
      <c r="W392" t="s">
        <v>75</v>
      </c>
    </row>
    <row r="393" spans="18:23" x14ac:dyDescent="0.3">
      <c r="R393" t="str">
        <f t="shared" si="6"/>
        <v>Feb</v>
      </c>
      <c r="S393" t="s">
        <v>843</v>
      </c>
      <c r="T393">
        <v>1030.71</v>
      </c>
      <c r="U393">
        <v>360.47</v>
      </c>
      <c r="V393" t="s">
        <v>35</v>
      </c>
      <c r="W393" t="s">
        <v>47</v>
      </c>
    </row>
    <row r="394" spans="18:23" x14ac:dyDescent="0.3">
      <c r="R394" t="str">
        <f t="shared" si="6"/>
        <v>Jul</v>
      </c>
      <c r="S394" t="s">
        <v>845</v>
      </c>
      <c r="T394">
        <v>987.16</v>
      </c>
      <c r="U394">
        <v>379.02</v>
      </c>
      <c r="V394" t="s">
        <v>35</v>
      </c>
      <c r="W394" t="s">
        <v>47</v>
      </c>
    </row>
    <row r="395" spans="18:23" x14ac:dyDescent="0.3">
      <c r="R395" t="str">
        <f t="shared" si="6"/>
        <v>Feb</v>
      </c>
      <c r="S395" t="s">
        <v>847</v>
      </c>
      <c r="T395">
        <v>2119.5</v>
      </c>
      <c r="U395">
        <v>739.34</v>
      </c>
      <c r="V395" t="s">
        <v>98</v>
      </c>
      <c r="W395" t="s">
        <v>68</v>
      </c>
    </row>
    <row r="396" spans="18:23" x14ac:dyDescent="0.3">
      <c r="R396" t="str">
        <f t="shared" si="6"/>
        <v>Mar</v>
      </c>
      <c r="S396" t="s">
        <v>319</v>
      </c>
      <c r="T396">
        <v>116.64</v>
      </c>
      <c r="U396">
        <v>37.65</v>
      </c>
      <c r="V396" t="s">
        <v>76</v>
      </c>
      <c r="W396" t="s">
        <v>23</v>
      </c>
    </row>
    <row r="397" spans="18:23" x14ac:dyDescent="0.3">
      <c r="R397" t="str">
        <f t="shared" si="6"/>
        <v>Feb</v>
      </c>
      <c r="S397" t="s">
        <v>850</v>
      </c>
      <c r="T397">
        <v>1901.54</v>
      </c>
      <c r="U397">
        <v>669.11</v>
      </c>
      <c r="V397" t="s">
        <v>35</v>
      </c>
      <c r="W397" t="s">
        <v>23</v>
      </c>
    </row>
    <row r="398" spans="18:23" x14ac:dyDescent="0.3">
      <c r="R398" t="str">
        <f t="shared" si="6"/>
        <v>Mar</v>
      </c>
      <c r="S398" t="s">
        <v>852</v>
      </c>
      <c r="T398">
        <v>658.5</v>
      </c>
      <c r="U398">
        <v>247.02</v>
      </c>
      <c r="V398" t="s">
        <v>98</v>
      </c>
      <c r="W398" t="s">
        <v>75</v>
      </c>
    </row>
    <row r="399" spans="18:23" x14ac:dyDescent="0.3">
      <c r="R399" t="str">
        <f t="shared" si="6"/>
        <v>Nov</v>
      </c>
      <c r="S399" t="s">
        <v>854</v>
      </c>
      <c r="T399">
        <v>82.12</v>
      </c>
      <c r="U399">
        <v>27.07</v>
      </c>
      <c r="V399" t="s">
        <v>35</v>
      </c>
      <c r="W399" t="s">
        <v>47</v>
      </c>
    </row>
    <row r="400" spans="18:23" x14ac:dyDescent="0.3">
      <c r="R400" t="str">
        <f t="shared" si="6"/>
        <v>Jul</v>
      </c>
      <c r="S400" t="s">
        <v>433</v>
      </c>
      <c r="T400">
        <v>148.19999999999999</v>
      </c>
      <c r="U400">
        <v>24.44</v>
      </c>
      <c r="V400" t="s">
        <v>207</v>
      </c>
      <c r="W400" t="s">
        <v>47</v>
      </c>
    </row>
    <row r="401" spans="18:23" x14ac:dyDescent="0.3">
      <c r="R401" t="str">
        <f t="shared" si="6"/>
        <v>Dec</v>
      </c>
      <c r="S401" t="s">
        <v>857</v>
      </c>
      <c r="T401">
        <v>364.23</v>
      </c>
      <c r="U401">
        <v>106.82</v>
      </c>
      <c r="V401" t="s">
        <v>49</v>
      </c>
      <c r="W401" t="s">
        <v>47</v>
      </c>
    </row>
    <row r="402" spans="18:23" x14ac:dyDescent="0.3">
      <c r="R402" t="str">
        <f t="shared" si="6"/>
        <v>May</v>
      </c>
      <c r="S402" t="s">
        <v>243</v>
      </c>
      <c r="T402">
        <v>110.56</v>
      </c>
      <c r="U402">
        <v>25.19</v>
      </c>
      <c r="V402" t="s">
        <v>76</v>
      </c>
      <c r="W402" t="s">
        <v>57</v>
      </c>
    </row>
    <row r="403" spans="18:23" x14ac:dyDescent="0.3">
      <c r="R403" t="str">
        <f t="shared" si="6"/>
        <v>Jun</v>
      </c>
      <c r="S403" t="s">
        <v>860</v>
      </c>
      <c r="T403">
        <v>2151.59</v>
      </c>
      <c r="U403">
        <v>863.04</v>
      </c>
      <c r="V403" t="s">
        <v>49</v>
      </c>
      <c r="W403" t="s">
        <v>75</v>
      </c>
    </row>
    <row r="404" spans="18:23" x14ac:dyDescent="0.3">
      <c r="R404" t="str">
        <f t="shared" si="6"/>
        <v>Apr</v>
      </c>
      <c r="S404" t="s">
        <v>862</v>
      </c>
      <c r="T404">
        <v>1213.3599999999999</v>
      </c>
      <c r="U404">
        <v>431.53</v>
      </c>
      <c r="V404" t="s">
        <v>49</v>
      </c>
      <c r="W404" t="s">
        <v>75</v>
      </c>
    </row>
    <row r="405" spans="18:23" x14ac:dyDescent="0.3">
      <c r="R405" t="str">
        <f t="shared" si="6"/>
        <v>Jun</v>
      </c>
      <c r="S405" t="s">
        <v>798</v>
      </c>
      <c r="T405">
        <v>1178.6300000000001</v>
      </c>
      <c r="U405">
        <v>456.31</v>
      </c>
      <c r="V405" t="s">
        <v>142</v>
      </c>
      <c r="W405" t="s">
        <v>68</v>
      </c>
    </row>
    <row r="406" spans="18:23" x14ac:dyDescent="0.3">
      <c r="R406" t="str">
        <f t="shared" si="6"/>
        <v>Aug</v>
      </c>
      <c r="S406" t="s">
        <v>271</v>
      </c>
      <c r="T406">
        <v>891.52</v>
      </c>
      <c r="U406">
        <v>277.27999999999997</v>
      </c>
      <c r="V406" t="s">
        <v>98</v>
      </c>
      <c r="W406" t="s">
        <v>47</v>
      </c>
    </row>
    <row r="407" spans="18:23" x14ac:dyDescent="0.3">
      <c r="R407" t="str">
        <f t="shared" si="6"/>
        <v>Dec</v>
      </c>
      <c r="S407" t="s">
        <v>419</v>
      </c>
      <c r="T407">
        <v>1505.28</v>
      </c>
      <c r="U407">
        <v>394.63</v>
      </c>
      <c r="V407" t="s">
        <v>76</v>
      </c>
      <c r="W407" t="s">
        <v>75</v>
      </c>
    </row>
    <row r="408" spans="18:23" x14ac:dyDescent="0.3">
      <c r="R408" t="str">
        <f t="shared" si="6"/>
        <v>Sep</v>
      </c>
      <c r="S408" t="s">
        <v>581</v>
      </c>
      <c r="T408">
        <v>672.1</v>
      </c>
      <c r="U408">
        <v>130.30000000000001</v>
      </c>
      <c r="V408" t="s">
        <v>76</v>
      </c>
      <c r="W408" t="s">
        <v>68</v>
      </c>
    </row>
    <row r="409" spans="18:23" x14ac:dyDescent="0.3">
      <c r="R409" t="str">
        <f t="shared" si="6"/>
        <v>Apr</v>
      </c>
      <c r="S409" t="s">
        <v>248</v>
      </c>
      <c r="T409">
        <v>587.08000000000004</v>
      </c>
      <c r="U409">
        <v>193.4</v>
      </c>
      <c r="V409" t="s">
        <v>76</v>
      </c>
      <c r="W409" t="s">
        <v>68</v>
      </c>
    </row>
    <row r="410" spans="18:23" x14ac:dyDescent="0.3">
      <c r="R410" t="str">
        <f t="shared" si="6"/>
        <v>Jun</v>
      </c>
      <c r="S410" t="s">
        <v>617</v>
      </c>
      <c r="T410">
        <v>1809.2</v>
      </c>
      <c r="U410">
        <v>272.95</v>
      </c>
      <c r="V410" t="s">
        <v>207</v>
      </c>
      <c r="W410" t="s">
        <v>23</v>
      </c>
    </row>
    <row r="411" spans="18:23" x14ac:dyDescent="0.3">
      <c r="R411" t="str">
        <f t="shared" si="6"/>
        <v>Jan</v>
      </c>
      <c r="S411" t="s">
        <v>629</v>
      </c>
      <c r="T411">
        <v>933.98</v>
      </c>
      <c r="U411">
        <v>157.61000000000001</v>
      </c>
      <c r="V411" t="s">
        <v>76</v>
      </c>
      <c r="W411" t="s">
        <v>23</v>
      </c>
    </row>
    <row r="412" spans="18:23" x14ac:dyDescent="0.3">
      <c r="R412" t="str">
        <f t="shared" si="6"/>
        <v>Jul</v>
      </c>
      <c r="S412" t="s">
        <v>871</v>
      </c>
      <c r="T412">
        <v>823.14</v>
      </c>
      <c r="U412">
        <v>237.89</v>
      </c>
      <c r="V412" t="s">
        <v>35</v>
      </c>
      <c r="W412" t="s">
        <v>68</v>
      </c>
    </row>
    <row r="413" spans="18:23" x14ac:dyDescent="0.3">
      <c r="R413" t="str">
        <f t="shared" si="6"/>
        <v>Apr</v>
      </c>
      <c r="S413" t="s">
        <v>199</v>
      </c>
      <c r="T413">
        <v>1593.44</v>
      </c>
      <c r="U413">
        <v>627.51</v>
      </c>
      <c r="V413" t="s">
        <v>35</v>
      </c>
      <c r="W413" t="s">
        <v>47</v>
      </c>
    </row>
    <row r="414" spans="18:23" x14ac:dyDescent="0.3">
      <c r="R414" t="str">
        <f t="shared" si="6"/>
        <v>Jan</v>
      </c>
      <c r="S414" t="s">
        <v>874</v>
      </c>
      <c r="T414">
        <v>270.60000000000002</v>
      </c>
      <c r="U414">
        <v>55.25</v>
      </c>
      <c r="V414" t="s">
        <v>98</v>
      </c>
      <c r="W414" t="s">
        <v>47</v>
      </c>
    </row>
    <row r="415" spans="18:23" x14ac:dyDescent="0.3">
      <c r="R415" t="str">
        <f t="shared" si="6"/>
        <v>Oct</v>
      </c>
      <c r="S415" t="s">
        <v>642</v>
      </c>
      <c r="T415">
        <v>305.14</v>
      </c>
      <c r="U415">
        <v>96.33</v>
      </c>
      <c r="V415" t="s">
        <v>35</v>
      </c>
      <c r="W415" t="s">
        <v>23</v>
      </c>
    </row>
    <row r="416" spans="18:23" x14ac:dyDescent="0.3">
      <c r="R416" t="str">
        <f t="shared" si="6"/>
        <v>Jan</v>
      </c>
      <c r="S416" t="s">
        <v>877</v>
      </c>
      <c r="T416">
        <v>1104.32</v>
      </c>
      <c r="U416">
        <v>266.69</v>
      </c>
      <c r="V416" t="s">
        <v>98</v>
      </c>
      <c r="W416" t="s">
        <v>68</v>
      </c>
    </row>
    <row r="417" spans="18:23" x14ac:dyDescent="0.3">
      <c r="R417" t="str">
        <f t="shared" si="6"/>
        <v>Apr</v>
      </c>
      <c r="S417" t="s">
        <v>340</v>
      </c>
      <c r="T417">
        <v>785.7</v>
      </c>
      <c r="U417">
        <v>227.18</v>
      </c>
      <c r="V417" t="s">
        <v>98</v>
      </c>
      <c r="W417" t="s">
        <v>68</v>
      </c>
    </row>
    <row r="418" spans="18:23" x14ac:dyDescent="0.3">
      <c r="R418" t="str">
        <f t="shared" si="6"/>
        <v>Feb</v>
      </c>
      <c r="S418" t="s">
        <v>488</v>
      </c>
      <c r="T418">
        <v>2546.5300000000002</v>
      </c>
      <c r="U418">
        <v>719.27</v>
      </c>
      <c r="V418" t="s">
        <v>35</v>
      </c>
      <c r="W418" t="s">
        <v>23</v>
      </c>
    </row>
    <row r="419" spans="18:23" x14ac:dyDescent="0.3">
      <c r="R419" t="str">
        <f t="shared" si="6"/>
        <v>Jan</v>
      </c>
      <c r="S419" t="s">
        <v>754</v>
      </c>
      <c r="T419">
        <v>479.05</v>
      </c>
      <c r="U419">
        <v>143.9</v>
      </c>
      <c r="V419" t="s">
        <v>76</v>
      </c>
      <c r="W419" t="s">
        <v>75</v>
      </c>
    </row>
    <row r="420" spans="18:23" x14ac:dyDescent="0.3">
      <c r="R420" t="str">
        <f t="shared" si="6"/>
        <v>May</v>
      </c>
      <c r="S420" t="s">
        <v>882</v>
      </c>
      <c r="T420">
        <v>1271.1600000000001</v>
      </c>
      <c r="U420">
        <v>133.69999999999999</v>
      </c>
      <c r="V420" t="s">
        <v>98</v>
      </c>
      <c r="W420" t="s">
        <v>47</v>
      </c>
    </row>
    <row r="421" spans="18:23" x14ac:dyDescent="0.3">
      <c r="R421" t="str">
        <f t="shared" si="6"/>
        <v>Apr</v>
      </c>
      <c r="S421" t="s">
        <v>169</v>
      </c>
      <c r="T421">
        <v>1106.18</v>
      </c>
      <c r="U421">
        <v>418.91</v>
      </c>
      <c r="V421" t="s">
        <v>76</v>
      </c>
      <c r="W421" t="s">
        <v>68</v>
      </c>
    </row>
    <row r="422" spans="18:23" x14ac:dyDescent="0.3">
      <c r="R422" t="str">
        <f t="shared" si="6"/>
        <v>Feb</v>
      </c>
      <c r="S422" t="s">
        <v>633</v>
      </c>
      <c r="T422">
        <v>94.24</v>
      </c>
      <c r="U422">
        <v>25.21</v>
      </c>
      <c r="V422" t="s">
        <v>35</v>
      </c>
      <c r="W422" t="s">
        <v>68</v>
      </c>
    </row>
    <row r="423" spans="18:23" x14ac:dyDescent="0.3">
      <c r="R423" t="str">
        <f t="shared" si="6"/>
        <v>Jul</v>
      </c>
      <c r="S423" t="s">
        <v>699</v>
      </c>
      <c r="T423">
        <v>971.38</v>
      </c>
      <c r="U423">
        <v>357.37</v>
      </c>
      <c r="V423" t="s">
        <v>76</v>
      </c>
      <c r="W423" t="s">
        <v>47</v>
      </c>
    </row>
    <row r="424" spans="18:23" x14ac:dyDescent="0.3">
      <c r="R424" t="str">
        <f t="shared" si="6"/>
        <v>Feb</v>
      </c>
      <c r="S424" t="s">
        <v>887</v>
      </c>
      <c r="T424">
        <v>1678.16</v>
      </c>
      <c r="U424">
        <v>453.67</v>
      </c>
      <c r="V424" t="s">
        <v>207</v>
      </c>
      <c r="W424" t="s">
        <v>75</v>
      </c>
    </row>
    <row r="425" spans="18:23" x14ac:dyDescent="0.3">
      <c r="R425" t="str">
        <f t="shared" si="6"/>
        <v>Jul</v>
      </c>
      <c r="S425" t="s">
        <v>726</v>
      </c>
      <c r="T425">
        <v>336</v>
      </c>
      <c r="U425">
        <v>61.12</v>
      </c>
      <c r="V425" t="s">
        <v>142</v>
      </c>
      <c r="W425" t="s">
        <v>23</v>
      </c>
    </row>
    <row r="426" spans="18:23" x14ac:dyDescent="0.3">
      <c r="R426" t="str">
        <f t="shared" si="6"/>
        <v>Feb</v>
      </c>
      <c r="S426" t="s">
        <v>890</v>
      </c>
      <c r="T426">
        <v>1345.5</v>
      </c>
      <c r="U426">
        <v>478.8</v>
      </c>
      <c r="V426" t="s">
        <v>76</v>
      </c>
      <c r="W426" t="s">
        <v>68</v>
      </c>
    </row>
    <row r="427" spans="18:23" x14ac:dyDescent="0.3">
      <c r="R427" t="str">
        <f t="shared" si="6"/>
        <v>May</v>
      </c>
      <c r="S427" t="s">
        <v>892</v>
      </c>
      <c r="T427">
        <v>415.87</v>
      </c>
      <c r="U427">
        <v>110.36</v>
      </c>
      <c r="V427" t="s">
        <v>35</v>
      </c>
      <c r="W427" t="s">
        <v>57</v>
      </c>
    </row>
    <row r="428" spans="18:23" x14ac:dyDescent="0.3">
      <c r="R428" t="str">
        <f t="shared" si="6"/>
        <v>Jan</v>
      </c>
      <c r="S428" t="s">
        <v>416</v>
      </c>
      <c r="T428">
        <v>1790.88</v>
      </c>
      <c r="U428">
        <v>523.42999999999995</v>
      </c>
      <c r="V428" t="s">
        <v>76</v>
      </c>
      <c r="W428" t="s">
        <v>75</v>
      </c>
    </row>
    <row r="429" spans="18:23" x14ac:dyDescent="0.3">
      <c r="R429" t="str">
        <f t="shared" si="6"/>
        <v>Jul</v>
      </c>
      <c r="S429" t="s">
        <v>133</v>
      </c>
      <c r="T429">
        <v>2010.58</v>
      </c>
      <c r="U429">
        <v>396.36</v>
      </c>
      <c r="V429" t="s">
        <v>76</v>
      </c>
      <c r="W429" t="s">
        <v>57</v>
      </c>
    </row>
    <row r="430" spans="18:23" x14ac:dyDescent="0.3">
      <c r="R430" t="str">
        <f t="shared" si="6"/>
        <v>May</v>
      </c>
      <c r="S430" t="s">
        <v>896</v>
      </c>
      <c r="T430">
        <v>379.26</v>
      </c>
      <c r="U430">
        <v>112.84</v>
      </c>
      <c r="V430" t="s">
        <v>35</v>
      </c>
      <c r="W430" t="s">
        <v>23</v>
      </c>
    </row>
    <row r="431" spans="18:23" x14ac:dyDescent="0.3">
      <c r="R431" t="str">
        <f t="shared" si="6"/>
        <v>Feb</v>
      </c>
      <c r="S431" t="s">
        <v>118</v>
      </c>
      <c r="T431">
        <v>1251.32</v>
      </c>
      <c r="U431">
        <v>271.94</v>
      </c>
      <c r="V431" t="s">
        <v>76</v>
      </c>
      <c r="W431" t="s">
        <v>68</v>
      </c>
    </row>
    <row r="432" spans="18:23" x14ac:dyDescent="0.3">
      <c r="R432" t="str">
        <f t="shared" si="6"/>
        <v>May</v>
      </c>
      <c r="S432" t="s">
        <v>899</v>
      </c>
      <c r="T432">
        <v>941.62</v>
      </c>
      <c r="U432">
        <v>225.96</v>
      </c>
      <c r="V432" t="s">
        <v>98</v>
      </c>
      <c r="W432" t="s">
        <v>68</v>
      </c>
    </row>
    <row r="433" spans="18:23" x14ac:dyDescent="0.3">
      <c r="R433" t="str">
        <f t="shared" si="6"/>
        <v>Jun</v>
      </c>
      <c r="S433" t="s">
        <v>612</v>
      </c>
      <c r="T433">
        <v>1420.18</v>
      </c>
      <c r="U433">
        <v>355.73</v>
      </c>
      <c r="V433" t="s">
        <v>35</v>
      </c>
      <c r="W433" t="s">
        <v>68</v>
      </c>
    </row>
    <row r="434" spans="18:23" x14ac:dyDescent="0.3">
      <c r="R434" t="str">
        <f t="shared" si="6"/>
        <v>Aug</v>
      </c>
      <c r="S434" t="s">
        <v>902</v>
      </c>
      <c r="T434">
        <v>2239.36</v>
      </c>
      <c r="U434">
        <v>825.85</v>
      </c>
      <c r="V434" t="s">
        <v>76</v>
      </c>
      <c r="W434" t="s">
        <v>57</v>
      </c>
    </row>
    <row r="435" spans="18:23" x14ac:dyDescent="0.3">
      <c r="R435" t="str">
        <f t="shared" si="6"/>
        <v>Jan</v>
      </c>
      <c r="S435" t="s">
        <v>810</v>
      </c>
      <c r="T435">
        <v>1072.75</v>
      </c>
      <c r="U435">
        <v>117.73</v>
      </c>
      <c r="V435" t="s">
        <v>35</v>
      </c>
      <c r="W435" t="s">
        <v>23</v>
      </c>
    </row>
    <row r="436" spans="18:23" x14ac:dyDescent="0.3">
      <c r="R436" t="str">
        <f t="shared" si="6"/>
        <v>Dec</v>
      </c>
      <c r="S436" t="s">
        <v>527</v>
      </c>
      <c r="T436">
        <v>158.19999999999999</v>
      </c>
      <c r="U436">
        <v>61.91</v>
      </c>
      <c r="V436" t="s">
        <v>98</v>
      </c>
      <c r="W436" t="s">
        <v>47</v>
      </c>
    </row>
    <row r="437" spans="18:23" x14ac:dyDescent="0.3">
      <c r="R437" t="str">
        <f t="shared" si="6"/>
        <v>Jun</v>
      </c>
      <c r="S437" t="s">
        <v>906</v>
      </c>
      <c r="T437">
        <v>936</v>
      </c>
      <c r="U437">
        <v>253.93</v>
      </c>
      <c r="V437" t="s">
        <v>98</v>
      </c>
      <c r="W437" t="s">
        <v>47</v>
      </c>
    </row>
    <row r="438" spans="18:23" x14ac:dyDescent="0.3">
      <c r="R438" t="str">
        <f t="shared" si="6"/>
        <v>Sep</v>
      </c>
      <c r="S438" t="s">
        <v>351</v>
      </c>
      <c r="T438">
        <v>1599.04</v>
      </c>
      <c r="U438">
        <v>275.94</v>
      </c>
      <c r="V438" t="s">
        <v>207</v>
      </c>
      <c r="W438" t="s">
        <v>57</v>
      </c>
    </row>
    <row r="439" spans="18:23" x14ac:dyDescent="0.3">
      <c r="R439" t="str">
        <f t="shared" si="6"/>
        <v>Jan</v>
      </c>
      <c r="S439" t="s">
        <v>386</v>
      </c>
      <c r="T439">
        <v>1050.42</v>
      </c>
      <c r="U439">
        <v>335.72</v>
      </c>
      <c r="V439" t="s">
        <v>35</v>
      </c>
      <c r="W439" t="s">
        <v>68</v>
      </c>
    </row>
    <row r="440" spans="18:23" x14ac:dyDescent="0.3">
      <c r="R440" t="str">
        <f t="shared" si="6"/>
        <v>Feb</v>
      </c>
      <c r="S440" t="s">
        <v>843</v>
      </c>
      <c r="T440">
        <v>771.88</v>
      </c>
      <c r="U440">
        <v>167.34</v>
      </c>
      <c r="V440" t="s">
        <v>98</v>
      </c>
      <c r="W440" t="s">
        <v>47</v>
      </c>
    </row>
    <row r="441" spans="18:23" x14ac:dyDescent="0.3">
      <c r="R441" t="str">
        <f t="shared" si="6"/>
        <v>Feb</v>
      </c>
      <c r="S441" t="s">
        <v>911</v>
      </c>
      <c r="T441">
        <v>674.88</v>
      </c>
      <c r="U441">
        <v>143.78</v>
      </c>
      <c r="V441" t="s">
        <v>35</v>
      </c>
      <c r="W441" t="s">
        <v>47</v>
      </c>
    </row>
    <row r="442" spans="18:23" x14ac:dyDescent="0.3">
      <c r="R442" t="str">
        <f t="shared" si="6"/>
        <v>Aug</v>
      </c>
      <c r="S442" t="s">
        <v>276</v>
      </c>
      <c r="T442">
        <v>419.64</v>
      </c>
      <c r="U442">
        <v>91.16</v>
      </c>
      <c r="V442" t="s">
        <v>35</v>
      </c>
      <c r="W442" t="s">
        <v>75</v>
      </c>
    </row>
    <row r="443" spans="18:23" x14ac:dyDescent="0.3">
      <c r="R443" t="str">
        <f t="shared" si="6"/>
        <v>Dec</v>
      </c>
      <c r="S443" t="s">
        <v>218</v>
      </c>
      <c r="T443">
        <v>1042.22</v>
      </c>
      <c r="U443">
        <v>395.89</v>
      </c>
      <c r="V443" t="s">
        <v>49</v>
      </c>
      <c r="W443" t="s">
        <v>47</v>
      </c>
    </row>
    <row r="444" spans="18:23" x14ac:dyDescent="0.3">
      <c r="R444" t="str">
        <f t="shared" si="6"/>
        <v>Nov</v>
      </c>
      <c r="S444" t="s">
        <v>306</v>
      </c>
      <c r="T444">
        <v>1222.4000000000001</v>
      </c>
      <c r="U444">
        <v>295.98</v>
      </c>
      <c r="V444" t="s">
        <v>76</v>
      </c>
      <c r="W444" t="s">
        <v>68</v>
      </c>
    </row>
    <row r="445" spans="18:23" x14ac:dyDescent="0.3">
      <c r="R445" t="str">
        <f t="shared" si="6"/>
        <v>Jan</v>
      </c>
      <c r="S445" t="s">
        <v>916</v>
      </c>
      <c r="T445">
        <v>928.95</v>
      </c>
      <c r="U445">
        <v>378.27</v>
      </c>
      <c r="V445" t="s">
        <v>35</v>
      </c>
      <c r="W445" t="s">
        <v>23</v>
      </c>
    </row>
    <row r="446" spans="18:23" x14ac:dyDescent="0.3">
      <c r="R446" t="str">
        <f t="shared" si="6"/>
        <v>Jan</v>
      </c>
      <c r="S446" t="s">
        <v>918</v>
      </c>
      <c r="T446">
        <v>715.4</v>
      </c>
      <c r="U446">
        <v>276.17</v>
      </c>
      <c r="V446" t="s">
        <v>76</v>
      </c>
      <c r="W446" t="s">
        <v>47</v>
      </c>
    </row>
    <row r="447" spans="18:23" x14ac:dyDescent="0.3">
      <c r="R447" t="str">
        <f t="shared" si="6"/>
        <v>Jun</v>
      </c>
      <c r="S447" t="s">
        <v>860</v>
      </c>
      <c r="T447">
        <v>472.08</v>
      </c>
      <c r="U447">
        <v>191.37</v>
      </c>
      <c r="V447" t="s">
        <v>35</v>
      </c>
      <c r="W447" t="s">
        <v>47</v>
      </c>
    </row>
    <row r="448" spans="18:23" x14ac:dyDescent="0.3">
      <c r="R448" t="str">
        <f t="shared" si="6"/>
        <v>Jan</v>
      </c>
      <c r="S448" t="s">
        <v>921</v>
      </c>
      <c r="T448">
        <v>220.24</v>
      </c>
      <c r="U448">
        <v>63.58</v>
      </c>
      <c r="V448" t="s">
        <v>76</v>
      </c>
      <c r="W448" t="s">
        <v>23</v>
      </c>
    </row>
    <row r="449" spans="18:23" x14ac:dyDescent="0.3">
      <c r="R449" t="str">
        <f t="shared" si="6"/>
        <v>Sep</v>
      </c>
      <c r="S449" t="s">
        <v>300</v>
      </c>
      <c r="T449">
        <v>1387.75</v>
      </c>
      <c r="U449">
        <v>539.29999999999995</v>
      </c>
      <c r="V449" t="s">
        <v>76</v>
      </c>
      <c r="W449" t="s">
        <v>68</v>
      </c>
    </row>
    <row r="450" spans="18:23" x14ac:dyDescent="0.3">
      <c r="R450" t="str">
        <f t="shared" si="6"/>
        <v>Feb</v>
      </c>
      <c r="S450" t="s">
        <v>924</v>
      </c>
      <c r="T450">
        <v>1184</v>
      </c>
      <c r="U450">
        <v>362.38</v>
      </c>
      <c r="V450" t="s">
        <v>142</v>
      </c>
      <c r="W450" t="s">
        <v>68</v>
      </c>
    </row>
    <row r="451" spans="18:23" x14ac:dyDescent="0.3">
      <c r="R451" t="str">
        <f t="shared" si="6"/>
        <v>Feb</v>
      </c>
      <c r="S451" t="s">
        <v>703</v>
      </c>
      <c r="T451">
        <v>99.05</v>
      </c>
      <c r="U451">
        <v>29.39</v>
      </c>
      <c r="V451" t="s">
        <v>76</v>
      </c>
      <c r="W451" t="s">
        <v>47</v>
      </c>
    </row>
    <row r="452" spans="18:23" x14ac:dyDescent="0.3">
      <c r="R452" t="str">
        <f t="shared" si="6"/>
        <v>May</v>
      </c>
      <c r="S452" t="s">
        <v>243</v>
      </c>
      <c r="T452">
        <v>486.81</v>
      </c>
      <c r="U452">
        <v>105.93</v>
      </c>
      <c r="V452" t="s">
        <v>49</v>
      </c>
      <c r="W452" t="s">
        <v>47</v>
      </c>
    </row>
    <row r="453" spans="18:23" x14ac:dyDescent="0.3">
      <c r="R453" t="str">
        <f t="shared" si="6"/>
        <v>Apr</v>
      </c>
      <c r="S453" t="s">
        <v>928</v>
      </c>
      <c r="T453">
        <v>1211.8499999999999</v>
      </c>
      <c r="U453">
        <v>339</v>
      </c>
      <c r="V453" t="s">
        <v>142</v>
      </c>
      <c r="W453" t="s">
        <v>23</v>
      </c>
    </row>
    <row r="454" spans="18:23" x14ac:dyDescent="0.3">
      <c r="R454" t="str">
        <f t="shared" si="6"/>
        <v>Jun</v>
      </c>
      <c r="S454" t="s">
        <v>930</v>
      </c>
      <c r="T454">
        <v>1301.5999999999999</v>
      </c>
      <c r="U454">
        <v>454.54</v>
      </c>
      <c r="V454" t="s">
        <v>35</v>
      </c>
      <c r="W454" t="s">
        <v>47</v>
      </c>
    </row>
    <row r="455" spans="18:23" x14ac:dyDescent="0.3">
      <c r="R455" t="str">
        <f t="shared" ref="R455:R505" si="7">TEXT(S455,"MMM")</f>
        <v>May</v>
      </c>
      <c r="S455" t="s">
        <v>892</v>
      </c>
      <c r="T455">
        <v>918.32</v>
      </c>
      <c r="U455">
        <v>273.3</v>
      </c>
      <c r="V455" t="s">
        <v>76</v>
      </c>
      <c r="W455" t="s">
        <v>68</v>
      </c>
    </row>
    <row r="456" spans="18:23" x14ac:dyDescent="0.3">
      <c r="R456" t="str">
        <f t="shared" si="7"/>
        <v>Jan</v>
      </c>
      <c r="S456" t="s">
        <v>921</v>
      </c>
      <c r="T456">
        <v>263.04000000000002</v>
      </c>
      <c r="U456">
        <v>41.4</v>
      </c>
      <c r="V456" t="s">
        <v>49</v>
      </c>
      <c r="W456" t="s">
        <v>47</v>
      </c>
    </row>
    <row r="457" spans="18:23" x14ac:dyDescent="0.3">
      <c r="R457" t="str">
        <f t="shared" si="7"/>
        <v>Mar</v>
      </c>
      <c r="S457" t="s">
        <v>319</v>
      </c>
      <c r="T457">
        <v>1804.53</v>
      </c>
      <c r="U457">
        <v>673.96</v>
      </c>
      <c r="V457" t="s">
        <v>35</v>
      </c>
      <c r="W457" t="s">
        <v>68</v>
      </c>
    </row>
    <row r="458" spans="18:23" x14ac:dyDescent="0.3">
      <c r="R458" t="str">
        <f t="shared" si="7"/>
        <v>Oct</v>
      </c>
      <c r="S458" t="s">
        <v>745</v>
      </c>
      <c r="T458">
        <v>498.3</v>
      </c>
      <c r="U458">
        <v>86.45</v>
      </c>
      <c r="V458" t="s">
        <v>35</v>
      </c>
      <c r="W458" t="s">
        <v>75</v>
      </c>
    </row>
    <row r="459" spans="18:23" x14ac:dyDescent="0.3">
      <c r="R459" t="str">
        <f t="shared" si="7"/>
        <v>Jun</v>
      </c>
      <c r="S459" t="s">
        <v>696</v>
      </c>
      <c r="T459">
        <v>2485.6999999999998</v>
      </c>
      <c r="U459">
        <v>948.48</v>
      </c>
      <c r="V459" t="s">
        <v>142</v>
      </c>
      <c r="W459" t="s">
        <v>57</v>
      </c>
    </row>
    <row r="460" spans="18:23" x14ac:dyDescent="0.3">
      <c r="R460" t="str">
        <f t="shared" si="7"/>
        <v>Sep</v>
      </c>
      <c r="S460" t="s">
        <v>561</v>
      </c>
      <c r="T460">
        <v>84.62</v>
      </c>
      <c r="U460">
        <v>24.34</v>
      </c>
      <c r="V460" t="s">
        <v>76</v>
      </c>
      <c r="W460" t="s">
        <v>68</v>
      </c>
    </row>
    <row r="461" spans="18:23" x14ac:dyDescent="0.3">
      <c r="R461" t="str">
        <f t="shared" si="7"/>
        <v>Apr</v>
      </c>
      <c r="S461" t="s">
        <v>153</v>
      </c>
      <c r="T461">
        <v>330.88</v>
      </c>
      <c r="U461">
        <v>119.1</v>
      </c>
      <c r="V461" t="s">
        <v>76</v>
      </c>
      <c r="W461" t="s">
        <v>75</v>
      </c>
    </row>
    <row r="462" spans="18:23" x14ac:dyDescent="0.3">
      <c r="R462" t="str">
        <f t="shared" si="7"/>
        <v>Sep</v>
      </c>
      <c r="S462" t="s">
        <v>939</v>
      </c>
      <c r="T462">
        <v>94.17</v>
      </c>
      <c r="U462">
        <v>37.65</v>
      </c>
      <c r="V462" t="s">
        <v>98</v>
      </c>
      <c r="W462" t="s">
        <v>23</v>
      </c>
    </row>
    <row r="463" spans="18:23" x14ac:dyDescent="0.3">
      <c r="R463" t="str">
        <f t="shared" si="7"/>
        <v>Jan</v>
      </c>
      <c r="S463" t="s">
        <v>941</v>
      </c>
      <c r="T463">
        <v>1613.28</v>
      </c>
      <c r="U463">
        <v>423.36</v>
      </c>
      <c r="V463" t="s">
        <v>35</v>
      </c>
      <c r="W463" t="s">
        <v>68</v>
      </c>
    </row>
    <row r="464" spans="18:23" x14ac:dyDescent="0.3">
      <c r="R464" t="str">
        <f t="shared" si="7"/>
        <v>Feb</v>
      </c>
      <c r="S464" t="s">
        <v>943</v>
      </c>
      <c r="T464">
        <v>452.61</v>
      </c>
      <c r="U464">
        <v>131.68</v>
      </c>
      <c r="V464" t="s">
        <v>35</v>
      </c>
      <c r="W464" t="s">
        <v>47</v>
      </c>
    </row>
    <row r="465" spans="18:23" x14ac:dyDescent="0.3">
      <c r="R465" t="str">
        <f t="shared" si="7"/>
        <v>Oct</v>
      </c>
      <c r="S465" t="s">
        <v>945</v>
      </c>
      <c r="T465">
        <v>419.52</v>
      </c>
      <c r="U465">
        <v>134.09</v>
      </c>
      <c r="V465" t="s">
        <v>98</v>
      </c>
      <c r="W465" t="s">
        <v>68</v>
      </c>
    </row>
    <row r="466" spans="18:23" x14ac:dyDescent="0.3">
      <c r="R466" t="str">
        <f t="shared" si="7"/>
        <v>Feb</v>
      </c>
      <c r="S466" t="s">
        <v>947</v>
      </c>
      <c r="T466">
        <v>1528.88</v>
      </c>
      <c r="U466">
        <v>416.97</v>
      </c>
      <c r="V466" t="s">
        <v>207</v>
      </c>
      <c r="W466" t="s">
        <v>23</v>
      </c>
    </row>
    <row r="467" spans="18:23" x14ac:dyDescent="0.3">
      <c r="R467" t="str">
        <f t="shared" si="7"/>
        <v>Feb</v>
      </c>
      <c r="S467" t="s">
        <v>354</v>
      </c>
      <c r="T467">
        <v>865.02</v>
      </c>
      <c r="U467">
        <v>234.29</v>
      </c>
      <c r="V467" t="s">
        <v>98</v>
      </c>
      <c r="W467" t="s">
        <v>68</v>
      </c>
    </row>
    <row r="468" spans="18:23" x14ac:dyDescent="0.3">
      <c r="R468" t="str">
        <f t="shared" si="7"/>
        <v>Feb</v>
      </c>
      <c r="S468" t="s">
        <v>303</v>
      </c>
      <c r="T468">
        <v>235.4</v>
      </c>
      <c r="U468">
        <v>53.26</v>
      </c>
      <c r="V468" t="s">
        <v>76</v>
      </c>
      <c r="W468" t="s">
        <v>68</v>
      </c>
    </row>
    <row r="469" spans="18:23" x14ac:dyDescent="0.3">
      <c r="R469" t="str">
        <f t="shared" si="7"/>
        <v>Apr</v>
      </c>
      <c r="S469" t="s">
        <v>951</v>
      </c>
      <c r="T469">
        <v>761.46</v>
      </c>
      <c r="U469">
        <v>179.47</v>
      </c>
      <c r="V469" t="s">
        <v>76</v>
      </c>
      <c r="W469" t="s">
        <v>75</v>
      </c>
    </row>
    <row r="470" spans="18:23" x14ac:dyDescent="0.3">
      <c r="R470" t="str">
        <f t="shared" si="7"/>
        <v>Oct</v>
      </c>
      <c r="S470" t="s">
        <v>457</v>
      </c>
      <c r="T470">
        <v>1380.99</v>
      </c>
      <c r="U470">
        <v>418.93</v>
      </c>
      <c r="V470" t="s">
        <v>76</v>
      </c>
      <c r="W470" t="s">
        <v>68</v>
      </c>
    </row>
    <row r="471" spans="18:23" x14ac:dyDescent="0.3">
      <c r="R471" t="str">
        <f t="shared" si="7"/>
        <v>Apr</v>
      </c>
      <c r="S471" t="s">
        <v>515</v>
      </c>
      <c r="T471">
        <v>355.55</v>
      </c>
      <c r="U471">
        <v>95.32</v>
      </c>
      <c r="V471" t="s">
        <v>76</v>
      </c>
      <c r="W471" t="s">
        <v>23</v>
      </c>
    </row>
    <row r="472" spans="18:23" x14ac:dyDescent="0.3">
      <c r="R472" t="str">
        <f t="shared" si="7"/>
        <v>Jan</v>
      </c>
      <c r="S472" t="s">
        <v>686</v>
      </c>
      <c r="T472">
        <v>843.2</v>
      </c>
      <c r="U472">
        <v>266.39</v>
      </c>
      <c r="V472" t="s">
        <v>49</v>
      </c>
      <c r="W472" t="s">
        <v>47</v>
      </c>
    </row>
    <row r="473" spans="18:23" x14ac:dyDescent="0.3">
      <c r="R473" t="str">
        <f t="shared" si="7"/>
        <v>Oct</v>
      </c>
      <c r="S473" t="s">
        <v>740</v>
      </c>
      <c r="T473">
        <v>1294.3800000000001</v>
      </c>
      <c r="U473">
        <v>503.1</v>
      </c>
      <c r="V473" t="s">
        <v>98</v>
      </c>
      <c r="W473" t="s">
        <v>68</v>
      </c>
    </row>
    <row r="474" spans="18:23" x14ac:dyDescent="0.3">
      <c r="R474" t="str">
        <f t="shared" si="7"/>
        <v>Mar</v>
      </c>
      <c r="S474" t="s">
        <v>957</v>
      </c>
      <c r="T474">
        <v>721.28</v>
      </c>
      <c r="U474">
        <v>187.67</v>
      </c>
      <c r="V474" t="s">
        <v>76</v>
      </c>
      <c r="W474" t="s">
        <v>47</v>
      </c>
    </row>
    <row r="475" spans="18:23" x14ac:dyDescent="0.3">
      <c r="R475" t="str">
        <f t="shared" si="7"/>
        <v>Apr</v>
      </c>
      <c r="S475" t="s">
        <v>723</v>
      </c>
      <c r="T475">
        <v>1228.4000000000001</v>
      </c>
      <c r="U475">
        <v>354.56</v>
      </c>
      <c r="V475" t="s">
        <v>76</v>
      </c>
      <c r="W475" t="s">
        <v>68</v>
      </c>
    </row>
    <row r="476" spans="18:23" x14ac:dyDescent="0.3">
      <c r="R476" t="str">
        <f t="shared" si="7"/>
        <v>Dec</v>
      </c>
      <c r="S476" t="s">
        <v>187</v>
      </c>
      <c r="T476">
        <v>218.48</v>
      </c>
      <c r="U476">
        <v>64.97</v>
      </c>
      <c r="V476" t="s">
        <v>76</v>
      </c>
      <c r="W476" t="s">
        <v>23</v>
      </c>
    </row>
    <row r="477" spans="18:23" x14ac:dyDescent="0.3">
      <c r="R477" t="str">
        <f t="shared" si="7"/>
        <v>Apr</v>
      </c>
      <c r="S477" t="s">
        <v>484</v>
      </c>
      <c r="T477">
        <v>553.66</v>
      </c>
      <c r="U477">
        <v>191.96</v>
      </c>
      <c r="V477" t="s">
        <v>142</v>
      </c>
      <c r="W477" t="s">
        <v>23</v>
      </c>
    </row>
    <row r="478" spans="18:23" x14ac:dyDescent="0.3">
      <c r="R478" t="str">
        <f t="shared" si="7"/>
        <v>Sep</v>
      </c>
      <c r="S478" t="s">
        <v>300</v>
      </c>
      <c r="T478">
        <v>332.46</v>
      </c>
      <c r="U478">
        <v>106.89</v>
      </c>
      <c r="V478" t="s">
        <v>76</v>
      </c>
      <c r="W478" t="s">
        <v>23</v>
      </c>
    </row>
    <row r="479" spans="18:23" x14ac:dyDescent="0.3">
      <c r="R479" t="str">
        <f t="shared" si="7"/>
        <v>Apr</v>
      </c>
      <c r="S479" t="s">
        <v>406</v>
      </c>
      <c r="T479">
        <v>1395.36</v>
      </c>
      <c r="U479">
        <v>460.98</v>
      </c>
      <c r="V479" t="s">
        <v>76</v>
      </c>
      <c r="W479" t="s">
        <v>23</v>
      </c>
    </row>
    <row r="480" spans="18:23" x14ac:dyDescent="0.3">
      <c r="R480" t="str">
        <f t="shared" si="7"/>
        <v>May</v>
      </c>
      <c r="S480" t="s">
        <v>964</v>
      </c>
      <c r="T480">
        <v>706.42</v>
      </c>
      <c r="U480">
        <v>87.48</v>
      </c>
      <c r="V480" t="s">
        <v>49</v>
      </c>
      <c r="W480" t="s">
        <v>68</v>
      </c>
    </row>
    <row r="481" spans="18:23" x14ac:dyDescent="0.3">
      <c r="R481" t="str">
        <f t="shared" si="7"/>
        <v>May</v>
      </c>
      <c r="S481" t="s">
        <v>243</v>
      </c>
      <c r="T481">
        <v>438.84</v>
      </c>
      <c r="U481">
        <v>106.93</v>
      </c>
      <c r="V481" t="s">
        <v>76</v>
      </c>
      <c r="W481" t="s">
        <v>23</v>
      </c>
    </row>
    <row r="482" spans="18:23" x14ac:dyDescent="0.3">
      <c r="R482" t="str">
        <f t="shared" si="7"/>
        <v>Jan</v>
      </c>
      <c r="S482" t="s">
        <v>686</v>
      </c>
      <c r="T482">
        <v>1228.77</v>
      </c>
      <c r="U482">
        <v>300.14999999999998</v>
      </c>
      <c r="V482" t="s">
        <v>35</v>
      </c>
      <c r="W482" t="s">
        <v>68</v>
      </c>
    </row>
    <row r="483" spans="18:23" x14ac:dyDescent="0.3">
      <c r="R483" t="str">
        <f t="shared" si="7"/>
        <v>Jun</v>
      </c>
      <c r="S483" t="s">
        <v>672</v>
      </c>
      <c r="T483">
        <v>479.66</v>
      </c>
      <c r="U483">
        <v>79.680000000000007</v>
      </c>
      <c r="V483" t="s">
        <v>49</v>
      </c>
      <c r="W483" t="s">
        <v>47</v>
      </c>
    </row>
    <row r="484" spans="18:23" x14ac:dyDescent="0.3">
      <c r="R484" t="str">
        <f t="shared" si="7"/>
        <v>Apr</v>
      </c>
      <c r="S484" t="s">
        <v>224</v>
      </c>
      <c r="T484">
        <v>490.16</v>
      </c>
      <c r="U484">
        <v>191.19</v>
      </c>
      <c r="V484" t="s">
        <v>207</v>
      </c>
      <c r="W484" t="s">
        <v>75</v>
      </c>
    </row>
    <row r="485" spans="18:23" x14ac:dyDescent="0.3">
      <c r="R485" t="str">
        <f t="shared" si="7"/>
        <v>Nov</v>
      </c>
      <c r="S485" t="s">
        <v>675</v>
      </c>
      <c r="T485">
        <v>2239</v>
      </c>
      <c r="U485">
        <v>469.03</v>
      </c>
      <c r="V485" t="s">
        <v>98</v>
      </c>
      <c r="W485" t="s">
        <v>47</v>
      </c>
    </row>
    <row r="486" spans="18:23" x14ac:dyDescent="0.3">
      <c r="R486" t="str">
        <f t="shared" si="7"/>
        <v>Dec</v>
      </c>
      <c r="S486" t="s">
        <v>971</v>
      </c>
      <c r="T486">
        <v>675.3</v>
      </c>
      <c r="U486">
        <v>109.04</v>
      </c>
      <c r="V486" t="s">
        <v>98</v>
      </c>
      <c r="W486" t="s">
        <v>23</v>
      </c>
    </row>
    <row r="487" spans="18:23" x14ac:dyDescent="0.3">
      <c r="R487" t="str">
        <f t="shared" si="7"/>
        <v>Mar</v>
      </c>
      <c r="S487" t="s">
        <v>973</v>
      </c>
      <c r="T487">
        <v>1359</v>
      </c>
      <c r="U487">
        <v>538.33000000000004</v>
      </c>
      <c r="V487" t="s">
        <v>207</v>
      </c>
      <c r="W487" t="s">
        <v>68</v>
      </c>
    </row>
    <row r="488" spans="18:23" x14ac:dyDescent="0.3">
      <c r="R488" t="str">
        <f t="shared" si="7"/>
        <v>Sep</v>
      </c>
      <c r="S488" t="s">
        <v>706</v>
      </c>
      <c r="T488">
        <v>1050.28</v>
      </c>
      <c r="U488">
        <v>220.45</v>
      </c>
      <c r="V488" t="s">
        <v>35</v>
      </c>
      <c r="W488" t="s">
        <v>68</v>
      </c>
    </row>
    <row r="489" spans="18:23" x14ac:dyDescent="0.3">
      <c r="R489" t="str">
        <f t="shared" si="7"/>
        <v>Mar</v>
      </c>
      <c r="S489" t="s">
        <v>268</v>
      </c>
      <c r="T489">
        <v>2685.5</v>
      </c>
      <c r="U489">
        <v>487.61</v>
      </c>
      <c r="V489" t="s">
        <v>207</v>
      </c>
      <c r="W489" t="s">
        <v>57</v>
      </c>
    </row>
    <row r="490" spans="18:23" x14ac:dyDescent="0.3">
      <c r="R490" t="str">
        <f t="shared" si="7"/>
        <v>Dec</v>
      </c>
      <c r="S490" t="s">
        <v>977</v>
      </c>
      <c r="T490">
        <v>446.88</v>
      </c>
      <c r="U490">
        <v>47.97</v>
      </c>
      <c r="V490" t="s">
        <v>142</v>
      </c>
      <c r="W490" t="s">
        <v>68</v>
      </c>
    </row>
    <row r="491" spans="18:23" x14ac:dyDescent="0.3">
      <c r="R491" t="str">
        <f t="shared" si="7"/>
        <v>Jan</v>
      </c>
      <c r="S491" t="s">
        <v>577</v>
      </c>
      <c r="T491">
        <v>491.5</v>
      </c>
      <c r="U491">
        <v>78.2</v>
      </c>
      <c r="V491" t="s">
        <v>76</v>
      </c>
      <c r="W491" t="s">
        <v>57</v>
      </c>
    </row>
    <row r="492" spans="18:23" x14ac:dyDescent="0.3">
      <c r="R492" t="str">
        <f t="shared" si="7"/>
        <v>Dec</v>
      </c>
      <c r="S492" t="s">
        <v>980</v>
      </c>
      <c r="T492">
        <v>2140.3200000000002</v>
      </c>
      <c r="U492">
        <v>332.47</v>
      </c>
      <c r="V492" t="s">
        <v>76</v>
      </c>
      <c r="W492" t="s">
        <v>57</v>
      </c>
    </row>
    <row r="493" spans="18:23" x14ac:dyDescent="0.3">
      <c r="R493" t="str">
        <f t="shared" si="7"/>
        <v>Jan</v>
      </c>
      <c r="S493" t="s">
        <v>982</v>
      </c>
      <c r="T493">
        <v>1460.94</v>
      </c>
      <c r="U493">
        <v>403.69</v>
      </c>
      <c r="V493" t="s">
        <v>76</v>
      </c>
      <c r="W493" t="s">
        <v>75</v>
      </c>
    </row>
    <row r="494" spans="18:23" x14ac:dyDescent="0.3">
      <c r="R494" t="str">
        <f t="shared" si="7"/>
        <v>May</v>
      </c>
      <c r="S494" t="s">
        <v>984</v>
      </c>
      <c r="T494">
        <v>141.4</v>
      </c>
      <c r="U494">
        <v>47.8</v>
      </c>
      <c r="V494" t="s">
        <v>35</v>
      </c>
      <c r="W494" t="s">
        <v>47</v>
      </c>
    </row>
    <row r="495" spans="18:23" x14ac:dyDescent="0.3">
      <c r="R495" t="str">
        <f t="shared" si="7"/>
        <v>Sep</v>
      </c>
      <c r="S495" t="s">
        <v>986</v>
      </c>
      <c r="T495">
        <v>335.34</v>
      </c>
      <c r="U495">
        <v>79.66</v>
      </c>
      <c r="V495" t="s">
        <v>98</v>
      </c>
      <c r="W495" t="s">
        <v>47</v>
      </c>
    </row>
    <row r="496" spans="18:23" x14ac:dyDescent="0.3">
      <c r="R496" t="str">
        <f t="shared" si="7"/>
        <v>May</v>
      </c>
      <c r="S496" t="s">
        <v>988</v>
      </c>
      <c r="T496">
        <v>324.95999999999998</v>
      </c>
      <c r="U496">
        <v>39.369999999999997</v>
      </c>
      <c r="V496" t="s">
        <v>207</v>
      </c>
      <c r="W496" t="s">
        <v>68</v>
      </c>
    </row>
    <row r="497" spans="18:23" x14ac:dyDescent="0.3">
      <c r="R497" t="str">
        <f t="shared" si="7"/>
        <v>Apr</v>
      </c>
      <c r="S497" t="s">
        <v>153</v>
      </c>
      <c r="T497">
        <v>1610.5</v>
      </c>
      <c r="U497">
        <v>327.82</v>
      </c>
      <c r="V497" t="s">
        <v>35</v>
      </c>
      <c r="W497" t="s">
        <v>75</v>
      </c>
    </row>
    <row r="498" spans="18:23" x14ac:dyDescent="0.3">
      <c r="R498" t="str">
        <f t="shared" si="7"/>
        <v>Mar</v>
      </c>
      <c r="S498" t="s">
        <v>768</v>
      </c>
      <c r="T498">
        <v>1008.91</v>
      </c>
      <c r="U498">
        <v>306.13</v>
      </c>
      <c r="V498" t="s">
        <v>142</v>
      </c>
      <c r="W498" t="s">
        <v>47</v>
      </c>
    </row>
    <row r="499" spans="18:23" x14ac:dyDescent="0.3">
      <c r="R499" t="str">
        <f t="shared" si="7"/>
        <v>Apr</v>
      </c>
      <c r="S499" t="s">
        <v>992</v>
      </c>
      <c r="T499">
        <v>629.86</v>
      </c>
      <c r="U499">
        <v>160.78</v>
      </c>
      <c r="V499" t="s">
        <v>35</v>
      </c>
      <c r="W499" t="s">
        <v>47</v>
      </c>
    </row>
    <row r="500" spans="18:23" x14ac:dyDescent="0.3">
      <c r="R500" t="str">
        <f t="shared" si="7"/>
        <v>Feb</v>
      </c>
      <c r="S500" t="s">
        <v>994</v>
      </c>
      <c r="T500">
        <v>617.32000000000005</v>
      </c>
      <c r="U500">
        <v>139.06</v>
      </c>
      <c r="V500" t="s">
        <v>76</v>
      </c>
      <c r="W500" t="s">
        <v>57</v>
      </c>
    </row>
    <row r="501" spans="18:23" x14ac:dyDescent="0.3">
      <c r="R501" t="str">
        <f t="shared" si="7"/>
        <v>Apr</v>
      </c>
      <c r="S501" t="s">
        <v>996</v>
      </c>
      <c r="T501">
        <v>61.76</v>
      </c>
      <c r="U501">
        <v>7.34</v>
      </c>
      <c r="V501" t="s">
        <v>98</v>
      </c>
      <c r="W501" t="s">
        <v>75</v>
      </c>
    </row>
    <row r="502" spans="18:23" x14ac:dyDescent="0.3">
      <c r="R502" t="str">
        <f t="shared" si="7"/>
        <v>Jul</v>
      </c>
      <c r="S502" t="s">
        <v>998</v>
      </c>
      <c r="T502">
        <v>2169.1999999999998</v>
      </c>
      <c r="U502">
        <v>739.55</v>
      </c>
      <c r="V502" t="s">
        <v>207</v>
      </c>
      <c r="W502" t="s">
        <v>57</v>
      </c>
    </row>
    <row r="503" spans="18:23" x14ac:dyDescent="0.3">
      <c r="R503" t="str">
        <f t="shared" si="7"/>
        <v>Dec</v>
      </c>
      <c r="S503" t="s">
        <v>412</v>
      </c>
      <c r="T503">
        <v>2230.5</v>
      </c>
      <c r="U503">
        <v>739.18</v>
      </c>
      <c r="V503" t="s">
        <v>98</v>
      </c>
      <c r="W503" t="s">
        <v>68</v>
      </c>
    </row>
    <row r="504" spans="18:23" x14ac:dyDescent="0.3">
      <c r="R504" t="str">
        <f t="shared" si="7"/>
        <v>Sep</v>
      </c>
      <c r="S504" t="s">
        <v>1001</v>
      </c>
      <c r="T504">
        <v>260.54000000000002</v>
      </c>
      <c r="U504">
        <v>76.650000000000006</v>
      </c>
      <c r="V504" t="s">
        <v>76</v>
      </c>
      <c r="W504" t="s">
        <v>47</v>
      </c>
    </row>
    <row r="505" spans="18:23" x14ac:dyDescent="0.3">
      <c r="R505" t="str">
        <f t="shared" si="7"/>
        <v>Jul</v>
      </c>
      <c r="S505" t="s">
        <v>816</v>
      </c>
      <c r="T505">
        <v>172.27</v>
      </c>
      <c r="U505">
        <v>54.13</v>
      </c>
      <c r="V505" t="s">
        <v>35</v>
      </c>
      <c r="W505" t="s">
        <v>68</v>
      </c>
    </row>
  </sheetData>
  <mergeCells count="1">
    <mergeCell ref="A1:Q3"/>
  </mergeCells>
  <pageMargins left="0.75" right="0.75" top="1" bottom="1" header="0.5" footer="0.5"/>
  <drawing r:id="rId3"/>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R505"/>
  <sheetViews>
    <sheetView workbookViewId="0">
      <selection activeCell="R8" sqref="R8"/>
    </sheetView>
  </sheetViews>
  <sheetFormatPr defaultRowHeight="14.4" x14ac:dyDescent="0.3"/>
  <cols>
    <col min="1" max="1" width="17.44140625" customWidth="1"/>
    <col min="2" max="2" width="13.109375" customWidth="1"/>
    <col min="3" max="3" width="19.33203125" customWidth="1"/>
    <col min="5" max="5" width="18.109375" customWidth="1"/>
    <col min="6" max="6" width="13.5546875" customWidth="1"/>
    <col min="8" max="9" width="14.21875" customWidth="1"/>
    <col min="10" max="10" width="13.88671875" customWidth="1"/>
    <col min="12" max="12" width="12.77734375" customWidth="1"/>
    <col min="13" max="13" width="14.21875" customWidth="1"/>
    <col min="14" max="14" width="13.109375" customWidth="1"/>
    <col min="15" max="15" width="12.5546875" customWidth="1"/>
  </cols>
  <sheetData>
    <row r="1" spans="1:18" x14ac:dyDescent="0.3">
      <c r="A1" s="35" t="s">
        <v>96</v>
      </c>
      <c r="B1" s="38"/>
      <c r="C1" s="38"/>
      <c r="D1" s="38"/>
      <c r="E1" s="38"/>
      <c r="F1" s="38"/>
      <c r="G1" s="38"/>
      <c r="H1" s="38"/>
      <c r="I1" s="38"/>
      <c r="J1" s="38"/>
      <c r="K1" s="38"/>
      <c r="L1" s="38"/>
      <c r="M1" s="38"/>
      <c r="N1" s="38"/>
      <c r="O1" s="38"/>
      <c r="P1" s="38"/>
      <c r="Q1" s="38"/>
      <c r="R1" s="38"/>
    </row>
    <row r="2" spans="1:18" x14ac:dyDescent="0.3">
      <c r="A2" s="38"/>
      <c r="B2" s="38"/>
      <c r="C2" s="38"/>
      <c r="D2" s="38"/>
      <c r="E2" s="38"/>
      <c r="F2" s="38"/>
      <c r="G2" s="38"/>
      <c r="H2" s="38"/>
      <c r="I2" s="38"/>
      <c r="J2" s="38"/>
      <c r="K2" s="38"/>
      <c r="L2" s="38"/>
      <c r="M2" s="38"/>
      <c r="N2" s="38"/>
      <c r="O2" s="38"/>
      <c r="P2" s="38"/>
      <c r="Q2" s="38"/>
      <c r="R2" s="38"/>
    </row>
    <row r="3" spans="1:18" ht="150" customHeight="1" x14ac:dyDescent="0.3">
      <c r="A3" s="38"/>
      <c r="B3" s="38"/>
      <c r="C3" s="38"/>
      <c r="D3" s="38"/>
      <c r="E3" s="38"/>
      <c r="F3" s="38"/>
      <c r="G3" s="38"/>
      <c r="H3" s="38"/>
      <c r="I3" s="38"/>
      <c r="J3" s="38"/>
      <c r="K3" s="38"/>
      <c r="L3" s="38"/>
      <c r="M3" s="38"/>
      <c r="N3" s="38"/>
      <c r="O3" s="38"/>
      <c r="P3" s="38"/>
      <c r="Q3" s="38"/>
      <c r="R3" s="38"/>
    </row>
    <row r="5" spans="1:18" x14ac:dyDescent="0.3">
      <c r="A5" s="16" t="s">
        <v>1</v>
      </c>
      <c r="B5" s="16" t="s">
        <v>2</v>
      </c>
      <c r="C5" s="16" t="s">
        <v>3</v>
      </c>
      <c r="D5" s="16" t="s">
        <v>4</v>
      </c>
      <c r="E5" s="16" t="s">
        <v>5</v>
      </c>
      <c r="F5" s="16" t="s">
        <v>6</v>
      </c>
      <c r="G5" s="16" t="s">
        <v>7</v>
      </c>
      <c r="H5" s="16" t="s">
        <v>8</v>
      </c>
      <c r="I5" s="16" t="s">
        <v>9</v>
      </c>
      <c r="J5" s="16" t="s">
        <v>10</v>
      </c>
      <c r="K5" s="16" t="s">
        <v>11</v>
      </c>
      <c r="L5" s="16" t="s">
        <v>12</v>
      </c>
      <c r="M5" s="16" t="s">
        <v>13</v>
      </c>
      <c r="N5" s="16" t="s">
        <v>14</v>
      </c>
      <c r="O5" s="16" t="s">
        <v>1043</v>
      </c>
    </row>
    <row r="6" spans="1:18" x14ac:dyDescent="0.3">
      <c r="A6" t="s">
        <v>19</v>
      </c>
      <c r="B6" t="s">
        <v>97</v>
      </c>
      <c r="C6" t="s">
        <v>20</v>
      </c>
      <c r="D6" t="s">
        <v>21</v>
      </c>
      <c r="E6" t="s">
        <v>22</v>
      </c>
      <c r="F6" t="s">
        <v>23</v>
      </c>
      <c r="G6">
        <v>20</v>
      </c>
      <c r="H6">
        <v>55.22</v>
      </c>
      <c r="I6">
        <v>1104.4000000000001</v>
      </c>
      <c r="J6">
        <v>49.36</v>
      </c>
      <c r="K6">
        <v>355.04</v>
      </c>
      <c r="L6" t="s">
        <v>24</v>
      </c>
      <c r="M6" t="s">
        <v>25</v>
      </c>
      <c r="N6" t="s">
        <v>98</v>
      </c>
      <c r="O6" s="5">
        <f>K6/I6</f>
        <v>0.32147772546178921</v>
      </c>
    </row>
    <row r="7" spans="1:18" x14ac:dyDescent="0.3">
      <c r="A7" t="s">
        <v>29</v>
      </c>
      <c r="B7" t="s">
        <v>99</v>
      </c>
      <c r="C7" t="s">
        <v>30</v>
      </c>
      <c r="D7" t="s">
        <v>31</v>
      </c>
      <c r="E7" t="s">
        <v>32</v>
      </c>
      <c r="F7" t="s">
        <v>23</v>
      </c>
      <c r="G7">
        <v>33</v>
      </c>
      <c r="H7">
        <v>32.03</v>
      </c>
      <c r="I7">
        <v>1056.99</v>
      </c>
      <c r="J7">
        <v>59.59</v>
      </c>
      <c r="K7">
        <v>403.4</v>
      </c>
      <c r="L7" t="s">
        <v>33</v>
      </c>
      <c r="M7" t="s">
        <v>34</v>
      </c>
      <c r="N7" t="s">
        <v>35</v>
      </c>
      <c r="O7" s="5">
        <f t="shared" ref="O7:O70" si="0">K7/I7</f>
        <v>0.38164977908967918</v>
      </c>
    </row>
    <row r="8" spans="1:18" x14ac:dyDescent="0.3">
      <c r="A8" t="s">
        <v>39</v>
      </c>
      <c r="B8" t="s">
        <v>100</v>
      </c>
      <c r="C8" t="s">
        <v>40</v>
      </c>
      <c r="D8" t="s">
        <v>37</v>
      </c>
      <c r="E8" t="s">
        <v>32</v>
      </c>
      <c r="F8" t="s">
        <v>23</v>
      </c>
      <c r="G8">
        <v>34</v>
      </c>
      <c r="H8">
        <v>28.48</v>
      </c>
      <c r="I8">
        <v>968.32</v>
      </c>
      <c r="J8">
        <v>73.95</v>
      </c>
      <c r="K8">
        <v>282.37</v>
      </c>
      <c r="L8" t="s">
        <v>24</v>
      </c>
      <c r="M8" t="s">
        <v>41</v>
      </c>
      <c r="N8" t="s">
        <v>35</v>
      </c>
      <c r="O8" s="5">
        <f t="shared" si="0"/>
        <v>0.2916081460674157</v>
      </c>
    </row>
    <row r="9" spans="1:18" x14ac:dyDescent="0.3">
      <c r="A9" t="s">
        <v>43</v>
      </c>
      <c r="B9" t="s">
        <v>101</v>
      </c>
      <c r="C9" t="s">
        <v>44</v>
      </c>
      <c r="D9" t="s">
        <v>45</v>
      </c>
      <c r="E9" t="s">
        <v>46</v>
      </c>
      <c r="F9" t="s">
        <v>47</v>
      </c>
      <c r="G9">
        <v>6</v>
      </c>
      <c r="H9">
        <v>56.36</v>
      </c>
      <c r="I9">
        <v>338.16</v>
      </c>
      <c r="J9">
        <v>11.39</v>
      </c>
      <c r="K9">
        <v>134.77000000000001</v>
      </c>
      <c r="L9" t="s">
        <v>48</v>
      </c>
      <c r="M9" t="s">
        <v>34</v>
      </c>
      <c r="N9" t="s">
        <v>49</v>
      </c>
      <c r="O9" s="5">
        <f t="shared" si="0"/>
        <v>0.39853915306363852</v>
      </c>
    </row>
    <row r="10" spans="1:18" x14ac:dyDescent="0.3">
      <c r="A10" t="s">
        <v>53</v>
      </c>
      <c r="B10" t="s">
        <v>102</v>
      </c>
      <c r="C10" t="s">
        <v>54</v>
      </c>
      <c r="D10" t="s">
        <v>55</v>
      </c>
      <c r="E10" t="s">
        <v>56</v>
      </c>
      <c r="F10" t="s">
        <v>57</v>
      </c>
      <c r="G10">
        <v>17</v>
      </c>
      <c r="H10">
        <v>69.22</v>
      </c>
      <c r="I10">
        <v>1176.74</v>
      </c>
      <c r="J10">
        <v>65.94</v>
      </c>
      <c r="K10">
        <v>430.8</v>
      </c>
      <c r="L10" t="s">
        <v>33</v>
      </c>
      <c r="M10" t="s">
        <v>25</v>
      </c>
      <c r="N10" t="s">
        <v>98</v>
      </c>
      <c r="O10" s="5">
        <f t="shared" si="0"/>
        <v>0.36609616397844896</v>
      </c>
    </row>
    <row r="11" spans="1:18" x14ac:dyDescent="0.3">
      <c r="A11" t="s">
        <v>60</v>
      </c>
      <c r="B11" t="s">
        <v>103</v>
      </c>
      <c r="C11" t="s">
        <v>61</v>
      </c>
      <c r="D11" t="s">
        <v>62</v>
      </c>
      <c r="E11" t="s">
        <v>63</v>
      </c>
      <c r="F11" t="s">
        <v>47</v>
      </c>
      <c r="G11">
        <v>13</v>
      </c>
      <c r="H11">
        <v>27.94</v>
      </c>
      <c r="I11">
        <v>363.22</v>
      </c>
      <c r="J11">
        <v>15.36</v>
      </c>
      <c r="K11">
        <v>87.86</v>
      </c>
      <c r="L11" t="s">
        <v>33</v>
      </c>
      <c r="M11" t="s">
        <v>25</v>
      </c>
      <c r="N11" t="s">
        <v>98</v>
      </c>
      <c r="O11" s="5">
        <f t="shared" si="0"/>
        <v>0.2418919663014151</v>
      </c>
    </row>
    <row r="12" spans="1:18" x14ac:dyDescent="0.3">
      <c r="A12" t="s">
        <v>65</v>
      </c>
      <c r="B12" t="s">
        <v>104</v>
      </c>
      <c r="C12" t="s">
        <v>66</v>
      </c>
      <c r="D12" t="s">
        <v>31</v>
      </c>
      <c r="E12" t="s">
        <v>67</v>
      </c>
      <c r="F12" t="s">
        <v>68</v>
      </c>
      <c r="G12">
        <v>3</v>
      </c>
      <c r="H12">
        <v>31.52</v>
      </c>
      <c r="I12">
        <v>94.56</v>
      </c>
      <c r="J12">
        <v>6.98</v>
      </c>
      <c r="K12">
        <v>20.079999999999998</v>
      </c>
      <c r="L12" t="s">
        <v>24</v>
      </c>
      <c r="M12" t="s">
        <v>41</v>
      </c>
      <c r="N12" t="s">
        <v>35</v>
      </c>
      <c r="O12" s="5">
        <f t="shared" si="0"/>
        <v>0.21235194585448391</v>
      </c>
    </row>
    <row r="13" spans="1:18" x14ac:dyDescent="0.3">
      <c r="A13" t="s">
        <v>72</v>
      </c>
      <c r="B13" t="s">
        <v>105</v>
      </c>
      <c r="C13" t="s">
        <v>73</v>
      </c>
      <c r="D13" t="s">
        <v>51</v>
      </c>
      <c r="E13" t="s">
        <v>74</v>
      </c>
      <c r="F13" t="s">
        <v>75</v>
      </c>
      <c r="G13">
        <v>14</v>
      </c>
      <c r="H13">
        <v>30.71</v>
      </c>
      <c r="I13">
        <v>429.94</v>
      </c>
      <c r="J13">
        <v>13.03</v>
      </c>
      <c r="K13">
        <v>66.91</v>
      </c>
      <c r="L13" t="s">
        <v>33</v>
      </c>
      <c r="M13" t="s">
        <v>25</v>
      </c>
      <c r="N13" t="s">
        <v>76</v>
      </c>
      <c r="O13" s="5">
        <f t="shared" si="0"/>
        <v>0.15562636646973996</v>
      </c>
    </row>
    <row r="14" spans="1:18" x14ac:dyDescent="0.3">
      <c r="A14" t="s">
        <v>80</v>
      </c>
      <c r="B14" t="s">
        <v>106</v>
      </c>
      <c r="C14" t="s">
        <v>40</v>
      </c>
      <c r="D14" t="s">
        <v>21</v>
      </c>
      <c r="E14" t="s">
        <v>81</v>
      </c>
      <c r="F14" t="s">
        <v>68</v>
      </c>
      <c r="G14">
        <v>47</v>
      </c>
      <c r="H14">
        <v>24.47</v>
      </c>
      <c r="I14">
        <v>1150.0899999999999</v>
      </c>
      <c r="J14">
        <v>61.3</v>
      </c>
      <c r="K14">
        <v>360.29</v>
      </c>
      <c r="L14" t="s">
        <v>33</v>
      </c>
      <c r="M14" t="s">
        <v>25</v>
      </c>
      <c r="N14" t="s">
        <v>98</v>
      </c>
      <c r="O14" s="5">
        <f t="shared" si="0"/>
        <v>0.31327113530245465</v>
      </c>
    </row>
    <row r="15" spans="1:18" x14ac:dyDescent="0.3">
      <c r="A15" t="s">
        <v>84</v>
      </c>
      <c r="B15" t="s">
        <v>107</v>
      </c>
      <c r="C15" t="s">
        <v>85</v>
      </c>
      <c r="D15" t="s">
        <v>37</v>
      </c>
      <c r="E15" t="s">
        <v>86</v>
      </c>
      <c r="F15" t="s">
        <v>47</v>
      </c>
      <c r="G15">
        <v>27</v>
      </c>
      <c r="H15">
        <v>18.98</v>
      </c>
      <c r="I15">
        <v>512.46</v>
      </c>
      <c r="J15">
        <v>28.89</v>
      </c>
      <c r="K15">
        <v>139.32</v>
      </c>
      <c r="L15" t="s">
        <v>33</v>
      </c>
      <c r="M15" t="s">
        <v>41</v>
      </c>
      <c r="N15" t="s">
        <v>35</v>
      </c>
      <c r="O15" s="5">
        <f t="shared" si="0"/>
        <v>0.27186512118018963</v>
      </c>
    </row>
    <row r="16" spans="1:18" x14ac:dyDescent="0.3">
      <c r="A16" t="s">
        <v>108</v>
      </c>
      <c r="B16" t="s">
        <v>109</v>
      </c>
      <c r="C16" t="s">
        <v>110</v>
      </c>
      <c r="D16" t="s">
        <v>51</v>
      </c>
      <c r="E16" t="s">
        <v>22</v>
      </c>
      <c r="F16" t="s">
        <v>23</v>
      </c>
      <c r="G16">
        <v>32</v>
      </c>
      <c r="H16">
        <v>57.84</v>
      </c>
      <c r="I16">
        <v>1850.88</v>
      </c>
      <c r="J16">
        <v>55.15</v>
      </c>
      <c r="K16">
        <v>675.73</v>
      </c>
      <c r="L16" t="s">
        <v>24</v>
      </c>
      <c r="M16" t="s">
        <v>25</v>
      </c>
      <c r="N16" t="s">
        <v>76</v>
      </c>
      <c r="O16" s="5">
        <f t="shared" si="0"/>
        <v>0.36508579702627936</v>
      </c>
    </row>
    <row r="17" spans="1:15" x14ac:dyDescent="0.3">
      <c r="A17" t="s">
        <v>111</v>
      </c>
      <c r="B17" t="s">
        <v>112</v>
      </c>
      <c r="C17" t="s">
        <v>113</v>
      </c>
      <c r="D17" t="s">
        <v>55</v>
      </c>
      <c r="E17" t="s">
        <v>56</v>
      </c>
      <c r="F17" t="s">
        <v>57</v>
      </c>
      <c r="G17">
        <v>49</v>
      </c>
      <c r="H17">
        <v>58.77</v>
      </c>
      <c r="I17">
        <v>2879.73</v>
      </c>
      <c r="J17">
        <v>140.29</v>
      </c>
      <c r="K17">
        <v>779.44</v>
      </c>
      <c r="L17" t="s">
        <v>48</v>
      </c>
      <c r="M17" t="s">
        <v>41</v>
      </c>
      <c r="N17" t="s">
        <v>98</v>
      </c>
      <c r="O17" s="5">
        <f t="shared" si="0"/>
        <v>0.27066426366360735</v>
      </c>
    </row>
    <row r="18" spans="1:15" x14ac:dyDescent="0.3">
      <c r="A18" t="s">
        <v>114</v>
      </c>
      <c r="B18" t="s">
        <v>115</v>
      </c>
      <c r="C18" t="s">
        <v>110</v>
      </c>
      <c r="D18" t="s">
        <v>116</v>
      </c>
      <c r="E18" t="s">
        <v>22</v>
      </c>
      <c r="F18" t="s">
        <v>23</v>
      </c>
      <c r="G18">
        <v>43</v>
      </c>
      <c r="H18">
        <v>56.92</v>
      </c>
      <c r="I18">
        <v>2447.56</v>
      </c>
      <c r="J18">
        <v>140.4</v>
      </c>
      <c r="K18">
        <v>802.16</v>
      </c>
      <c r="L18" t="s">
        <v>24</v>
      </c>
      <c r="M18" t="s">
        <v>34</v>
      </c>
      <c r="N18" t="s">
        <v>76</v>
      </c>
      <c r="O18" s="5">
        <f t="shared" si="0"/>
        <v>0.3277386458350357</v>
      </c>
    </row>
    <row r="19" spans="1:15" x14ac:dyDescent="0.3">
      <c r="A19" t="s">
        <v>117</v>
      </c>
      <c r="B19" t="s">
        <v>118</v>
      </c>
      <c r="C19" t="s">
        <v>119</v>
      </c>
      <c r="D19" t="s">
        <v>37</v>
      </c>
      <c r="E19" t="s">
        <v>74</v>
      </c>
      <c r="F19" t="s">
        <v>75</v>
      </c>
      <c r="G19">
        <v>32</v>
      </c>
      <c r="H19">
        <v>43.45</v>
      </c>
      <c r="I19">
        <v>1390.4</v>
      </c>
      <c r="J19">
        <v>30.04</v>
      </c>
      <c r="K19">
        <v>560.36</v>
      </c>
      <c r="L19" t="s">
        <v>24</v>
      </c>
      <c r="M19" t="s">
        <v>41</v>
      </c>
      <c r="N19" t="s">
        <v>35</v>
      </c>
      <c r="O19" s="5">
        <f t="shared" si="0"/>
        <v>0.4030207134637514</v>
      </c>
    </row>
    <row r="20" spans="1:15" x14ac:dyDescent="0.3">
      <c r="A20" t="s">
        <v>120</v>
      </c>
      <c r="B20" t="s">
        <v>121</v>
      </c>
      <c r="C20" t="s">
        <v>122</v>
      </c>
      <c r="D20" t="s">
        <v>123</v>
      </c>
      <c r="E20" t="s">
        <v>74</v>
      </c>
      <c r="F20" t="s">
        <v>75</v>
      </c>
      <c r="G20">
        <v>22</v>
      </c>
      <c r="H20">
        <v>42.59</v>
      </c>
      <c r="I20">
        <v>936.98</v>
      </c>
      <c r="J20">
        <v>29.87</v>
      </c>
      <c r="K20">
        <v>357.11</v>
      </c>
      <c r="L20" t="s">
        <v>33</v>
      </c>
      <c r="M20" t="s">
        <v>41</v>
      </c>
      <c r="N20" t="s">
        <v>76</v>
      </c>
      <c r="O20" s="5">
        <f t="shared" si="0"/>
        <v>0.38112873273709152</v>
      </c>
    </row>
    <row r="21" spans="1:15" x14ac:dyDescent="0.3">
      <c r="A21" t="s">
        <v>124</v>
      </c>
      <c r="B21" t="s">
        <v>125</v>
      </c>
      <c r="C21" t="s">
        <v>126</v>
      </c>
      <c r="D21" t="s">
        <v>127</v>
      </c>
      <c r="E21" t="s">
        <v>63</v>
      </c>
      <c r="F21" t="s">
        <v>47</v>
      </c>
      <c r="G21">
        <v>48</v>
      </c>
      <c r="H21">
        <v>25.36</v>
      </c>
      <c r="I21">
        <v>1217.28</v>
      </c>
      <c r="J21">
        <v>49.68</v>
      </c>
      <c r="K21">
        <v>207.6</v>
      </c>
      <c r="L21" t="s">
        <v>33</v>
      </c>
      <c r="M21" t="s">
        <v>25</v>
      </c>
      <c r="N21" t="s">
        <v>76</v>
      </c>
      <c r="O21" s="5">
        <f t="shared" si="0"/>
        <v>0.17054416403785488</v>
      </c>
    </row>
    <row r="22" spans="1:15" x14ac:dyDescent="0.3">
      <c r="A22" t="s">
        <v>128</v>
      </c>
      <c r="B22" t="s">
        <v>129</v>
      </c>
      <c r="C22" t="s">
        <v>110</v>
      </c>
      <c r="D22" t="s">
        <v>123</v>
      </c>
      <c r="E22" t="s">
        <v>32</v>
      </c>
      <c r="F22" t="s">
        <v>23</v>
      </c>
      <c r="G22">
        <v>48</v>
      </c>
      <c r="H22">
        <v>30.07</v>
      </c>
      <c r="I22">
        <v>1443.36</v>
      </c>
      <c r="J22">
        <v>102.31</v>
      </c>
      <c r="K22">
        <v>477.05</v>
      </c>
      <c r="L22" t="s">
        <v>48</v>
      </c>
      <c r="M22" t="s">
        <v>25</v>
      </c>
      <c r="N22" t="s">
        <v>76</v>
      </c>
      <c r="O22" s="5">
        <f t="shared" si="0"/>
        <v>0.33051352399955664</v>
      </c>
    </row>
    <row r="23" spans="1:15" x14ac:dyDescent="0.3">
      <c r="A23" t="s">
        <v>130</v>
      </c>
      <c r="B23" t="s">
        <v>131</v>
      </c>
      <c r="C23" t="s">
        <v>61</v>
      </c>
      <c r="D23" t="s">
        <v>123</v>
      </c>
      <c r="E23" t="s">
        <v>63</v>
      </c>
      <c r="F23" t="s">
        <v>47</v>
      </c>
      <c r="G23">
        <v>6</v>
      </c>
      <c r="H23">
        <v>32.17</v>
      </c>
      <c r="I23">
        <v>193.02</v>
      </c>
      <c r="J23">
        <v>14.45</v>
      </c>
      <c r="K23">
        <v>58.57</v>
      </c>
      <c r="L23" t="s">
        <v>48</v>
      </c>
      <c r="M23" t="s">
        <v>25</v>
      </c>
      <c r="N23" t="s">
        <v>76</v>
      </c>
      <c r="O23" s="5">
        <f t="shared" si="0"/>
        <v>0.30344005802507512</v>
      </c>
    </row>
    <row r="24" spans="1:15" x14ac:dyDescent="0.3">
      <c r="A24" t="s">
        <v>132</v>
      </c>
      <c r="B24" t="s">
        <v>133</v>
      </c>
      <c r="C24" t="s">
        <v>134</v>
      </c>
      <c r="D24" t="s">
        <v>116</v>
      </c>
      <c r="E24" t="s">
        <v>32</v>
      </c>
      <c r="F24" t="s">
        <v>23</v>
      </c>
      <c r="G24">
        <v>37</v>
      </c>
      <c r="H24">
        <v>24.14</v>
      </c>
      <c r="I24">
        <v>893.18</v>
      </c>
      <c r="J24">
        <v>31.39</v>
      </c>
      <c r="K24">
        <v>195.79</v>
      </c>
      <c r="L24" t="s">
        <v>33</v>
      </c>
      <c r="M24" t="s">
        <v>34</v>
      </c>
      <c r="N24" t="s">
        <v>76</v>
      </c>
      <c r="O24" s="5">
        <f t="shared" si="0"/>
        <v>0.21920553527844333</v>
      </c>
    </row>
    <row r="25" spans="1:15" x14ac:dyDescent="0.3">
      <c r="A25" t="s">
        <v>135</v>
      </c>
      <c r="B25" t="s">
        <v>136</v>
      </c>
      <c r="C25" t="s">
        <v>54</v>
      </c>
      <c r="D25" t="s">
        <v>31</v>
      </c>
      <c r="E25" t="s">
        <v>137</v>
      </c>
      <c r="F25" t="s">
        <v>68</v>
      </c>
      <c r="G25">
        <v>39</v>
      </c>
      <c r="H25">
        <v>37.840000000000003</v>
      </c>
      <c r="I25">
        <v>1475.76</v>
      </c>
      <c r="J25">
        <v>73.400000000000006</v>
      </c>
      <c r="K25">
        <v>310.36</v>
      </c>
      <c r="L25" t="s">
        <v>33</v>
      </c>
      <c r="M25" t="s">
        <v>41</v>
      </c>
      <c r="N25" t="s">
        <v>35</v>
      </c>
      <c r="O25" s="5">
        <f t="shared" si="0"/>
        <v>0.21030519867729172</v>
      </c>
    </row>
    <row r="26" spans="1:15" x14ac:dyDescent="0.3">
      <c r="A26" t="s">
        <v>138</v>
      </c>
      <c r="B26" t="s">
        <v>139</v>
      </c>
      <c r="C26" t="s">
        <v>140</v>
      </c>
      <c r="D26" t="s">
        <v>141</v>
      </c>
      <c r="E26" t="s">
        <v>56</v>
      </c>
      <c r="F26" t="s">
        <v>57</v>
      </c>
      <c r="G26">
        <v>6</v>
      </c>
      <c r="H26">
        <v>68.77</v>
      </c>
      <c r="I26">
        <v>412.62</v>
      </c>
      <c r="J26">
        <v>17.18</v>
      </c>
      <c r="K26">
        <v>155.44</v>
      </c>
      <c r="L26" t="s">
        <v>33</v>
      </c>
      <c r="M26" t="s">
        <v>25</v>
      </c>
      <c r="N26" t="s">
        <v>142</v>
      </c>
      <c r="O26" s="5">
        <f t="shared" si="0"/>
        <v>0.37671465270709126</v>
      </c>
    </row>
    <row r="27" spans="1:15" x14ac:dyDescent="0.3">
      <c r="A27" t="s">
        <v>143</v>
      </c>
      <c r="B27" t="s">
        <v>144</v>
      </c>
      <c r="C27" t="s">
        <v>145</v>
      </c>
      <c r="D27" t="s">
        <v>55</v>
      </c>
      <c r="E27" t="s">
        <v>86</v>
      </c>
      <c r="F27" t="s">
        <v>47</v>
      </c>
      <c r="G27">
        <v>6</v>
      </c>
      <c r="H27">
        <v>18.5</v>
      </c>
      <c r="I27">
        <v>111</v>
      </c>
      <c r="J27">
        <v>5.26</v>
      </c>
      <c r="K27">
        <v>29.24</v>
      </c>
      <c r="L27" t="s">
        <v>48</v>
      </c>
      <c r="M27" t="s">
        <v>34</v>
      </c>
      <c r="N27" t="s">
        <v>98</v>
      </c>
      <c r="O27" s="5">
        <f t="shared" si="0"/>
        <v>0.2634234234234234</v>
      </c>
    </row>
    <row r="28" spans="1:15" x14ac:dyDescent="0.3">
      <c r="A28" t="s">
        <v>146</v>
      </c>
      <c r="B28" t="s">
        <v>147</v>
      </c>
      <c r="C28" t="s">
        <v>148</v>
      </c>
      <c r="D28" t="s">
        <v>37</v>
      </c>
      <c r="E28" t="s">
        <v>67</v>
      </c>
      <c r="F28" t="s">
        <v>68</v>
      </c>
      <c r="G28">
        <v>33</v>
      </c>
      <c r="H28">
        <v>28.96</v>
      </c>
      <c r="I28">
        <v>955.68</v>
      </c>
      <c r="J28">
        <v>49.07</v>
      </c>
      <c r="K28">
        <v>164.11</v>
      </c>
      <c r="L28" t="s">
        <v>33</v>
      </c>
      <c r="M28" t="s">
        <v>25</v>
      </c>
      <c r="N28" t="s">
        <v>35</v>
      </c>
      <c r="O28" s="5">
        <f t="shared" si="0"/>
        <v>0.17172065963502431</v>
      </c>
    </row>
    <row r="29" spans="1:15" x14ac:dyDescent="0.3">
      <c r="A29" t="s">
        <v>149</v>
      </c>
      <c r="B29" t="s">
        <v>150</v>
      </c>
      <c r="C29" t="s">
        <v>151</v>
      </c>
      <c r="D29" t="s">
        <v>55</v>
      </c>
      <c r="E29" t="s">
        <v>67</v>
      </c>
      <c r="F29" t="s">
        <v>68</v>
      </c>
      <c r="G29">
        <v>31</v>
      </c>
      <c r="H29">
        <v>35.020000000000003</v>
      </c>
      <c r="I29">
        <v>1085.6199999999999</v>
      </c>
      <c r="J29">
        <v>74.650000000000006</v>
      </c>
      <c r="K29">
        <v>313.47000000000003</v>
      </c>
      <c r="L29" t="s">
        <v>48</v>
      </c>
      <c r="M29" t="s">
        <v>25</v>
      </c>
      <c r="N29" t="s">
        <v>98</v>
      </c>
      <c r="O29" s="5">
        <f t="shared" si="0"/>
        <v>0.2887474438569666</v>
      </c>
    </row>
    <row r="30" spans="1:15" x14ac:dyDescent="0.3">
      <c r="A30" t="s">
        <v>152</v>
      </c>
      <c r="B30" t="s">
        <v>153</v>
      </c>
      <c r="C30" t="s">
        <v>154</v>
      </c>
      <c r="D30" t="s">
        <v>55</v>
      </c>
      <c r="E30" t="s">
        <v>63</v>
      </c>
      <c r="F30" t="s">
        <v>47</v>
      </c>
      <c r="G30">
        <v>25</v>
      </c>
      <c r="H30">
        <v>31.57</v>
      </c>
      <c r="I30">
        <v>789.25</v>
      </c>
      <c r="J30">
        <v>56.47</v>
      </c>
      <c r="K30">
        <v>232.78</v>
      </c>
      <c r="L30" t="s">
        <v>33</v>
      </c>
      <c r="M30" t="s">
        <v>34</v>
      </c>
      <c r="N30" t="s">
        <v>98</v>
      </c>
      <c r="O30" s="5">
        <f t="shared" si="0"/>
        <v>0.29493823249920809</v>
      </c>
    </row>
    <row r="31" spans="1:15" x14ac:dyDescent="0.3">
      <c r="A31" t="s">
        <v>155</v>
      </c>
      <c r="B31" t="s">
        <v>156</v>
      </c>
      <c r="C31" t="s">
        <v>157</v>
      </c>
      <c r="D31" t="s">
        <v>37</v>
      </c>
      <c r="E31" t="s">
        <v>81</v>
      </c>
      <c r="F31" t="s">
        <v>68</v>
      </c>
      <c r="G31">
        <v>14</v>
      </c>
      <c r="H31">
        <v>27.08</v>
      </c>
      <c r="I31">
        <v>379.12</v>
      </c>
      <c r="J31">
        <v>11.12</v>
      </c>
      <c r="K31">
        <v>151</v>
      </c>
      <c r="L31" t="s">
        <v>33</v>
      </c>
      <c r="M31" t="s">
        <v>41</v>
      </c>
      <c r="N31" t="s">
        <v>35</v>
      </c>
      <c r="O31" s="5">
        <f t="shared" si="0"/>
        <v>0.39829077864528378</v>
      </c>
    </row>
    <row r="32" spans="1:15" x14ac:dyDescent="0.3">
      <c r="A32" t="s">
        <v>158</v>
      </c>
      <c r="B32" t="s">
        <v>159</v>
      </c>
      <c r="C32" t="s">
        <v>44</v>
      </c>
      <c r="D32" t="s">
        <v>37</v>
      </c>
      <c r="E32" t="s">
        <v>137</v>
      </c>
      <c r="F32" t="s">
        <v>68</v>
      </c>
      <c r="G32">
        <v>39</v>
      </c>
      <c r="H32">
        <v>35.32</v>
      </c>
      <c r="I32">
        <v>1377.48</v>
      </c>
      <c r="J32">
        <v>63.72</v>
      </c>
      <c r="K32">
        <v>221.76</v>
      </c>
      <c r="L32" t="s">
        <v>33</v>
      </c>
      <c r="M32" t="s">
        <v>34</v>
      </c>
      <c r="N32" t="s">
        <v>35</v>
      </c>
      <c r="O32" s="5">
        <f t="shared" si="0"/>
        <v>0.16098963324331386</v>
      </c>
    </row>
    <row r="33" spans="1:15" x14ac:dyDescent="0.3">
      <c r="A33" t="s">
        <v>160</v>
      </c>
      <c r="B33" t="s">
        <v>161</v>
      </c>
      <c r="C33" t="s">
        <v>162</v>
      </c>
      <c r="D33" t="s">
        <v>51</v>
      </c>
      <c r="E33" t="s">
        <v>67</v>
      </c>
      <c r="F33" t="s">
        <v>68</v>
      </c>
      <c r="G33">
        <v>6</v>
      </c>
      <c r="H33">
        <v>39.630000000000003</v>
      </c>
      <c r="I33">
        <v>237.78</v>
      </c>
      <c r="J33">
        <v>8.08</v>
      </c>
      <c r="K33">
        <v>94.7</v>
      </c>
      <c r="L33" t="s">
        <v>24</v>
      </c>
      <c r="M33" t="s">
        <v>41</v>
      </c>
      <c r="N33" t="s">
        <v>76</v>
      </c>
      <c r="O33" s="5">
        <f t="shared" si="0"/>
        <v>0.39826730591302884</v>
      </c>
    </row>
    <row r="34" spans="1:15" x14ac:dyDescent="0.3">
      <c r="A34" t="s">
        <v>163</v>
      </c>
      <c r="B34" t="s">
        <v>164</v>
      </c>
      <c r="C34" t="s">
        <v>165</v>
      </c>
      <c r="D34" t="s">
        <v>141</v>
      </c>
      <c r="E34" t="s">
        <v>56</v>
      </c>
      <c r="F34" t="s">
        <v>57</v>
      </c>
      <c r="G34">
        <v>36</v>
      </c>
      <c r="H34">
        <v>68.400000000000006</v>
      </c>
      <c r="I34">
        <v>2462.4</v>
      </c>
      <c r="J34">
        <v>150.83000000000001</v>
      </c>
      <c r="K34">
        <v>871.57</v>
      </c>
      <c r="L34" t="s">
        <v>33</v>
      </c>
      <c r="M34" t="s">
        <v>25</v>
      </c>
      <c r="N34" t="s">
        <v>142</v>
      </c>
      <c r="O34" s="5">
        <f t="shared" si="0"/>
        <v>0.35395142949967512</v>
      </c>
    </row>
    <row r="35" spans="1:15" x14ac:dyDescent="0.3">
      <c r="A35" t="s">
        <v>166</v>
      </c>
      <c r="B35" t="s">
        <v>167</v>
      </c>
      <c r="C35" t="s">
        <v>126</v>
      </c>
      <c r="D35" t="s">
        <v>37</v>
      </c>
      <c r="E35" t="s">
        <v>74</v>
      </c>
      <c r="F35" t="s">
        <v>75</v>
      </c>
      <c r="G35">
        <v>1</v>
      </c>
      <c r="H35">
        <v>44.98</v>
      </c>
      <c r="I35">
        <v>44.98</v>
      </c>
      <c r="J35">
        <v>2.81</v>
      </c>
      <c r="K35">
        <v>17.170000000000002</v>
      </c>
      <c r="L35" t="s">
        <v>33</v>
      </c>
      <c r="M35" t="s">
        <v>34</v>
      </c>
      <c r="N35" t="s">
        <v>35</v>
      </c>
      <c r="O35" s="5">
        <f t="shared" si="0"/>
        <v>0.38172521120498004</v>
      </c>
    </row>
    <row r="36" spans="1:15" x14ac:dyDescent="0.3">
      <c r="A36" t="s">
        <v>168</v>
      </c>
      <c r="B36" t="s">
        <v>169</v>
      </c>
      <c r="C36" t="s">
        <v>170</v>
      </c>
      <c r="D36" t="s">
        <v>171</v>
      </c>
      <c r="E36" t="s">
        <v>137</v>
      </c>
      <c r="F36" t="s">
        <v>68</v>
      </c>
      <c r="G36">
        <v>3</v>
      </c>
      <c r="H36">
        <v>37.74</v>
      </c>
      <c r="I36">
        <v>113.22</v>
      </c>
      <c r="J36">
        <v>4.04</v>
      </c>
      <c r="K36">
        <v>25.18</v>
      </c>
      <c r="L36" t="s">
        <v>33</v>
      </c>
      <c r="M36" t="s">
        <v>34</v>
      </c>
      <c r="N36" t="s">
        <v>35</v>
      </c>
      <c r="O36" s="5">
        <f t="shared" si="0"/>
        <v>0.22239886945769299</v>
      </c>
    </row>
    <row r="37" spans="1:15" x14ac:dyDescent="0.3">
      <c r="A37" t="s">
        <v>172</v>
      </c>
      <c r="B37" t="s">
        <v>173</v>
      </c>
      <c r="C37" t="s">
        <v>174</v>
      </c>
      <c r="D37" t="s">
        <v>171</v>
      </c>
      <c r="E37" t="s">
        <v>74</v>
      </c>
      <c r="F37" t="s">
        <v>75</v>
      </c>
      <c r="G37">
        <v>12</v>
      </c>
      <c r="H37">
        <v>39.799999999999997</v>
      </c>
      <c r="I37">
        <v>477.6</v>
      </c>
      <c r="J37">
        <v>20.54</v>
      </c>
      <c r="K37">
        <v>157.06</v>
      </c>
      <c r="L37" t="s">
        <v>48</v>
      </c>
      <c r="M37" t="s">
        <v>34</v>
      </c>
      <c r="N37" t="s">
        <v>35</v>
      </c>
      <c r="O37" s="5">
        <f t="shared" si="0"/>
        <v>0.32885259631490787</v>
      </c>
    </row>
    <row r="38" spans="1:15" x14ac:dyDescent="0.3">
      <c r="A38" t="s">
        <v>175</v>
      </c>
      <c r="B38" t="s">
        <v>176</v>
      </c>
      <c r="C38" t="s">
        <v>177</v>
      </c>
      <c r="D38" t="s">
        <v>51</v>
      </c>
      <c r="E38" t="s">
        <v>46</v>
      </c>
      <c r="F38" t="s">
        <v>47</v>
      </c>
      <c r="G38">
        <v>26</v>
      </c>
      <c r="H38">
        <v>43.23</v>
      </c>
      <c r="I38">
        <v>1123.98</v>
      </c>
      <c r="J38">
        <v>57.2</v>
      </c>
      <c r="K38">
        <v>234.78</v>
      </c>
      <c r="L38" t="s">
        <v>33</v>
      </c>
      <c r="M38" t="s">
        <v>41</v>
      </c>
      <c r="N38" t="s">
        <v>76</v>
      </c>
      <c r="O38" s="5">
        <f t="shared" si="0"/>
        <v>0.20888272033310201</v>
      </c>
    </row>
    <row r="39" spans="1:15" x14ac:dyDescent="0.3">
      <c r="A39" t="s">
        <v>178</v>
      </c>
      <c r="B39" t="s">
        <v>179</v>
      </c>
      <c r="C39" t="s">
        <v>44</v>
      </c>
      <c r="D39" t="s">
        <v>37</v>
      </c>
      <c r="E39" t="s">
        <v>56</v>
      </c>
      <c r="F39" t="s">
        <v>57</v>
      </c>
      <c r="G39">
        <v>17</v>
      </c>
      <c r="H39">
        <v>66.34</v>
      </c>
      <c r="I39">
        <v>1127.78</v>
      </c>
      <c r="J39">
        <v>81.150000000000006</v>
      </c>
      <c r="K39">
        <v>366.63</v>
      </c>
      <c r="L39" t="s">
        <v>33</v>
      </c>
      <c r="M39" t="s">
        <v>41</v>
      </c>
      <c r="N39" t="s">
        <v>35</v>
      </c>
      <c r="O39" s="5">
        <f t="shared" si="0"/>
        <v>0.32508999982266046</v>
      </c>
    </row>
    <row r="40" spans="1:15" x14ac:dyDescent="0.3">
      <c r="A40" t="s">
        <v>180</v>
      </c>
      <c r="B40" t="s">
        <v>181</v>
      </c>
      <c r="C40" t="s">
        <v>182</v>
      </c>
      <c r="D40" t="s">
        <v>116</v>
      </c>
      <c r="E40" t="s">
        <v>74</v>
      </c>
      <c r="F40" t="s">
        <v>75</v>
      </c>
      <c r="G40">
        <v>4</v>
      </c>
      <c r="H40">
        <v>33.869999999999997</v>
      </c>
      <c r="I40">
        <v>135.47999999999999</v>
      </c>
      <c r="J40">
        <v>6.59</v>
      </c>
      <c r="K40">
        <v>28.89</v>
      </c>
      <c r="L40" t="s">
        <v>24</v>
      </c>
      <c r="M40" t="s">
        <v>41</v>
      </c>
      <c r="N40" t="s">
        <v>76</v>
      </c>
      <c r="O40" s="5">
        <f t="shared" si="0"/>
        <v>0.21324180690876884</v>
      </c>
    </row>
    <row r="41" spans="1:15" x14ac:dyDescent="0.3">
      <c r="A41" t="s">
        <v>183</v>
      </c>
      <c r="B41" t="s">
        <v>184</v>
      </c>
      <c r="C41" t="s">
        <v>185</v>
      </c>
      <c r="D41" t="s">
        <v>37</v>
      </c>
      <c r="E41" t="s">
        <v>56</v>
      </c>
      <c r="F41" t="s">
        <v>57</v>
      </c>
      <c r="G41">
        <v>10</v>
      </c>
      <c r="H41">
        <v>64.650000000000006</v>
      </c>
      <c r="I41">
        <v>646.5</v>
      </c>
      <c r="J41">
        <v>17.89</v>
      </c>
      <c r="K41">
        <v>228.61</v>
      </c>
      <c r="L41" t="s">
        <v>48</v>
      </c>
      <c r="M41" t="s">
        <v>25</v>
      </c>
      <c r="N41" t="s">
        <v>35</v>
      </c>
      <c r="O41" s="5">
        <f t="shared" si="0"/>
        <v>0.35361175560711527</v>
      </c>
    </row>
    <row r="42" spans="1:15" x14ac:dyDescent="0.3">
      <c r="A42" t="s">
        <v>186</v>
      </c>
      <c r="B42" t="s">
        <v>187</v>
      </c>
      <c r="C42" t="s">
        <v>188</v>
      </c>
      <c r="D42" t="s">
        <v>141</v>
      </c>
      <c r="E42" t="s">
        <v>67</v>
      </c>
      <c r="F42" t="s">
        <v>68</v>
      </c>
      <c r="G42">
        <v>12</v>
      </c>
      <c r="H42">
        <v>29.56</v>
      </c>
      <c r="I42">
        <v>354.72</v>
      </c>
      <c r="J42">
        <v>21.4</v>
      </c>
      <c r="K42">
        <v>63.32</v>
      </c>
      <c r="L42" t="s">
        <v>33</v>
      </c>
      <c r="M42" t="s">
        <v>25</v>
      </c>
      <c r="N42" t="s">
        <v>142</v>
      </c>
      <c r="O42" s="5">
        <f t="shared" si="0"/>
        <v>0.17850699142986015</v>
      </c>
    </row>
    <row r="43" spans="1:15" x14ac:dyDescent="0.3">
      <c r="A43" t="s">
        <v>189</v>
      </c>
      <c r="B43" t="s">
        <v>190</v>
      </c>
      <c r="C43" t="s">
        <v>191</v>
      </c>
      <c r="D43" t="s">
        <v>21</v>
      </c>
      <c r="E43" t="s">
        <v>74</v>
      </c>
      <c r="F43" t="s">
        <v>75</v>
      </c>
      <c r="G43">
        <v>4</v>
      </c>
      <c r="H43">
        <v>35.36</v>
      </c>
      <c r="I43">
        <v>141.44</v>
      </c>
      <c r="J43">
        <v>8.66</v>
      </c>
      <c r="K43">
        <v>32.78</v>
      </c>
      <c r="L43" t="s">
        <v>48</v>
      </c>
      <c r="M43" t="s">
        <v>34</v>
      </c>
      <c r="N43" t="s">
        <v>98</v>
      </c>
      <c r="O43" s="5">
        <f t="shared" si="0"/>
        <v>0.23175904977375567</v>
      </c>
    </row>
    <row r="44" spans="1:15" x14ac:dyDescent="0.3">
      <c r="A44" t="s">
        <v>192</v>
      </c>
      <c r="B44" t="s">
        <v>193</v>
      </c>
      <c r="C44" t="s">
        <v>194</v>
      </c>
      <c r="D44" t="s">
        <v>37</v>
      </c>
      <c r="E44" t="s">
        <v>63</v>
      </c>
      <c r="F44" t="s">
        <v>47</v>
      </c>
      <c r="G44">
        <v>28</v>
      </c>
      <c r="H44">
        <v>31.42</v>
      </c>
      <c r="I44">
        <v>879.76</v>
      </c>
      <c r="J44">
        <v>69.319999999999993</v>
      </c>
      <c r="K44">
        <v>250.44</v>
      </c>
      <c r="L44" t="s">
        <v>24</v>
      </c>
      <c r="M44" t="s">
        <v>41</v>
      </c>
      <c r="N44" t="s">
        <v>35</v>
      </c>
      <c r="O44" s="5">
        <f t="shared" si="0"/>
        <v>0.28466854596708191</v>
      </c>
    </row>
    <row r="45" spans="1:15" x14ac:dyDescent="0.3">
      <c r="A45" t="s">
        <v>195</v>
      </c>
      <c r="B45" t="s">
        <v>196</v>
      </c>
      <c r="C45" t="s">
        <v>197</v>
      </c>
      <c r="D45" t="s">
        <v>21</v>
      </c>
      <c r="E45" t="s">
        <v>22</v>
      </c>
      <c r="F45" t="s">
        <v>23</v>
      </c>
      <c r="G45">
        <v>35</v>
      </c>
      <c r="H45">
        <v>55.12</v>
      </c>
      <c r="I45">
        <v>1929.2</v>
      </c>
      <c r="J45">
        <v>58.22</v>
      </c>
      <c r="K45">
        <v>645.98</v>
      </c>
      <c r="L45" t="s">
        <v>24</v>
      </c>
      <c r="M45" t="s">
        <v>25</v>
      </c>
      <c r="N45" t="s">
        <v>98</v>
      </c>
      <c r="O45" s="5">
        <f t="shared" si="0"/>
        <v>0.3348434584283641</v>
      </c>
    </row>
    <row r="46" spans="1:15" x14ac:dyDescent="0.3">
      <c r="A46" t="s">
        <v>198</v>
      </c>
      <c r="B46" t="s">
        <v>199</v>
      </c>
      <c r="C46" t="s">
        <v>200</v>
      </c>
      <c r="D46" t="s">
        <v>123</v>
      </c>
      <c r="E46" t="s">
        <v>67</v>
      </c>
      <c r="F46" t="s">
        <v>68</v>
      </c>
      <c r="G46">
        <v>41</v>
      </c>
      <c r="H46">
        <v>33.94</v>
      </c>
      <c r="I46">
        <v>1391.54</v>
      </c>
      <c r="J46">
        <v>33.26</v>
      </c>
      <c r="K46">
        <v>435.78</v>
      </c>
      <c r="L46" t="s">
        <v>24</v>
      </c>
      <c r="M46" t="s">
        <v>41</v>
      </c>
      <c r="N46" t="s">
        <v>76</v>
      </c>
      <c r="O46" s="5">
        <f t="shared" si="0"/>
        <v>0.31316383287580662</v>
      </c>
    </row>
    <row r="47" spans="1:15" x14ac:dyDescent="0.3">
      <c r="A47" t="s">
        <v>201</v>
      </c>
      <c r="B47" t="s">
        <v>107</v>
      </c>
      <c r="C47" t="s">
        <v>119</v>
      </c>
      <c r="D47" t="s">
        <v>116</v>
      </c>
      <c r="E47" t="s">
        <v>67</v>
      </c>
      <c r="F47" t="s">
        <v>68</v>
      </c>
      <c r="G47">
        <v>20</v>
      </c>
      <c r="H47">
        <v>38.43</v>
      </c>
      <c r="I47">
        <v>768.6</v>
      </c>
      <c r="J47">
        <v>60.07</v>
      </c>
      <c r="K47">
        <v>258.52999999999997</v>
      </c>
      <c r="L47" t="s">
        <v>48</v>
      </c>
      <c r="M47" t="s">
        <v>41</v>
      </c>
      <c r="N47" t="s">
        <v>76</v>
      </c>
      <c r="O47" s="5">
        <f t="shared" si="0"/>
        <v>0.33636481915170435</v>
      </c>
    </row>
    <row r="48" spans="1:15" x14ac:dyDescent="0.3">
      <c r="A48" t="s">
        <v>202</v>
      </c>
      <c r="B48" t="s">
        <v>203</v>
      </c>
      <c r="C48" t="s">
        <v>122</v>
      </c>
      <c r="D48" t="s">
        <v>45</v>
      </c>
      <c r="E48" t="s">
        <v>74</v>
      </c>
      <c r="F48" t="s">
        <v>75</v>
      </c>
      <c r="G48">
        <v>23</v>
      </c>
      <c r="H48">
        <v>35.07</v>
      </c>
      <c r="I48">
        <v>806.61</v>
      </c>
      <c r="J48">
        <v>21.23</v>
      </c>
      <c r="K48">
        <v>210.38</v>
      </c>
      <c r="L48" t="s">
        <v>24</v>
      </c>
      <c r="M48" t="s">
        <v>41</v>
      </c>
      <c r="N48" t="s">
        <v>49</v>
      </c>
      <c r="O48" s="5">
        <f t="shared" si="0"/>
        <v>0.26081997495691844</v>
      </c>
    </row>
    <row r="49" spans="1:15" x14ac:dyDescent="0.3">
      <c r="A49" t="s">
        <v>204</v>
      </c>
      <c r="B49" t="s">
        <v>205</v>
      </c>
      <c r="C49" t="s">
        <v>113</v>
      </c>
      <c r="D49" t="s">
        <v>206</v>
      </c>
      <c r="E49" t="s">
        <v>56</v>
      </c>
      <c r="F49" t="s">
        <v>57</v>
      </c>
      <c r="G49">
        <v>35</v>
      </c>
      <c r="H49">
        <v>71.44</v>
      </c>
      <c r="I49">
        <v>2500.4</v>
      </c>
      <c r="J49">
        <v>166.81</v>
      </c>
      <c r="K49">
        <v>933.59</v>
      </c>
      <c r="L49" t="s">
        <v>33</v>
      </c>
      <c r="M49" t="s">
        <v>34</v>
      </c>
      <c r="N49" t="s">
        <v>207</v>
      </c>
      <c r="O49" s="5">
        <f t="shared" si="0"/>
        <v>0.37337625979843225</v>
      </c>
    </row>
    <row r="50" spans="1:15" x14ac:dyDescent="0.3">
      <c r="A50" t="s">
        <v>208</v>
      </c>
      <c r="B50" t="s">
        <v>209</v>
      </c>
      <c r="C50" t="s">
        <v>185</v>
      </c>
      <c r="D50" t="s">
        <v>55</v>
      </c>
      <c r="E50" t="s">
        <v>32</v>
      </c>
      <c r="F50" t="s">
        <v>23</v>
      </c>
      <c r="G50">
        <v>11</v>
      </c>
      <c r="H50">
        <v>26.05</v>
      </c>
      <c r="I50">
        <v>286.55</v>
      </c>
      <c r="J50">
        <v>13.39</v>
      </c>
      <c r="K50">
        <v>75.16</v>
      </c>
      <c r="L50" t="s">
        <v>33</v>
      </c>
      <c r="M50" t="s">
        <v>25</v>
      </c>
      <c r="N50" t="s">
        <v>98</v>
      </c>
      <c r="O50" s="5">
        <f t="shared" si="0"/>
        <v>0.26229279357878205</v>
      </c>
    </row>
    <row r="51" spans="1:15" x14ac:dyDescent="0.3">
      <c r="A51" t="s">
        <v>210</v>
      </c>
      <c r="B51" t="s">
        <v>211</v>
      </c>
      <c r="C51" t="s">
        <v>54</v>
      </c>
      <c r="D51" t="s">
        <v>31</v>
      </c>
      <c r="E51" t="s">
        <v>81</v>
      </c>
      <c r="F51" t="s">
        <v>68</v>
      </c>
      <c r="G51">
        <v>46</v>
      </c>
      <c r="H51">
        <v>26.67</v>
      </c>
      <c r="I51">
        <v>1226.82</v>
      </c>
      <c r="J51">
        <v>83.55</v>
      </c>
      <c r="K51">
        <v>430.27</v>
      </c>
      <c r="L51" t="s">
        <v>24</v>
      </c>
      <c r="M51" t="s">
        <v>41</v>
      </c>
      <c r="N51" t="s">
        <v>35</v>
      </c>
      <c r="O51" s="5">
        <f t="shared" si="0"/>
        <v>0.35071974698814823</v>
      </c>
    </row>
    <row r="52" spans="1:15" x14ac:dyDescent="0.3">
      <c r="A52" t="s">
        <v>212</v>
      </c>
      <c r="B52" t="s">
        <v>213</v>
      </c>
      <c r="C52" t="s">
        <v>148</v>
      </c>
      <c r="D52" t="s">
        <v>31</v>
      </c>
      <c r="E52" t="s">
        <v>137</v>
      </c>
      <c r="F52" t="s">
        <v>68</v>
      </c>
      <c r="G52">
        <v>12</v>
      </c>
      <c r="H52">
        <v>42.84</v>
      </c>
      <c r="I52">
        <v>514.08000000000004</v>
      </c>
      <c r="J52">
        <v>22.74</v>
      </c>
      <c r="K52">
        <v>155.34</v>
      </c>
      <c r="L52" t="s">
        <v>48</v>
      </c>
      <c r="M52" t="s">
        <v>25</v>
      </c>
      <c r="N52" t="s">
        <v>35</v>
      </c>
      <c r="O52" s="5">
        <f t="shared" si="0"/>
        <v>0.30217086834733892</v>
      </c>
    </row>
    <row r="53" spans="1:15" x14ac:dyDescent="0.3">
      <c r="A53" t="s">
        <v>214</v>
      </c>
      <c r="B53" t="s">
        <v>215</v>
      </c>
      <c r="C53" t="s">
        <v>216</v>
      </c>
      <c r="D53" t="s">
        <v>116</v>
      </c>
      <c r="E53" t="s">
        <v>32</v>
      </c>
      <c r="F53" t="s">
        <v>23</v>
      </c>
      <c r="G53">
        <v>18</v>
      </c>
      <c r="H53">
        <v>30.89</v>
      </c>
      <c r="I53">
        <v>556.02</v>
      </c>
      <c r="J53">
        <v>12</v>
      </c>
      <c r="K53">
        <v>220.02</v>
      </c>
      <c r="L53" t="s">
        <v>33</v>
      </c>
      <c r="M53" t="s">
        <v>25</v>
      </c>
      <c r="N53" t="s">
        <v>76</v>
      </c>
      <c r="O53" s="5">
        <f t="shared" si="0"/>
        <v>0.39570519046077485</v>
      </c>
    </row>
    <row r="54" spans="1:15" x14ac:dyDescent="0.3">
      <c r="A54" t="s">
        <v>217</v>
      </c>
      <c r="B54" t="s">
        <v>218</v>
      </c>
      <c r="C54" t="s">
        <v>219</v>
      </c>
      <c r="D54" t="s">
        <v>55</v>
      </c>
      <c r="E54" t="s">
        <v>22</v>
      </c>
      <c r="F54" t="s">
        <v>23</v>
      </c>
      <c r="G54">
        <v>21</v>
      </c>
      <c r="H54">
        <v>52.41</v>
      </c>
      <c r="I54">
        <v>1100.6099999999999</v>
      </c>
      <c r="J54">
        <v>81.099999999999994</v>
      </c>
      <c r="K54">
        <v>284.51</v>
      </c>
      <c r="L54" t="s">
        <v>48</v>
      </c>
      <c r="M54" t="s">
        <v>34</v>
      </c>
      <c r="N54" t="s">
        <v>98</v>
      </c>
      <c r="O54" s="5">
        <f t="shared" si="0"/>
        <v>0.25850210337903529</v>
      </c>
    </row>
    <row r="55" spans="1:15" x14ac:dyDescent="0.3">
      <c r="A55" t="s">
        <v>220</v>
      </c>
      <c r="B55" t="s">
        <v>221</v>
      </c>
      <c r="C55" t="s">
        <v>222</v>
      </c>
      <c r="D55" t="s">
        <v>206</v>
      </c>
      <c r="E55" t="s">
        <v>137</v>
      </c>
      <c r="F55" t="s">
        <v>68</v>
      </c>
      <c r="G55">
        <v>17</v>
      </c>
      <c r="H55">
        <v>38.64</v>
      </c>
      <c r="I55">
        <v>656.88</v>
      </c>
      <c r="J55">
        <v>13.86</v>
      </c>
      <c r="K55">
        <v>167.02</v>
      </c>
      <c r="L55" t="s">
        <v>33</v>
      </c>
      <c r="M55" t="s">
        <v>25</v>
      </c>
      <c r="N55" t="s">
        <v>207</v>
      </c>
      <c r="O55" s="5">
        <f t="shared" si="0"/>
        <v>0.25426257459505541</v>
      </c>
    </row>
    <row r="56" spans="1:15" x14ac:dyDescent="0.3">
      <c r="A56" t="s">
        <v>223</v>
      </c>
      <c r="B56" t="s">
        <v>224</v>
      </c>
      <c r="C56" t="s">
        <v>191</v>
      </c>
      <c r="D56" t="s">
        <v>127</v>
      </c>
      <c r="E56" t="s">
        <v>32</v>
      </c>
      <c r="F56" t="s">
        <v>23</v>
      </c>
      <c r="G56">
        <v>41</v>
      </c>
      <c r="H56">
        <v>25.79</v>
      </c>
      <c r="I56">
        <v>1057.3900000000001</v>
      </c>
      <c r="J56">
        <v>71.22</v>
      </c>
      <c r="K56">
        <v>248.17</v>
      </c>
      <c r="L56" t="s">
        <v>33</v>
      </c>
      <c r="M56" t="s">
        <v>34</v>
      </c>
      <c r="N56" t="s">
        <v>76</v>
      </c>
      <c r="O56" s="5">
        <f t="shared" si="0"/>
        <v>0.23470053622599038</v>
      </c>
    </row>
    <row r="57" spans="1:15" x14ac:dyDescent="0.3">
      <c r="A57" t="s">
        <v>225</v>
      </c>
      <c r="B57" t="s">
        <v>226</v>
      </c>
      <c r="C57" t="s">
        <v>227</v>
      </c>
      <c r="D57" t="s">
        <v>127</v>
      </c>
      <c r="E57" t="s">
        <v>137</v>
      </c>
      <c r="F57" t="s">
        <v>68</v>
      </c>
      <c r="G57">
        <v>41</v>
      </c>
      <c r="H57">
        <v>41.13</v>
      </c>
      <c r="I57">
        <v>1686.33</v>
      </c>
      <c r="J57">
        <v>80.12</v>
      </c>
      <c r="K57">
        <v>458.21</v>
      </c>
      <c r="L57" t="s">
        <v>33</v>
      </c>
      <c r="M57" t="s">
        <v>41</v>
      </c>
      <c r="N57" t="s">
        <v>76</v>
      </c>
      <c r="O57" s="5">
        <f t="shared" si="0"/>
        <v>0.27172024455474314</v>
      </c>
    </row>
    <row r="58" spans="1:15" x14ac:dyDescent="0.3">
      <c r="A58" t="s">
        <v>228</v>
      </c>
      <c r="B58" t="s">
        <v>229</v>
      </c>
      <c r="C58" t="s">
        <v>113</v>
      </c>
      <c r="D58" t="s">
        <v>51</v>
      </c>
      <c r="E58" t="s">
        <v>56</v>
      </c>
      <c r="F58" t="s">
        <v>57</v>
      </c>
      <c r="G58">
        <v>33</v>
      </c>
      <c r="H58">
        <v>55.67</v>
      </c>
      <c r="I58">
        <v>1837.11</v>
      </c>
      <c r="J58">
        <v>144.32</v>
      </c>
      <c r="K58">
        <v>372.79</v>
      </c>
      <c r="L58" t="s">
        <v>24</v>
      </c>
      <c r="M58" t="s">
        <v>25</v>
      </c>
      <c r="N58" t="s">
        <v>76</v>
      </c>
      <c r="O58" s="5">
        <f t="shared" si="0"/>
        <v>0.2029219807197174</v>
      </c>
    </row>
    <row r="59" spans="1:15" x14ac:dyDescent="0.3">
      <c r="A59" t="s">
        <v>230</v>
      </c>
      <c r="B59" t="s">
        <v>231</v>
      </c>
      <c r="C59" t="s">
        <v>232</v>
      </c>
      <c r="D59" t="s">
        <v>127</v>
      </c>
      <c r="E59" t="s">
        <v>56</v>
      </c>
      <c r="F59" t="s">
        <v>57</v>
      </c>
      <c r="G59">
        <v>18</v>
      </c>
      <c r="H59">
        <v>50.87</v>
      </c>
      <c r="I59">
        <v>915.66</v>
      </c>
      <c r="J59">
        <v>49.93</v>
      </c>
      <c r="K59">
        <v>145.72999999999999</v>
      </c>
      <c r="L59" t="s">
        <v>24</v>
      </c>
      <c r="M59" t="s">
        <v>34</v>
      </c>
      <c r="N59" t="s">
        <v>76</v>
      </c>
      <c r="O59" s="5">
        <f t="shared" si="0"/>
        <v>0.15915296070593887</v>
      </c>
    </row>
    <row r="60" spans="1:15" x14ac:dyDescent="0.3">
      <c r="A60" t="s">
        <v>233</v>
      </c>
      <c r="B60" t="s">
        <v>234</v>
      </c>
      <c r="C60" t="s">
        <v>235</v>
      </c>
      <c r="D60" t="s">
        <v>141</v>
      </c>
      <c r="E60" t="s">
        <v>81</v>
      </c>
      <c r="F60" t="s">
        <v>68</v>
      </c>
      <c r="G60">
        <v>14</v>
      </c>
      <c r="H60">
        <v>26.7</v>
      </c>
      <c r="I60">
        <v>373.8</v>
      </c>
      <c r="J60">
        <v>11.84</v>
      </c>
      <c r="K60">
        <v>144.96</v>
      </c>
      <c r="L60" t="s">
        <v>48</v>
      </c>
      <c r="M60" t="s">
        <v>25</v>
      </c>
      <c r="N60" t="s">
        <v>142</v>
      </c>
      <c r="O60" s="5">
        <f t="shared" si="0"/>
        <v>0.38780096308186196</v>
      </c>
    </row>
    <row r="61" spans="1:15" x14ac:dyDescent="0.3">
      <c r="A61" t="s">
        <v>236</v>
      </c>
      <c r="B61" t="s">
        <v>237</v>
      </c>
      <c r="C61" t="s">
        <v>238</v>
      </c>
      <c r="D61" t="s">
        <v>21</v>
      </c>
      <c r="E61" t="s">
        <v>32</v>
      </c>
      <c r="F61" t="s">
        <v>23</v>
      </c>
      <c r="G61">
        <v>16</v>
      </c>
      <c r="H61">
        <v>28.96</v>
      </c>
      <c r="I61">
        <v>463.36</v>
      </c>
      <c r="J61">
        <v>35.65</v>
      </c>
      <c r="K61">
        <v>139.71</v>
      </c>
      <c r="L61" t="s">
        <v>24</v>
      </c>
      <c r="M61" t="s">
        <v>41</v>
      </c>
      <c r="N61" t="s">
        <v>98</v>
      </c>
      <c r="O61" s="5">
        <f t="shared" si="0"/>
        <v>0.30151502071823205</v>
      </c>
    </row>
    <row r="62" spans="1:15" x14ac:dyDescent="0.3">
      <c r="A62" t="s">
        <v>239</v>
      </c>
      <c r="B62" t="s">
        <v>240</v>
      </c>
      <c r="C62" t="s">
        <v>113</v>
      </c>
      <c r="D62" t="s">
        <v>241</v>
      </c>
      <c r="E62" t="s">
        <v>32</v>
      </c>
      <c r="F62" t="s">
        <v>23</v>
      </c>
      <c r="G62">
        <v>47</v>
      </c>
      <c r="H62">
        <v>23.03</v>
      </c>
      <c r="I62">
        <v>1082.4100000000001</v>
      </c>
      <c r="J62">
        <v>50.12</v>
      </c>
      <c r="K62">
        <v>186.29</v>
      </c>
      <c r="L62" t="s">
        <v>48</v>
      </c>
      <c r="M62" t="s">
        <v>25</v>
      </c>
      <c r="N62" t="s">
        <v>35</v>
      </c>
      <c r="O62" s="5">
        <f t="shared" si="0"/>
        <v>0.1721066878539555</v>
      </c>
    </row>
    <row r="63" spans="1:15" x14ac:dyDescent="0.3">
      <c r="A63" t="s">
        <v>242</v>
      </c>
      <c r="B63" t="s">
        <v>243</v>
      </c>
      <c r="C63" t="s">
        <v>238</v>
      </c>
      <c r="D63" t="s">
        <v>206</v>
      </c>
      <c r="E63" t="s">
        <v>22</v>
      </c>
      <c r="F63" t="s">
        <v>23</v>
      </c>
      <c r="G63">
        <v>18</v>
      </c>
      <c r="H63">
        <v>50.03</v>
      </c>
      <c r="I63">
        <v>900.54</v>
      </c>
      <c r="J63">
        <v>68.44</v>
      </c>
      <c r="K63">
        <v>202.1</v>
      </c>
      <c r="L63" t="s">
        <v>48</v>
      </c>
      <c r="M63" t="s">
        <v>25</v>
      </c>
      <c r="N63" t="s">
        <v>207</v>
      </c>
      <c r="O63" s="5">
        <f t="shared" si="0"/>
        <v>0.22442090301374731</v>
      </c>
    </row>
    <row r="64" spans="1:15" x14ac:dyDescent="0.3">
      <c r="A64" t="s">
        <v>244</v>
      </c>
      <c r="B64" t="s">
        <v>245</v>
      </c>
      <c r="C64" t="s">
        <v>246</v>
      </c>
      <c r="D64" t="s">
        <v>31</v>
      </c>
      <c r="E64" t="s">
        <v>74</v>
      </c>
      <c r="F64" t="s">
        <v>75</v>
      </c>
      <c r="G64">
        <v>38</v>
      </c>
      <c r="H64">
        <v>32.07</v>
      </c>
      <c r="I64">
        <v>1218.6600000000001</v>
      </c>
      <c r="J64">
        <v>54.49</v>
      </c>
      <c r="K64">
        <v>214.17</v>
      </c>
      <c r="L64" t="s">
        <v>48</v>
      </c>
      <c r="M64" t="s">
        <v>41</v>
      </c>
      <c r="N64" t="s">
        <v>35</v>
      </c>
      <c r="O64" s="5">
        <f t="shared" si="0"/>
        <v>0.17574220865540838</v>
      </c>
    </row>
    <row r="65" spans="1:15" x14ac:dyDescent="0.3">
      <c r="A65" t="s">
        <v>247</v>
      </c>
      <c r="B65" t="s">
        <v>248</v>
      </c>
      <c r="C65" t="s">
        <v>249</v>
      </c>
      <c r="D65" t="s">
        <v>45</v>
      </c>
      <c r="E65" t="s">
        <v>46</v>
      </c>
      <c r="F65" t="s">
        <v>47</v>
      </c>
      <c r="G65">
        <v>23</v>
      </c>
      <c r="H65">
        <v>50.96</v>
      </c>
      <c r="I65">
        <v>1172.08</v>
      </c>
      <c r="J65">
        <v>61</v>
      </c>
      <c r="K65">
        <v>375.08</v>
      </c>
      <c r="L65" t="s">
        <v>48</v>
      </c>
      <c r="M65" t="s">
        <v>34</v>
      </c>
      <c r="N65" t="s">
        <v>49</v>
      </c>
      <c r="O65" s="5">
        <f t="shared" si="0"/>
        <v>0.32001228585079516</v>
      </c>
    </row>
    <row r="66" spans="1:15" x14ac:dyDescent="0.3">
      <c r="A66" t="s">
        <v>250</v>
      </c>
      <c r="B66" t="s">
        <v>251</v>
      </c>
      <c r="C66" t="s">
        <v>252</v>
      </c>
      <c r="D66" t="s">
        <v>127</v>
      </c>
      <c r="E66" t="s">
        <v>56</v>
      </c>
      <c r="F66" t="s">
        <v>57</v>
      </c>
      <c r="G66">
        <v>46</v>
      </c>
      <c r="H66">
        <v>70.599999999999994</v>
      </c>
      <c r="I66">
        <v>3247.6</v>
      </c>
      <c r="J66">
        <v>166.91</v>
      </c>
      <c r="K66">
        <v>1240.69</v>
      </c>
      <c r="L66" t="s">
        <v>48</v>
      </c>
      <c r="M66" t="s">
        <v>34</v>
      </c>
      <c r="N66" t="s">
        <v>76</v>
      </c>
      <c r="O66" s="5">
        <f t="shared" si="0"/>
        <v>0.3820328858233773</v>
      </c>
    </row>
    <row r="67" spans="1:15" x14ac:dyDescent="0.3">
      <c r="A67" t="s">
        <v>253</v>
      </c>
      <c r="B67" t="s">
        <v>254</v>
      </c>
      <c r="C67" t="s">
        <v>148</v>
      </c>
      <c r="D67" t="s">
        <v>127</v>
      </c>
      <c r="E67" t="s">
        <v>56</v>
      </c>
      <c r="F67" t="s">
        <v>57</v>
      </c>
      <c r="G67">
        <v>15</v>
      </c>
      <c r="H67">
        <v>53.36</v>
      </c>
      <c r="I67">
        <v>800.4</v>
      </c>
      <c r="J67">
        <v>56.29</v>
      </c>
      <c r="K67">
        <v>144.11000000000001</v>
      </c>
      <c r="L67" t="s">
        <v>24</v>
      </c>
      <c r="M67" t="s">
        <v>25</v>
      </c>
      <c r="N67" t="s">
        <v>76</v>
      </c>
      <c r="O67" s="5">
        <f t="shared" si="0"/>
        <v>0.18004747626186909</v>
      </c>
    </row>
    <row r="68" spans="1:15" x14ac:dyDescent="0.3">
      <c r="A68" t="s">
        <v>255</v>
      </c>
      <c r="B68" t="s">
        <v>256</v>
      </c>
      <c r="C68" t="s">
        <v>257</v>
      </c>
      <c r="D68" t="s">
        <v>206</v>
      </c>
      <c r="E68" t="s">
        <v>46</v>
      </c>
      <c r="F68" t="s">
        <v>47</v>
      </c>
      <c r="G68">
        <v>42</v>
      </c>
      <c r="H68">
        <v>39.840000000000003</v>
      </c>
      <c r="I68">
        <v>1673.28</v>
      </c>
      <c r="J68">
        <v>132.74</v>
      </c>
      <c r="K68">
        <v>196.54</v>
      </c>
      <c r="L68" t="s">
        <v>24</v>
      </c>
      <c r="M68" t="s">
        <v>41</v>
      </c>
      <c r="N68" t="s">
        <v>207</v>
      </c>
      <c r="O68" s="5">
        <f t="shared" si="0"/>
        <v>0.11745792694587875</v>
      </c>
    </row>
    <row r="69" spans="1:15" x14ac:dyDescent="0.3">
      <c r="A69" t="s">
        <v>258</v>
      </c>
      <c r="B69" t="s">
        <v>259</v>
      </c>
      <c r="C69" t="s">
        <v>232</v>
      </c>
      <c r="D69" t="s">
        <v>127</v>
      </c>
      <c r="E69" t="s">
        <v>74</v>
      </c>
      <c r="F69" t="s">
        <v>75</v>
      </c>
      <c r="G69">
        <v>31</v>
      </c>
      <c r="H69">
        <v>38.26</v>
      </c>
      <c r="I69">
        <v>1186.06</v>
      </c>
      <c r="J69">
        <v>69.33</v>
      </c>
      <c r="K69">
        <v>341.73</v>
      </c>
      <c r="L69" t="s">
        <v>33</v>
      </c>
      <c r="M69" t="s">
        <v>25</v>
      </c>
      <c r="N69" t="s">
        <v>76</v>
      </c>
      <c r="O69" s="5">
        <f t="shared" si="0"/>
        <v>0.28812201743588017</v>
      </c>
    </row>
    <row r="70" spans="1:15" x14ac:dyDescent="0.3">
      <c r="A70" t="s">
        <v>260</v>
      </c>
      <c r="B70" t="s">
        <v>261</v>
      </c>
      <c r="C70" t="s">
        <v>235</v>
      </c>
      <c r="D70" t="s">
        <v>171</v>
      </c>
      <c r="E70" t="s">
        <v>81</v>
      </c>
      <c r="F70" t="s">
        <v>68</v>
      </c>
      <c r="G70">
        <v>2</v>
      </c>
      <c r="H70">
        <v>23.09</v>
      </c>
      <c r="I70">
        <v>46.18</v>
      </c>
      <c r="J70">
        <v>2.52</v>
      </c>
      <c r="K70">
        <v>12.66</v>
      </c>
      <c r="L70" t="s">
        <v>33</v>
      </c>
      <c r="M70" t="s">
        <v>34</v>
      </c>
      <c r="N70" t="s">
        <v>35</v>
      </c>
      <c r="O70" s="5">
        <f t="shared" si="0"/>
        <v>0.27414465136422694</v>
      </c>
    </row>
    <row r="71" spans="1:15" x14ac:dyDescent="0.3">
      <c r="A71" t="s">
        <v>262</v>
      </c>
      <c r="B71" t="s">
        <v>263</v>
      </c>
      <c r="C71" t="s">
        <v>66</v>
      </c>
      <c r="D71" t="s">
        <v>123</v>
      </c>
      <c r="E71" t="s">
        <v>46</v>
      </c>
      <c r="F71" t="s">
        <v>47</v>
      </c>
      <c r="G71">
        <v>40</v>
      </c>
      <c r="H71">
        <v>46.81</v>
      </c>
      <c r="I71">
        <v>1872.4</v>
      </c>
      <c r="J71">
        <v>43.01</v>
      </c>
      <c r="K71">
        <v>549.39</v>
      </c>
      <c r="L71" t="s">
        <v>24</v>
      </c>
      <c r="M71" t="s">
        <v>41</v>
      </c>
      <c r="N71" t="s">
        <v>76</v>
      </c>
      <c r="O71" s="5">
        <f t="shared" ref="O71:O134" si="1">K71/I71</f>
        <v>0.29341486861781668</v>
      </c>
    </row>
    <row r="72" spans="1:15" x14ac:dyDescent="0.3">
      <c r="A72" t="s">
        <v>264</v>
      </c>
      <c r="B72" t="s">
        <v>265</v>
      </c>
      <c r="C72" t="s">
        <v>266</v>
      </c>
      <c r="D72" t="s">
        <v>51</v>
      </c>
      <c r="E72" t="s">
        <v>46</v>
      </c>
      <c r="F72" t="s">
        <v>47</v>
      </c>
      <c r="G72">
        <v>43</v>
      </c>
      <c r="H72">
        <v>57.01</v>
      </c>
      <c r="I72">
        <v>2451.4299999999998</v>
      </c>
      <c r="J72">
        <v>115.04</v>
      </c>
      <c r="K72">
        <v>960.39</v>
      </c>
      <c r="L72" t="s">
        <v>33</v>
      </c>
      <c r="M72" t="s">
        <v>25</v>
      </c>
      <c r="N72" t="s">
        <v>76</v>
      </c>
      <c r="O72" s="5">
        <f t="shared" si="1"/>
        <v>0.39176725421488684</v>
      </c>
    </row>
    <row r="73" spans="1:15" x14ac:dyDescent="0.3">
      <c r="A73" t="s">
        <v>267</v>
      </c>
      <c r="B73" t="s">
        <v>268</v>
      </c>
      <c r="C73" t="s">
        <v>269</v>
      </c>
      <c r="D73" t="s">
        <v>62</v>
      </c>
      <c r="E73" t="s">
        <v>86</v>
      </c>
      <c r="F73" t="s">
        <v>47</v>
      </c>
      <c r="G73">
        <v>15</v>
      </c>
      <c r="H73">
        <v>22.23</v>
      </c>
      <c r="I73">
        <v>333.45</v>
      </c>
      <c r="J73">
        <v>16.89</v>
      </c>
      <c r="K73">
        <v>125.31</v>
      </c>
      <c r="L73" t="s">
        <v>48</v>
      </c>
      <c r="M73" t="s">
        <v>34</v>
      </c>
      <c r="N73" t="s">
        <v>98</v>
      </c>
      <c r="O73" s="5">
        <f t="shared" si="1"/>
        <v>0.37579847053531268</v>
      </c>
    </row>
    <row r="74" spans="1:15" x14ac:dyDescent="0.3">
      <c r="A74" t="s">
        <v>270</v>
      </c>
      <c r="B74" t="s">
        <v>271</v>
      </c>
      <c r="C74" t="s">
        <v>272</v>
      </c>
      <c r="D74" t="s">
        <v>171</v>
      </c>
      <c r="E74" t="s">
        <v>81</v>
      </c>
      <c r="F74" t="s">
        <v>68</v>
      </c>
      <c r="G74">
        <v>15</v>
      </c>
      <c r="H74">
        <v>19.23</v>
      </c>
      <c r="I74">
        <v>288.45</v>
      </c>
      <c r="J74">
        <v>20.22</v>
      </c>
      <c r="K74">
        <v>35.729999999999997</v>
      </c>
      <c r="L74" t="s">
        <v>24</v>
      </c>
      <c r="M74" t="s">
        <v>25</v>
      </c>
      <c r="N74" t="s">
        <v>35</v>
      </c>
      <c r="O74" s="5">
        <f t="shared" si="1"/>
        <v>0.12386895475819032</v>
      </c>
    </row>
    <row r="75" spans="1:15" x14ac:dyDescent="0.3">
      <c r="A75" t="s">
        <v>273</v>
      </c>
      <c r="B75" t="s">
        <v>274</v>
      </c>
      <c r="C75" t="s">
        <v>151</v>
      </c>
      <c r="D75" t="s">
        <v>37</v>
      </c>
      <c r="E75" t="s">
        <v>137</v>
      </c>
      <c r="F75" t="s">
        <v>68</v>
      </c>
      <c r="G75">
        <v>34</v>
      </c>
      <c r="H75">
        <v>45.54</v>
      </c>
      <c r="I75">
        <v>1548.36</v>
      </c>
      <c r="J75">
        <v>36.76</v>
      </c>
      <c r="K75">
        <v>559.6</v>
      </c>
      <c r="L75" t="s">
        <v>24</v>
      </c>
      <c r="M75" t="s">
        <v>25</v>
      </c>
      <c r="N75" t="s">
        <v>35</v>
      </c>
      <c r="O75" s="5">
        <f t="shared" si="1"/>
        <v>0.36141465808984996</v>
      </c>
    </row>
    <row r="76" spans="1:15" x14ac:dyDescent="0.3">
      <c r="A76" t="s">
        <v>275</v>
      </c>
      <c r="B76" t="s">
        <v>276</v>
      </c>
      <c r="C76" t="s">
        <v>277</v>
      </c>
      <c r="D76" t="s">
        <v>171</v>
      </c>
      <c r="E76" t="s">
        <v>56</v>
      </c>
      <c r="F76" t="s">
        <v>57</v>
      </c>
      <c r="G76">
        <v>33</v>
      </c>
      <c r="H76">
        <v>63.88</v>
      </c>
      <c r="I76">
        <v>2108.04</v>
      </c>
      <c r="J76">
        <v>111.7</v>
      </c>
      <c r="K76">
        <v>676.34</v>
      </c>
      <c r="L76" t="s">
        <v>24</v>
      </c>
      <c r="M76" t="s">
        <v>41</v>
      </c>
      <c r="N76" t="s">
        <v>35</v>
      </c>
      <c r="O76" s="5">
        <f t="shared" si="1"/>
        <v>0.32083831426348647</v>
      </c>
    </row>
    <row r="77" spans="1:15" x14ac:dyDescent="0.3">
      <c r="A77" t="s">
        <v>278</v>
      </c>
      <c r="B77" t="s">
        <v>279</v>
      </c>
      <c r="C77" t="s">
        <v>148</v>
      </c>
      <c r="D77" t="s">
        <v>241</v>
      </c>
      <c r="E77" t="s">
        <v>32</v>
      </c>
      <c r="F77" t="s">
        <v>23</v>
      </c>
      <c r="G77">
        <v>39</v>
      </c>
      <c r="H77">
        <v>25.38</v>
      </c>
      <c r="I77">
        <v>989.82</v>
      </c>
      <c r="J77">
        <v>50.82</v>
      </c>
      <c r="K77">
        <v>237</v>
      </c>
      <c r="L77" t="s">
        <v>33</v>
      </c>
      <c r="M77" t="s">
        <v>34</v>
      </c>
      <c r="N77" t="s">
        <v>35</v>
      </c>
      <c r="O77" s="5">
        <f t="shared" si="1"/>
        <v>0.23943747348002667</v>
      </c>
    </row>
    <row r="78" spans="1:15" x14ac:dyDescent="0.3">
      <c r="A78" t="s">
        <v>280</v>
      </c>
      <c r="B78" t="s">
        <v>281</v>
      </c>
      <c r="C78" t="s">
        <v>282</v>
      </c>
      <c r="D78" t="s">
        <v>70</v>
      </c>
      <c r="E78" t="s">
        <v>74</v>
      </c>
      <c r="F78" t="s">
        <v>75</v>
      </c>
      <c r="G78">
        <v>9</v>
      </c>
      <c r="H78">
        <v>38.979999999999997</v>
      </c>
      <c r="I78">
        <v>350.82</v>
      </c>
      <c r="J78">
        <v>25.56</v>
      </c>
      <c r="K78">
        <v>100.26</v>
      </c>
      <c r="L78" t="s">
        <v>24</v>
      </c>
      <c r="M78" t="s">
        <v>25</v>
      </c>
      <c r="N78" t="s">
        <v>76</v>
      </c>
      <c r="O78" s="5">
        <f t="shared" si="1"/>
        <v>0.28578758337609034</v>
      </c>
    </row>
    <row r="79" spans="1:15" x14ac:dyDescent="0.3">
      <c r="A79" t="s">
        <v>283</v>
      </c>
      <c r="B79" t="s">
        <v>284</v>
      </c>
      <c r="C79" t="s">
        <v>285</v>
      </c>
      <c r="D79" t="s">
        <v>141</v>
      </c>
      <c r="E79" t="s">
        <v>63</v>
      </c>
      <c r="F79" t="s">
        <v>47</v>
      </c>
      <c r="G79">
        <v>14</v>
      </c>
      <c r="H79">
        <v>35.86</v>
      </c>
      <c r="I79">
        <v>502.04</v>
      </c>
      <c r="J79">
        <v>40.130000000000003</v>
      </c>
      <c r="K79">
        <v>181.91</v>
      </c>
      <c r="L79" t="s">
        <v>48</v>
      </c>
      <c r="M79" t="s">
        <v>41</v>
      </c>
      <c r="N79" t="s">
        <v>142</v>
      </c>
      <c r="O79" s="5">
        <f t="shared" si="1"/>
        <v>0.36234164608397734</v>
      </c>
    </row>
    <row r="80" spans="1:15" x14ac:dyDescent="0.3">
      <c r="A80" t="s">
        <v>286</v>
      </c>
      <c r="B80" t="s">
        <v>287</v>
      </c>
      <c r="C80" t="s">
        <v>288</v>
      </c>
      <c r="D80" t="s">
        <v>127</v>
      </c>
      <c r="E80" t="s">
        <v>81</v>
      </c>
      <c r="F80" t="s">
        <v>68</v>
      </c>
      <c r="G80">
        <v>49</v>
      </c>
      <c r="H80">
        <v>21.37</v>
      </c>
      <c r="I80">
        <v>1047.1300000000001</v>
      </c>
      <c r="J80">
        <v>65.98</v>
      </c>
      <c r="K80">
        <v>221.65</v>
      </c>
      <c r="L80" t="s">
        <v>48</v>
      </c>
      <c r="M80" t="s">
        <v>41</v>
      </c>
      <c r="N80" t="s">
        <v>76</v>
      </c>
      <c r="O80" s="5">
        <f t="shared" si="1"/>
        <v>0.21167381318460934</v>
      </c>
    </row>
    <row r="81" spans="1:15" x14ac:dyDescent="0.3">
      <c r="A81" t="s">
        <v>289</v>
      </c>
      <c r="B81" t="s">
        <v>205</v>
      </c>
      <c r="C81" t="s">
        <v>290</v>
      </c>
      <c r="D81" t="s">
        <v>62</v>
      </c>
      <c r="E81" t="s">
        <v>32</v>
      </c>
      <c r="F81" t="s">
        <v>23</v>
      </c>
      <c r="G81">
        <v>42</v>
      </c>
      <c r="H81">
        <v>24.57</v>
      </c>
      <c r="I81">
        <v>1031.94</v>
      </c>
      <c r="J81">
        <v>56.45</v>
      </c>
      <c r="K81">
        <v>219.49</v>
      </c>
      <c r="L81" t="s">
        <v>33</v>
      </c>
      <c r="M81" t="s">
        <v>25</v>
      </c>
      <c r="N81" t="s">
        <v>98</v>
      </c>
      <c r="O81" s="5">
        <f t="shared" si="1"/>
        <v>0.2126964746012365</v>
      </c>
    </row>
    <row r="82" spans="1:15" x14ac:dyDescent="0.3">
      <c r="A82" t="s">
        <v>291</v>
      </c>
      <c r="B82" t="s">
        <v>292</v>
      </c>
      <c r="C82" t="s">
        <v>290</v>
      </c>
      <c r="D82" t="s">
        <v>116</v>
      </c>
      <c r="E82" t="s">
        <v>32</v>
      </c>
      <c r="F82" t="s">
        <v>23</v>
      </c>
      <c r="G82">
        <v>42</v>
      </c>
      <c r="H82">
        <v>26.39</v>
      </c>
      <c r="I82">
        <v>1108.3800000000001</v>
      </c>
      <c r="J82">
        <v>44.56</v>
      </c>
      <c r="K82">
        <v>307.82</v>
      </c>
      <c r="L82" t="s">
        <v>33</v>
      </c>
      <c r="M82" t="s">
        <v>25</v>
      </c>
      <c r="N82" t="s">
        <v>76</v>
      </c>
      <c r="O82" s="5">
        <f t="shared" si="1"/>
        <v>0.27772063732654861</v>
      </c>
    </row>
    <row r="83" spans="1:15" x14ac:dyDescent="0.3">
      <c r="A83" t="s">
        <v>293</v>
      </c>
      <c r="B83" t="s">
        <v>294</v>
      </c>
      <c r="C83" t="s">
        <v>288</v>
      </c>
      <c r="D83" t="s">
        <v>55</v>
      </c>
      <c r="E83" t="s">
        <v>63</v>
      </c>
      <c r="F83" t="s">
        <v>47</v>
      </c>
      <c r="G83">
        <v>50</v>
      </c>
      <c r="H83">
        <v>29.73</v>
      </c>
      <c r="I83">
        <v>1486.5</v>
      </c>
      <c r="J83">
        <v>96.77</v>
      </c>
      <c r="K83">
        <v>389.73</v>
      </c>
      <c r="L83" t="s">
        <v>48</v>
      </c>
      <c r="M83" t="s">
        <v>25</v>
      </c>
      <c r="N83" t="s">
        <v>98</v>
      </c>
      <c r="O83" s="5">
        <f t="shared" si="1"/>
        <v>0.26217961654894045</v>
      </c>
    </row>
    <row r="84" spans="1:15" x14ac:dyDescent="0.3">
      <c r="A84" t="s">
        <v>295</v>
      </c>
      <c r="B84" t="s">
        <v>296</v>
      </c>
      <c r="C84" t="s">
        <v>285</v>
      </c>
      <c r="D84" t="s">
        <v>51</v>
      </c>
      <c r="E84" t="s">
        <v>81</v>
      </c>
      <c r="F84" t="s">
        <v>68</v>
      </c>
      <c r="G84">
        <v>39</v>
      </c>
      <c r="H84">
        <v>20.56</v>
      </c>
      <c r="I84">
        <v>801.84</v>
      </c>
      <c r="J84">
        <v>43.55</v>
      </c>
      <c r="K84">
        <v>153.79</v>
      </c>
      <c r="L84" t="s">
        <v>24</v>
      </c>
      <c r="M84" t="s">
        <v>25</v>
      </c>
      <c r="N84" t="s">
        <v>76</v>
      </c>
      <c r="O84" s="5">
        <f t="shared" si="1"/>
        <v>0.19179636835278857</v>
      </c>
    </row>
    <row r="85" spans="1:15" x14ac:dyDescent="0.3">
      <c r="A85" t="s">
        <v>297</v>
      </c>
      <c r="B85" t="s">
        <v>298</v>
      </c>
      <c r="C85" t="s">
        <v>30</v>
      </c>
      <c r="D85" t="s">
        <v>51</v>
      </c>
      <c r="E85" t="s">
        <v>81</v>
      </c>
      <c r="F85" t="s">
        <v>68</v>
      </c>
      <c r="G85">
        <v>48</v>
      </c>
      <c r="H85">
        <v>24.36</v>
      </c>
      <c r="I85">
        <v>1169.28</v>
      </c>
      <c r="J85">
        <v>81.599999999999994</v>
      </c>
      <c r="K85">
        <v>343.68</v>
      </c>
      <c r="L85" t="s">
        <v>48</v>
      </c>
      <c r="M85" t="s">
        <v>41</v>
      </c>
      <c r="N85" t="s">
        <v>76</v>
      </c>
      <c r="O85" s="5">
        <f t="shared" si="1"/>
        <v>0.29392446633825947</v>
      </c>
    </row>
    <row r="86" spans="1:15" x14ac:dyDescent="0.3">
      <c r="A86" t="s">
        <v>299</v>
      </c>
      <c r="B86" t="s">
        <v>300</v>
      </c>
      <c r="C86" t="s">
        <v>301</v>
      </c>
      <c r="D86" t="s">
        <v>241</v>
      </c>
      <c r="E86" t="s">
        <v>67</v>
      </c>
      <c r="F86" t="s">
        <v>68</v>
      </c>
      <c r="G86">
        <v>40</v>
      </c>
      <c r="H86">
        <v>27.95</v>
      </c>
      <c r="I86">
        <v>1118</v>
      </c>
      <c r="J86">
        <v>37.590000000000003</v>
      </c>
      <c r="K86">
        <v>180.41</v>
      </c>
      <c r="L86" t="s">
        <v>48</v>
      </c>
      <c r="M86" t="s">
        <v>41</v>
      </c>
      <c r="N86" t="s">
        <v>35</v>
      </c>
      <c r="O86" s="5">
        <f t="shared" si="1"/>
        <v>0.16136851520572451</v>
      </c>
    </row>
    <row r="87" spans="1:15" x14ac:dyDescent="0.3">
      <c r="A87" t="s">
        <v>302</v>
      </c>
      <c r="B87" t="s">
        <v>303</v>
      </c>
      <c r="C87" t="s">
        <v>191</v>
      </c>
      <c r="D87" t="s">
        <v>70</v>
      </c>
      <c r="E87" t="s">
        <v>137</v>
      </c>
      <c r="F87" t="s">
        <v>68</v>
      </c>
      <c r="G87">
        <v>21</v>
      </c>
      <c r="H87">
        <v>40.19</v>
      </c>
      <c r="I87">
        <v>843.99</v>
      </c>
      <c r="J87">
        <v>32.4</v>
      </c>
      <c r="K87">
        <v>223.59</v>
      </c>
      <c r="L87" t="s">
        <v>33</v>
      </c>
      <c r="M87" t="s">
        <v>34</v>
      </c>
      <c r="N87" t="s">
        <v>76</v>
      </c>
      <c r="O87" s="5">
        <f t="shared" si="1"/>
        <v>0.26492020047630899</v>
      </c>
    </row>
    <row r="88" spans="1:15" x14ac:dyDescent="0.3">
      <c r="A88" t="s">
        <v>304</v>
      </c>
      <c r="B88" t="s">
        <v>159</v>
      </c>
      <c r="C88" t="s">
        <v>145</v>
      </c>
      <c r="D88" t="s">
        <v>116</v>
      </c>
      <c r="E88" t="s">
        <v>86</v>
      </c>
      <c r="F88" t="s">
        <v>47</v>
      </c>
      <c r="G88">
        <v>26</v>
      </c>
      <c r="H88">
        <v>16.670000000000002</v>
      </c>
      <c r="I88">
        <v>433.42</v>
      </c>
      <c r="J88">
        <v>32.79</v>
      </c>
      <c r="K88">
        <v>69.13</v>
      </c>
      <c r="L88" t="s">
        <v>48</v>
      </c>
      <c r="M88" t="s">
        <v>34</v>
      </c>
      <c r="N88" t="s">
        <v>76</v>
      </c>
      <c r="O88" s="5">
        <f t="shared" si="1"/>
        <v>0.15949886945687783</v>
      </c>
    </row>
    <row r="89" spans="1:15" x14ac:dyDescent="0.3">
      <c r="A89" t="s">
        <v>305</v>
      </c>
      <c r="B89" t="s">
        <v>306</v>
      </c>
      <c r="C89" t="s">
        <v>307</v>
      </c>
      <c r="D89" t="s">
        <v>45</v>
      </c>
      <c r="E89" t="s">
        <v>46</v>
      </c>
      <c r="F89" t="s">
        <v>47</v>
      </c>
      <c r="G89">
        <v>28</v>
      </c>
      <c r="H89">
        <v>39.85</v>
      </c>
      <c r="I89">
        <v>1115.8</v>
      </c>
      <c r="J89">
        <v>43.87</v>
      </c>
      <c r="K89">
        <v>175.93</v>
      </c>
      <c r="L89" t="s">
        <v>48</v>
      </c>
      <c r="M89" t="s">
        <v>25</v>
      </c>
      <c r="N89" t="s">
        <v>49</v>
      </c>
      <c r="O89" s="5">
        <f t="shared" si="1"/>
        <v>0.15767162573937982</v>
      </c>
    </row>
    <row r="90" spans="1:15" x14ac:dyDescent="0.3">
      <c r="A90" t="s">
        <v>308</v>
      </c>
      <c r="B90" t="s">
        <v>309</v>
      </c>
      <c r="C90" t="s">
        <v>307</v>
      </c>
      <c r="D90" t="s">
        <v>62</v>
      </c>
      <c r="E90" t="s">
        <v>86</v>
      </c>
      <c r="F90" t="s">
        <v>47</v>
      </c>
      <c r="G90">
        <v>47</v>
      </c>
      <c r="H90">
        <v>15.97</v>
      </c>
      <c r="I90">
        <v>750.59</v>
      </c>
      <c r="J90">
        <v>48.55</v>
      </c>
      <c r="K90">
        <v>102.79</v>
      </c>
      <c r="L90" t="s">
        <v>48</v>
      </c>
      <c r="M90" t="s">
        <v>41</v>
      </c>
      <c r="N90" t="s">
        <v>98</v>
      </c>
      <c r="O90" s="5">
        <f t="shared" si="1"/>
        <v>0.13694560279246992</v>
      </c>
    </row>
    <row r="91" spans="1:15" x14ac:dyDescent="0.3">
      <c r="A91" t="s">
        <v>310</v>
      </c>
      <c r="B91" t="s">
        <v>311</v>
      </c>
      <c r="C91" t="s">
        <v>216</v>
      </c>
      <c r="D91" t="s">
        <v>51</v>
      </c>
      <c r="E91" t="s">
        <v>56</v>
      </c>
      <c r="F91" t="s">
        <v>57</v>
      </c>
      <c r="G91">
        <v>28</v>
      </c>
      <c r="H91">
        <v>53.6</v>
      </c>
      <c r="I91">
        <v>1500.8</v>
      </c>
      <c r="J91">
        <v>68.55</v>
      </c>
      <c r="K91">
        <v>312.25</v>
      </c>
      <c r="L91" t="s">
        <v>33</v>
      </c>
      <c r="M91" t="s">
        <v>34</v>
      </c>
      <c r="N91" t="s">
        <v>76</v>
      </c>
      <c r="O91" s="5">
        <f t="shared" si="1"/>
        <v>0.20805570362473347</v>
      </c>
    </row>
    <row r="92" spans="1:15" x14ac:dyDescent="0.3">
      <c r="A92" t="s">
        <v>312</v>
      </c>
      <c r="B92" t="s">
        <v>263</v>
      </c>
      <c r="C92" t="s">
        <v>174</v>
      </c>
      <c r="D92" t="s">
        <v>70</v>
      </c>
      <c r="E92" t="s">
        <v>137</v>
      </c>
      <c r="F92" t="s">
        <v>68</v>
      </c>
      <c r="G92">
        <v>37</v>
      </c>
      <c r="H92">
        <v>40.049999999999997</v>
      </c>
      <c r="I92">
        <v>1481.85</v>
      </c>
      <c r="J92">
        <v>45.6</v>
      </c>
      <c r="K92">
        <v>400.25</v>
      </c>
      <c r="L92" t="s">
        <v>24</v>
      </c>
      <c r="M92" t="s">
        <v>41</v>
      </c>
      <c r="N92" t="s">
        <v>76</v>
      </c>
      <c r="O92" s="5">
        <f t="shared" si="1"/>
        <v>0.2701015622363937</v>
      </c>
    </row>
    <row r="93" spans="1:15" x14ac:dyDescent="0.3">
      <c r="A93" t="s">
        <v>313</v>
      </c>
      <c r="B93" t="s">
        <v>314</v>
      </c>
      <c r="C93" t="s">
        <v>222</v>
      </c>
      <c r="D93" t="s">
        <v>37</v>
      </c>
      <c r="E93" t="s">
        <v>22</v>
      </c>
      <c r="F93" t="s">
        <v>23</v>
      </c>
      <c r="G93">
        <v>45</v>
      </c>
      <c r="H93">
        <v>43.74</v>
      </c>
      <c r="I93">
        <v>1968.3</v>
      </c>
      <c r="J93">
        <v>80.55</v>
      </c>
      <c r="K93">
        <v>312.75</v>
      </c>
      <c r="L93" t="s">
        <v>33</v>
      </c>
      <c r="M93" t="s">
        <v>41</v>
      </c>
      <c r="N93" t="s">
        <v>35</v>
      </c>
      <c r="O93" s="5">
        <f t="shared" si="1"/>
        <v>0.15889346136259716</v>
      </c>
    </row>
    <row r="94" spans="1:15" x14ac:dyDescent="0.3">
      <c r="A94" t="s">
        <v>315</v>
      </c>
      <c r="B94" t="s">
        <v>316</v>
      </c>
      <c r="C94" t="s">
        <v>317</v>
      </c>
      <c r="D94" t="s">
        <v>31</v>
      </c>
      <c r="E94" t="s">
        <v>81</v>
      </c>
      <c r="F94" t="s">
        <v>68</v>
      </c>
      <c r="G94">
        <v>9</v>
      </c>
      <c r="H94">
        <v>24.63</v>
      </c>
      <c r="I94">
        <v>221.67</v>
      </c>
      <c r="J94">
        <v>13.53</v>
      </c>
      <c r="K94">
        <v>68.64</v>
      </c>
      <c r="L94" t="s">
        <v>33</v>
      </c>
      <c r="M94" t="s">
        <v>41</v>
      </c>
      <c r="N94" t="s">
        <v>35</v>
      </c>
      <c r="O94" s="5">
        <f t="shared" si="1"/>
        <v>0.30964947895520373</v>
      </c>
    </row>
    <row r="95" spans="1:15" x14ac:dyDescent="0.3">
      <c r="A95" t="s">
        <v>318</v>
      </c>
      <c r="B95" t="s">
        <v>319</v>
      </c>
      <c r="C95" t="s">
        <v>54</v>
      </c>
      <c r="D95" t="s">
        <v>141</v>
      </c>
      <c r="E95" t="s">
        <v>81</v>
      </c>
      <c r="F95" t="s">
        <v>68</v>
      </c>
      <c r="G95">
        <v>6</v>
      </c>
      <c r="H95">
        <v>21.79</v>
      </c>
      <c r="I95">
        <v>130.74</v>
      </c>
      <c r="J95">
        <v>7.75</v>
      </c>
      <c r="K95">
        <v>29.99</v>
      </c>
      <c r="L95" t="s">
        <v>33</v>
      </c>
      <c r="M95" t="s">
        <v>41</v>
      </c>
      <c r="N95" t="s">
        <v>142</v>
      </c>
      <c r="O95" s="5">
        <f t="shared" si="1"/>
        <v>0.22938656876242922</v>
      </c>
    </row>
    <row r="96" spans="1:15" x14ac:dyDescent="0.3">
      <c r="A96" t="s">
        <v>320</v>
      </c>
      <c r="B96" t="s">
        <v>226</v>
      </c>
      <c r="C96" t="s">
        <v>321</v>
      </c>
      <c r="D96" t="s">
        <v>171</v>
      </c>
      <c r="E96" t="s">
        <v>22</v>
      </c>
      <c r="F96" t="s">
        <v>23</v>
      </c>
      <c r="G96">
        <v>23</v>
      </c>
      <c r="H96">
        <v>58.43</v>
      </c>
      <c r="I96">
        <v>1343.89</v>
      </c>
      <c r="J96">
        <v>38.729999999999997</v>
      </c>
      <c r="K96">
        <v>500.16</v>
      </c>
      <c r="L96" t="s">
        <v>33</v>
      </c>
      <c r="M96" t="s">
        <v>25</v>
      </c>
      <c r="N96" t="s">
        <v>35</v>
      </c>
      <c r="O96" s="5">
        <f t="shared" si="1"/>
        <v>0.37217331775666163</v>
      </c>
    </row>
    <row r="97" spans="1:15" x14ac:dyDescent="0.3">
      <c r="A97" t="s">
        <v>322</v>
      </c>
      <c r="B97" t="s">
        <v>115</v>
      </c>
      <c r="C97" t="s">
        <v>323</v>
      </c>
      <c r="D97" t="s">
        <v>116</v>
      </c>
      <c r="E97" t="s">
        <v>56</v>
      </c>
      <c r="F97" t="s">
        <v>57</v>
      </c>
      <c r="G97">
        <v>19</v>
      </c>
      <c r="H97">
        <v>67.06</v>
      </c>
      <c r="I97">
        <v>1274.1400000000001</v>
      </c>
      <c r="J97">
        <v>85.73</v>
      </c>
      <c r="K97">
        <v>428.41</v>
      </c>
      <c r="L97" t="s">
        <v>24</v>
      </c>
      <c r="M97" t="s">
        <v>34</v>
      </c>
      <c r="N97" t="s">
        <v>76</v>
      </c>
      <c r="O97" s="5">
        <f t="shared" si="1"/>
        <v>0.33623463669612441</v>
      </c>
    </row>
    <row r="98" spans="1:15" x14ac:dyDescent="0.3">
      <c r="A98" t="s">
        <v>324</v>
      </c>
      <c r="B98" t="s">
        <v>325</v>
      </c>
      <c r="C98" t="s">
        <v>317</v>
      </c>
      <c r="D98" t="s">
        <v>37</v>
      </c>
      <c r="E98" t="s">
        <v>32</v>
      </c>
      <c r="F98" t="s">
        <v>23</v>
      </c>
      <c r="G98">
        <v>4</v>
      </c>
      <c r="H98">
        <v>25.13</v>
      </c>
      <c r="I98">
        <v>100.52</v>
      </c>
      <c r="J98">
        <v>5.6</v>
      </c>
      <c r="K98">
        <v>22.92</v>
      </c>
      <c r="L98" t="s">
        <v>33</v>
      </c>
      <c r="M98" t="s">
        <v>41</v>
      </c>
      <c r="N98" t="s">
        <v>35</v>
      </c>
      <c r="O98" s="5">
        <f t="shared" si="1"/>
        <v>0.22801432550736175</v>
      </c>
    </row>
    <row r="99" spans="1:15" x14ac:dyDescent="0.3">
      <c r="A99" t="s">
        <v>326</v>
      </c>
      <c r="B99" t="s">
        <v>327</v>
      </c>
      <c r="C99" t="s">
        <v>328</v>
      </c>
      <c r="D99" t="s">
        <v>37</v>
      </c>
      <c r="E99" t="s">
        <v>81</v>
      </c>
      <c r="F99" t="s">
        <v>68</v>
      </c>
      <c r="G99">
        <v>26</v>
      </c>
      <c r="H99">
        <v>19.34</v>
      </c>
      <c r="I99">
        <v>502.84</v>
      </c>
      <c r="J99">
        <v>26.51</v>
      </c>
      <c r="K99">
        <v>73.33</v>
      </c>
      <c r="L99" t="s">
        <v>33</v>
      </c>
      <c r="M99" t="s">
        <v>25</v>
      </c>
      <c r="N99" t="s">
        <v>35</v>
      </c>
      <c r="O99" s="5">
        <f t="shared" si="1"/>
        <v>0.14583167607986636</v>
      </c>
    </row>
    <row r="100" spans="1:15" x14ac:dyDescent="0.3">
      <c r="A100" t="s">
        <v>329</v>
      </c>
      <c r="B100" t="s">
        <v>330</v>
      </c>
      <c r="C100" t="s">
        <v>331</v>
      </c>
      <c r="D100" t="s">
        <v>141</v>
      </c>
      <c r="E100" t="s">
        <v>63</v>
      </c>
      <c r="F100" t="s">
        <v>47</v>
      </c>
      <c r="G100">
        <v>26</v>
      </c>
      <c r="H100">
        <v>35.81</v>
      </c>
      <c r="I100">
        <v>931.06</v>
      </c>
      <c r="J100">
        <v>61.06</v>
      </c>
      <c r="K100">
        <v>350</v>
      </c>
      <c r="L100" t="s">
        <v>24</v>
      </c>
      <c r="M100" t="s">
        <v>25</v>
      </c>
      <c r="N100" t="s">
        <v>142</v>
      </c>
      <c r="O100" s="5">
        <f t="shared" si="1"/>
        <v>0.37591562305329412</v>
      </c>
    </row>
    <row r="101" spans="1:15" x14ac:dyDescent="0.3">
      <c r="A101" t="s">
        <v>332</v>
      </c>
      <c r="B101" t="s">
        <v>333</v>
      </c>
      <c r="C101" t="s">
        <v>334</v>
      </c>
      <c r="D101" t="s">
        <v>116</v>
      </c>
      <c r="E101" t="s">
        <v>67</v>
      </c>
      <c r="F101" t="s">
        <v>68</v>
      </c>
      <c r="G101">
        <v>42</v>
      </c>
      <c r="H101">
        <v>39.950000000000003</v>
      </c>
      <c r="I101">
        <v>1677.9</v>
      </c>
      <c r="J101">
        <v>93.95</v>
      </c>
      <c r="K101">
        <v>638.95000000000005</v>
      </c>
      <c r="L101" t="s">
        <v>33</v>
      </c>
      <c r="M101" t="s">
        <v>34</v>
      </c>
      <c r="N101" t="s">
        <v>76</v>
      </c>
      <c r="O101" s="5">
        <f t="shared" si="1"/>
        <v>0.38080338518386081</v>
      </c>
    </row>
    <row r="102" spans="1:15" x14ac:dyDescent="0.3">
      <c r="A102" t="s">
        <v>335</v>
      </c>
      <c r="B102" t="s">
        <v>336</v>
      </c>
      <c r="C102" t="s">
        <v>145</v>
      </c>
      <c r="D102" t="s">
        <v>123</v>
      </c>
      <c r="E102" t="s">
        <v>22</v>
      </c>
      <c r="F102" t="s">
        <v>23</v>
      </c>
      <c r="G102">
        <v>38</v>
      </c>
      <c r="H102">
        <v>49.98</v>
      </c>
      <c r="I102">
        <v>1899.24</v>
      </c>
      <c r="J102">
        <v>112.91</v>
      </c>
      <c r="K102">
        <v>456.33</v>
      </c>
      <c r="L102" t="s">
        <v>48</v>
      </c>
      <c r="M102" t="s">
        <v>41</v>
      </c>
      <c r="N102" t="s">
        <v>76</v>
      </c>
      <c r="O102" s="5">
        <f t="shared" si="1"/>
        <v>0.24026979212737726</v>
      </c>
    </row>
    <row r="103" spans="1:15" x14ac:dyDescent="0.3">
      <c r="A103" t="s">
        <v>337</v>
      </c>
      <c r="B103" t="s">
        <v>338</v>
      </c>
      <c r="C103" t="s">
        <v>191</v>
      </c>
      <c r="D103" t="s">
        <v>127</v>
      </c>
      <c r="E103" t="s">
        <v>137</v>
      </c>
      <c r="F103" t="s">
        <v>68</v>
      </c>
      <c r="G103">
        <v>1</v>
      </c>
      <c r="H103">
        <v>45.84</v>
      </c>
      <c r="I103">
        <v>45.84</v>
      </c>
      <c r="J103">
        <v>1.26</v>
      </c>
      <c r="K103">
        <v>16.579999999999998</v>
      </c>
      <c r="L103" t="s">
        <v>48</v>
      </c>
      <c r="M103" t="s">
        <v>25</v>
      </c>
      <c r="N103" t="s">
        <v>76</v>
      </c>
      <c r="O103" s="5">
        <f t="shared" si="1"/>
        <v>0.3616928446771378</v>
      </c>
    </row>
    <row r="104" spans="1:15" x14ac:dyDescent="0.3">
      <c r="A104" t="s">
        <v>339</v>
      </c>
      <c r="B104" t="s">
        <v>340</v>
      </c>
      <c r="C104" t="s">
        <v>301</v>
      </c>
      <c r="D104" t="s">
        <v>206</v>
      </c>
      <c r="E104" t="s">
        <v>32</v>
      </c>
      <c r="F104" t="s">
        <v>23</v>
      </c>
      <c r="G104">
        <v>38</v>
      </c>
      <c r="H104">
        <v>26.34</v>
      </c>
      <c r="I104">
        <v>1000.92</v>
      </c>
      <c r="J104">
        <v>47.88</v>
      </c>
      <c r="K104">
        <v>269.04000000000002</v>
      </c>
      <c r="L104" t="s">
        <v>24</v>
      </c>
      <c r="M104" t="s">
        <v>34</v>
      </c>
      <c r="N104" t="s">
        <v>207</v>
      </c>
      <c r="O104" s="5">
        <f t="shared" si="1"/>
        <v>0.26879271070615035</v>
      </c>
    </row>
    <row r="105" spans="1:15" x14ac:dyDescent="0.3">
      <c r="A105" t="s">
        <v>341</v>
      </c>
      <c r="B105" t="s">
        <v>342</v>
      </c>
      <c r="C105" t="s">
        <v>269</v>
      </c>
      <c r="D105" t="s">
        <v>171</v>
      </c>
      <c r="E105" t="s">
        <v>74</v>
      </c>
      <c r="F105" t="s">
        <v>75</v>
      </c>
      <c r="G105">
        <v>30</v>
      </c>
      <c r="H105">
        <v>36.43</v>
      </c>
      <c r="I105">
        <v>1092.9000000000001</v>
      </c>
      <c r="J105">
        <v>61.97</v>
      </c>
      <c r="K105">
        <v>280.93</v>
      </c>
      <c r="L105" t="s">
        <v>48</v>
      </c>
      <c r="M105" t="s">
        <v>34</v>
      </c>
      <c r="N105" t="s">
        <v>35</v>
      </c>
      <c r="O105" s="5">
        <f t="shared" si="1"/>
        <v>0.25705005032482386</v>
      </c>
    </row>
    <row r="106" spans="1:15" x14ac:dyDescent="0.3">
      <c r="A106" t="s">
        <v>343</v>
      </c>
      <c r="B106" t="s">
        <v>344</v>
      </c>
      <c r="C106" t="s">
        <v>307</v>
      </c>
      <c r="D106" t="s">
        <v>37</v>
      </c>
      <c r="E106" t="s">
        <v>86</v>
      </c>
      <c r="F106" t="s">
        <v>47</v>
      </c>
      <c r="G106">
        <v>9</v>
      </c>
      <c r="H106">
        <v>22.27</v>
      </c>
      <c r="I106">
        <v>200.43</v>
      </c>
      <c r="J106">
        <v>13.21</v>
      </c>
      <c r="K106">
        <v>72.47</v>
      </c>
      <c r="L106" t="s">
        <v>33</v>
      </c>
      <c r="M106" t="s">
        <v>34</v>
      </c>
      <c r="N106" t="s">
        <v>35</v>
      </c>
      <c r="O106" s="5">
        <f t="shared" si="1"/>
        <v>0.36157261886943071</v>
      </c>
    </row>
    <row r="107" spans="1:15" x14ac:dyDescent="0.3">
      <c r="A107" t="s">
        <v>345</v>
      </c>
      <c r="B107" t="s">
        <v>115</v>
      </c>
      <c r="C107" t="s">
        <v>162</v>
      </c>
      <c r="D107" t="s">
        <v>206</v>
      </c>
      <c r="E107" t="s">
        <v>81</v>
      </c>
      <c r="F107" t="s">
        <v>68</v>
      </c>
      <c r="G107">
        <v>26</v>
      </c>
      <c r="H107">
        <v>27.65</v>
      </c>
      <c r="I107">
        <v>718.9</v>
      </c>
      <c r="J107">
        <v>46.25</v>
      </c>
      <c r="K107">
        <v>269.64999999999998</v>
      </c>
      <c r="L107" t="s">
        <v>33</v>
      </c>
      <c r="M107" t="s">
        <v>41</v>
      </c>
      <c r="N107" t="s">
        <v>207</v>
      </c>
      <c r="O107" s="5">
        <f t="shared" si="1"/>
        <v>0.37508693837807761</v>
      </c>
    </row>
    <row r="108" spans="1:15" x14ac:dyDescent="0.3">
      <c r="A108" t="s">
        <v>346</v>
      </c>
      <c r="B108" t="s">
        <v>347</v>
      </c>
      <c r="C108" t="s">
        <v>301</v>
      </c>
      <c r="D108" t="s">
        <v>31</v>
      </c>
      <c r="E108" t="s">
        <v>81</v>
      </c>
      <c r="F108" t="s">
        <v>68</v>
      </c>
      <c r="G108">
        <v>23</v>
      </c>
      <c r="H108">
        <v>22.45</v>
      </c>
      <c r="I108">
        <v>516.35</v>
      </c>
      <c r="J108">
        <v>15.68</v>
      </c>
      <c r="K108">
        <v>144.16999999999999</v>
      </c>
      <c r="L108" t="s">
        <v>48</v>
      </c>
      <c r="M108" t="s">
        <v>41</v>
      </c>
      <c r="N108" t="s">
        <v>35</v>
      </c>
      <c r="O108" s="5">
        <f t="shared" si="1"/>
        <v>0.2792098382879829</v>
      </c>
    </row>
    <row r="109" spans="1:15" x14ac:dyDescent="0.3">
      <c r="A109" t="s">
        <v>348</v>
      </c>
      <c r="B109" t="s">
        <v>349</v>
      </c>
      <c r="C109" t="s">
        <v>197</v>
      </c>
      <c r="D109" t="s">
        <v>31</v>
      </c>
      <c r="E109" t="s">
        <v>81</v>
      </c>
      <c r="F109" t="s">
        <v>68</v>
      </c>
      <c r="G109">
        <v>30</v>
      </c>
      <c r="H109">
        <v>21.93</v>
      </c>
      <c r="I109">
        <v>657.9</v>
      </c>
      <c r="J109">
        <v>24.66</v>
      </c>
      <c r="K109">
        <v>168.24</v>
      </c>
      <c r="L109" t="s">
        <v>33</v>
      </c>
      <c r="M109" t="s">
        <v>25</v>
      </c>
      <c r="N109" t="s">
        <v>35</v>
      </c>
      <c r="O109" s="5">
        <f t="shared" si="1"/>
        <v>0.25572275421796625</v>
      </c>
    </row>
    <row r="110" spans="1:15" x14ac:dyDescent="0.3">
      <c r="A110" t="s">
        <v>350</v>
      </c>
      <c r="B110" t="s">
        <v>351</v>
      </c>
      <c r="C110" t="s">
        <v>352</v>
      </c>
      <c r="D110" t="s">
        <v>116</v>
      </c>
      <c r="E110" t="s">
        <v>86</v>
      </c>
      <c r="F110" t="s">
        <v>47</v>
      </c>
      <c r="G110">
        <v>43</v>
      </c>
      <c r="H110">
        <v>21.92</v>
      </c>
      <c r="I110">
        <v>942.56</v>
      </c>
      <c r="J110">
        <v>51.15</v>
      </c>
      <c r="K110">
        <v>343.16</v>
      </c>
      <c r="L110" t="s">
        <v>24</v>
      </c>
      <c r="M110" t="s">
        <v>41</v>
      </c>
      <c r="N110" t="s">
        <v>76</v>
      </c>
      <c r="O110" s="5">
        <f t="shared" si="1"/>
        <v>0.36407231369886273</v>
      </c>
    </row>
    <row r="111" spans="1:15" x14ac:dyDescent="0.3">
      <c r="A111" t="s">
        <v>353</v>
      </c>
      <c r="B111" t="s">
        <v>354</v>
      </c>
      <c r="C111" t="s">
        <v>85</v>
      </c>
      <c r="D111" t="s">
        <v>45</v>
      </c>
      <c r="E111" t="s">
        <v>56</v>
      </c>
      <c r="F111" t="s">
        <v>57</v>
      </c>
      <c r="G111">
        <v>3</v>
      </c>
      <c r="H111">
        <v>56.21</v>
      </c>
      <c r="I111">
        <v>168.63</v>
      </c>
      <c r="J111">
        <v>7.56</v>
      </c>
      <c r="K111">
        <v>41.07</v>
      </c>
      <c r="L111" t="s">
        <v>48</v>
      </c>
      <c r="M111" t="s">
        <v>25</v>
      </c>
      <c r="N111" t="s">
        <v>49</v>
      </c>
      <c r="O111" s="5">
        <f t="shared" si="1"/>
        <v>0.24355096957836686</v>
      </c>
    </row>
    <row r="112" spans="1:15" x14ac:dyDescent="0.3">
      <c r="A112" t="s">
        <v>355</v>
      </c>
      <c r="B112" t="s">
        <v>356</v>
      </c>
      <c r="C112" t="s">
        <v>20</v>
      </c>
      <c r="D112" t="s">
        <v>37</v>
      </c>
      <c r="E112" t="s">
        <v>86</v>
      </c>
      <c r="F112" t="s">
        <v>47</v>
      </c>
      <c r="G112">
        <v>33</v>
      </c>
      <c r="H112">
        <v>15.44</v>
      </c>
      <c r="I112">
        <v>509.52</v>
      </c>
      <c r="J112">
        <v>19.7</v>
      </c>
      <c r="K112">
        <v>69.069999999999993</v>
      </c>
      <c r="L112" t="s">
        <v>24</v>
      </c>
      <c r="M112" t="s">
        <v>41</v>
      </c>
      <c r="N112" t="s">
        <v>35</v>
      </c>
      <c r="O112" s="5">
        <f t="shared" si="1"/>
        <v>0.13555895745014915</v>
      </c>
    </row>
    <row r="113" spans="1:15" x14ac:dyDescent="0.3">
      <c r="A113" t="s">
        <v>357</v>
      </c>
      <c r="B113" t="s">
        <v>358</v>
      </c>
      <c r="C113" t="s">
        <v>151</v>
      </c>
      <c r="D113" t="s">
        <v>141</v>
      </c>
      <c r="E113" t="s">
        <v>81</v>
      </c>
      <c r="F113" t="s">
        <v>68</v>
      </c>
      <c r="G113">
        <v>50</v>
      </c>
      <c r="H113">
        <v>23.02</v>
      </c>
      <c r="I113">
        <v>1151</v>
      </c>
      <c r="J113">
        <v>69.3</v>
      </c>
      <c r="K113">
        <v>306.7</v>
      </c>
      <c r="L113" t="s">
        <v>33</v>
      </c>
      <c r="M113" t="s">
        <v>34</v>
      </c>
      <c r="N113" t="s">
        <v>142</v>
      </c>
      <c r="O113" s="5">
        <f t="shared" si="1"/>
        <v>0.26646394439617721</v>
      </c>
    </row>
    <row r="114" spans="1:15" x14ac:dyDescent="0.3">
      <c r="A114" t="s">
        <v>359</v>
      </c>
      <c r="B114" t="s">
        <v>268</v>
      </c>
      <c r="C114" t="s">
        <v>360</v>
      </c>
      <c r="D114" t="s">
        <v>45</v>
      </c>
      <c r="E114" t="s">
        <v>86</v>
      </c>
      <c r="F114" t="s">
        <v>47</v>
      </c>
      <c r="G114">
        <v>8</v>
      </c>
      <c r="H114">
        <v>17.010000000000002</v>
      </c>
      <c r="I114">
        <v>136.08000000000001</v>
      </c>
      <c r="J114">
        <v>8.84</v>
      </c>
      <c r="K114">
        <v>25.24</v>
      </c>
      <c r="L114" t="s">
        <v>24</v>
      </c>
      <c r="M114" t="s">
        <v>41</v>
      </c>
      <c r="N114" t="s">
        <v>49</v>
      </c>
      <c r="O114" s="5">
        <f t="shared" si="1"/>
        <v>0.18547912992357435</v>
      </c>
    </row>
    <row r="115" spans="1:15" x14ac:dyDescent="0.3">
      <c r="A115" t="s">
        <v>361</v>
      </c>
      <c r="B115" t="s">
        <v>362</v>
      </c>
      <c r="C115" t="s">
        <v>301</v>
      </c>
      <c r="D115" t="s">
        <v>171</v>
      </c>
      <c r="E115" t="s">
        <v>32</v>
      </c>
      <c r="F115" t="s">
        <v>23</v>
      </c>
      <c r="G115">
        <v>16</v>
      </c>
      <c r="H115">
        <v>26.47</v>
      </c>
      <c r="I115">
        <v>423.52</v>
      </c>
      <c r="J115">
        <v>15.87</v>
      </c>
      <c r="K115">
        <v>119.65</v>
      </c>
      <c r="L115" t="s">
        <v>33</v>
      </c>
      <c r="M115" t="s">
        <v>25</v>
      </c>
      <c r="N115" t="s">
        <v>35</v>
      </c>
      <c r="O115" s="5">
        <f t="shared" si="1"/>
        <v>0.28251322251605593</v>
      </c>
    </row>
    <row r="116" spans="1:15" x14ac:dyDescent="0.3">
      <c r="A116" t="s">
        <v>363</v>
      </c>
      <c r="B116" t="s">
        <v>364</v>
      </c>
      <c r="C116" t="s">
        <v>272</v>
      </c>
      <c r="D116" t="s">
        <v>45</v>
      </c>
      <c r="E116" t="s">
        <v>46</v>
      </c>
      <c r="F116" t="s">
        <v>47</v>
      </c>
      <c r="G116">
        <v>32</v>
      </c>
      <c r="H116">
        <v>43.18</v>
      </c>
      <c r="I116">
        <v>1381.76</v>
      </c>
      <c r="J116">
        <v>88.54</v>
      </c>
      <c r="K116">
        <v>269.22000000000003</v>
      </c>
      <c r="L116" t="s">
        <v>33</v>
      </c>
      <c r="M116" t="s">
        <v>41</v>
      </c>
      <c r="N116" t="s">
        <v>49</v>
      </c>
      <c r="O116" s="5">
        <f t="shared" si="1"/>
        <v>0.19483846688281614</v>
      </c>
    </row>
    <row r="117" spans="1:15" x14ac:dyDescent="0.3">
      <c r="A117" t="s">
        <v>365</v>
      </c>
      <c r="B117" t="s">
        <v>366</v>
      </c>
      <c r="C117" t="s">
        <v>177</v>
      </c>
      <c r="D117" t="s">
        <v>206</v>
      </c>
      <c r="E117" t="s">
        <v>81</v>
      </c>
      <c r="F117" t="s">
        <v>68</v>
      </c>
      <c r="G117">
        <v>29</v>
      </c>
      <c r="H117">
        <v>18.850000000000001</v>
      </c>
      <c r="I117">
        <v>546.65</v>
      </c>
      <c r="J117">
        <v>13.22</v>
      </c>
      <c r="K117">
        <v>83.93</v>
      </c>
      <c r="L117" t="s">
        <v>24</v>
      </c>
      <c r="M117" t="s">
        <v>41</v>
      </c>
      <c r="N117" t="s">
        <v>207</v>
      </c>
      <c r="O117" s="5">
        <f t="shared" si="1"/>
        <v>0.153535168755145</v>
      </c>
    </row>
    <row r="118" spans="1:15" x14ac:dyDescent="0.3">
      <c r="A118" t="s">
        <v>367</v>
      </c>
      <c r="B118" t="s">
        <v>368</v>
      </c>
      <c r="C118" t="s">
        <v>369</v>
      </c>
      <c r="D118" t="s">
        <v>171</v>
      </c>
      <c r="E118" t="s">
        <v>56</v>
      </c>
      <c r="F118" t="s">
        <v>57</v>
      </c>
      <c r="G118">
        <v>16</v>
      </c>
      <c r="H118">
        <v>64.400000000000006</v>
      </c>
      <c r="I118">
        <v>1030.4000000000001</v>
      </c>
      <c r="J118">
        <v>61.72</v>
      </c>
      <c r="K118">
        <v>328.68</v>
      </c>
      <c r="L118" t="s">
        <v>33</v>
      </c>
      <c r="M118" t="s">
        <v>34</v>
      </c>
      <c r="N118" t="s">
        <v>35</v>
      </c>
      <c r="O118" s="5">
        <f t="shared" si="1"/>
        <v>0.31898291925465838</v>
      </c>
    </row>
    <row r="119" spans="1:15" x14ac:dyDescent="0.3">
      <c r="A119" t="s">
        <v>370</v>
      </c>
      <c r="B119" t="s">
        <v>371</v>
      </c>
      <c r="C119" t="s">
        <v>372</v>
      </c>
      <c r="D119" t="s">
        <v>116</v>
      </c>
      <c r="E119" t="s">
        <v>81</v>
      </c>
      <c r="F119" t="s">
        <v>68</v>
      </c>
      <c r="G119">
        <v>15</v>
      </c>
      <c r="H119">
        <v>19.53</v>
      </c>
      <c r="I119">
        <v>292.95</v>
      </c>
      <c r="J119">
        <v>7.15</v>
      </c>
      <c r="K119">
        <v>53.3</v>
      </c>
      <c r="L119" t="s">
        <v>48</v>
      </c>
      <c r="M119" t="s">
        <v>34</v>
      </c>
      <c r="N119" t="s">
        <v>76</v>
      </c>
      <c r="O119" s="5">
        <f t="shared" si="1"/>
        <v>0.18194231097456903</v>
      </c>
    </row>
    <row r="120" spans="1:15" x14ac:dyDescent="0.3">
      <c r="A120" t="s">
        <v>373</v>
      </c>
      <c r="B120" t="s">
        <v>325</v>
      </c>
      <c r="C120" t="s">
        <v>182</v>
      </c>
      <c r="D120" t="s">
        <v>241</v>
      </c>
      <c r="E120" t="s">
        <v>63</v>
      </c>
      <c r="F120" t="s">
        <v>47</v>
      </c>
      <c r="G120">
        <v>36</v>
      </c>
      <c r="H120">
        <v>26.05</v>
      </c>
      <c r="I120">
        <v>937.8</v>
      </c>
      <c r="J120">
        <v>32.799999999999997</v>
      </c>
      <c r="K120">
        <v>185</v>
      </c>
      <c r="L120" t="s">
        <v>24</v>
      </c>
      <c r="M120" t="s">
        <v>41</v>
      </c>
      <c r="N120" t="s">
        <v>35</v>
      </c>
      <c r="O120" s="5">
        <f t="shared" si="1"/>
        <v>0.19727020686713587</v>
      </c>
    </row>
    <row r="121" spans="1:15" x14ac:dyDescent="0.3">
      <c r="A121" t="s">
        <v>374</v>
      </c>
      <c r="B121" t="s">
        <v>375</v>
      </c>
      <c r="C121" t="s">
        <v>73</v>
      </c>
      <c r="D121" t="s">
        <v>141</v>
      </c>
      <c r="E121" t="s">
        <v>46</v>
      </c>
      <c r="F121" t="s">
        <v>47</v>
      </c>
      <c r="G121">
        <v>26</v>
      </c>
      <c r="H121">
        <v>47.52</v>
      </c>
      <c r="I121">
        <v>1235.52</v>
      </c>
      <c r="J121">
        <v>31.41</v>
      </c>
      <c r="K121">
        <v>372.11</v>
      </c>
      <c r="L121" t="s">
        <v>33</v>
      </c>
      <c r="M121" t="s">
        <v>25</v>
      </c>
      <c r="N121" t="s">
        <v>142</v>
      </c>
      <c r="O121" s="5">
        <f t="shared" si="1"/>
        <v>0.30117683242683246</v>
      </c>
    </row>
    <row r="122" spans="1:15" x14ac:dyDescent="0.3">
      <c r="A122" t="s">
        <v>376</v>
      </c>
      <c r="B122" t="s">
        <v>131</v>
      </c>
      <c r="C122" t="s">
        <v>334</v>
      </c>
      <c r="D122" t="s">
        <v>171</v>
      </c>
      <c r="E122" t="s">
        <v>32</v>
      </c>
      <c r="F122" t="s">
        <v>23</v>
      </c>
      <c r="G122">
        <v>38</v>
      </c>
      <c r="H122">
        <v>26.38</v>
      </c>
      <c r="I122">
        <v>1002.44</v>
      </c>
      <c r="J122">
        <v>33.049999999999997</v>
      </c>
      <c r="K122">
        <v>285.39</v>
      </c>
      <c r="L122" t="s">
        <v>33</v>
      </c>
      <c r="M122" t="s">
        <v>25</v>
      </c>
      <c r="N122" t="s">
        <v>35</v>
      </c>
      <c r="O122" s="5">
        <f t="shared" si="1"/>
        <v>0.28469534336219621</v>
      </c>
    </row>
    <row r="123" spans="1:15" x14ac:dyDescent="0.3">
      <c r="A123" t="s">
        <v>377</v>
      </c>
      <c r="B123" t="s">
        <v>327</v>
      </c>
      <c r="C123" t="s">
        <v>222</v>
      </c>
      <c r="D123" t="s">
        <v>127</v>
      </c>
      <c r="E123" t="s">
        <v>86</v>
      </c>
      <c r="F123" t="s">
        <v>47</v>
      </c>
      <c r="G123">
        <v>7</v>
      </c>
      <c r="H123">
        <v>17.66</v>
      </c>
      <c r="I123">
        <v>123.62</v>
      </c>
      <c r="J123">
        <v>6.95</v>
      </c>
      <c r="K123">
        <v>27.42</v>
      </c>
      <c r="L123" t="s">
        <v>24</v>
      </c>
      <c r="M123" t="s">
        <v>25</v>
      </c>
      <c r="N123" t="s">
        <v>76</v>
      </c>
      <c r="O123" s="5">
        <f t="shared" si="1"/>
        <v>0.22180876880763631</v>
      </c>
    </row>
    <row r="124" spans="1:15" x14ac:dyDescent="0.3">
      <c r="A124" t="s">
        <v>378</v>
      </c>
      <c r="B124" t="s">
        <v>309</v>
      </c>
      <c r="C124" t="s">
        <v>227</v>
      </c>
      <c r="D124" t="s">
        <v>206</v>
      </c>
      <c r="E124" t="s">
        <v>22</v>
      </c>
      <c r="F124" t="s">
        <v>23</v>
      </c>
      <c r="G124">
        <v>26</v>
      </c>
      <c r="H124">
        <v>51.5</v>
      </c>
      <c r="I124">
        <v>1339</v>
      </c>
      <c r="J124">
        <v>92.09</v>
      </c>
      <c r="K124">
        <v>336.91</v>
      </c>
      <c r="L124" t="s">
        <v>33</v>
      </c>
      <c r="M124" t="s">
        <v>34</v>
      </c>
      <c r="N124" t="s">
        <v>207</v>
      </c>
      <c r="O124" s="5">
        <f t="shared" si="1"/>
        <v>0.25161314413741598</v>
      </c>
    </row>
    <row r="125" spans="1:15" x14ac:dyDescent="0.3">
      <c r="A125" t="s">
        <v>379</v>
      </c>
      <c r="B125" t="s">
        <v>380</v>
      </c>
      <c r="C125" t="s">
        <v>381</v>
      </c>
      <c r="D125" t="s">
        <v>21</v>
      </c>
      <c r="E125" t="s">
        <v>81</v>
      </c>
      <c r="F125" t="s">
        <v>68</v>
      </c>
      <c r="G125">
        <v>27</v>
      </c>
      <c r="H125">
        <v>25</v>
      </c>
      <c r="I125">
        <v>675</v>
      </c>
      <c r="J125">
        <v>15.49</v>
      </c>
      <c r="K125">
        <v>241.01</v>
      </c>
      <c r="L125" t="s">
        <v>33</v>
      </c>
      <c r="M125" t="s">
        <v>34</v>
      </c>
      <c r="N125" t="s">
        <v>98</v>
      </c>
      <c r="O125" s="5">
        <f t="shared" si="1"/>
        <v>0.35705185185185184</v>
      </c>
    </row>
    <row r="126" spans="1:15" x14ac:dyDescent="0.3">
      <c r="A126" t="s">
        <v>382</v>
      </c>
      <c r="B126" t="s">
        <v>383</v>
      </c>
      <c r="C126" t="s">
        <v>61</v>
      </c>
      <c r="D126" t="s">
        <v>141</v>
      </c>
      <c r="E126" t="s">
        <v>86</v>
      </c>
      <c r="F126" t="s">
        <v>47</v>
      </c>
      <c r="G126">
        <v>4</v>
      </c>
      <c r="H126">
        <v>19</v>
      </c>
      <c r="I126">
        <v>76</v>
      </c>
      <c r="J126">
        <v>3.78</v>
      </c>
      <c r="K126">
        <v>21.22</v>
      </c>
      <c r="L126" t="s">
        <v>33</v>
      </c>
      <c r="M126" t="s">
        <v>41</v>
      </c>
      <c r="N126" t="s">
        <v>142</v>
      </c>
      <c r="O126" s="5">
        <f t="shared" si="1"/>
        <v>0.27921052631578946</v>
      </c>
    </row>
    <row r="127" spans="1:15" x14ac:dyDescent="0.3">
      <c r="A127" t="s">
        <v>384</v>
      </c>
      <c r="B127" t="s">
        <v>147</v>
      </c>
      <c r="C127" t="s">
        <v>307</v>
      </c>
      <c r="D127" t="s">
        <v>55</v>
      </c>
      <c r="E127" t="s">
        <v>81</v>
      </c>
      <c r="F127" t="s">
        <v>68</v>
      </c>
      <c r="G127">
        <v>24</v>
      </c>
      <c r="H127">
        <v>26.63</v>
      </c>
      <c r="I127">
        <v>639.12</v>
      </c>
      <c r="J127">
        <v>31.92</v>
      </c>
      <c r="K127">
        <v>235.2</v>
      </c>
      <c r="L127" t="s">
        <v>48</v>
      </c>
      <c r="M127" t="s">
        <v>41</v>
      </c>
      <c r="N127" t="s">
        <v>98</v>
      </c>
      <c r="O127" s="5">
        <f t="shared" si="1"/>
        <v>0.36800600826135937</v>
      </c>
    </row>
    <row r="128" spans="1:15" x14ac:dyDescent="0.3">
      <c r="A128" t="s">
        <v>385</v>
      </c>
      <c r="B128" t="s">
        <v>386</v>
      </c>
      <c r="C128" t="s">
        <v>134</v>
      </c>
      <c r="D128" t="s">
        <v>116</v>
      </c>
      <c r="E128" t="s">
        <v>74</v>
      </c>
      <c r="F128" t="s">
        <v>75</v>
      </c>
      <c r="G128">
        <v>26</v>
      </c>
      <c r="H128">
        <v>43.14</v>
      </c>
      <c r="I128">
        <v>1121.6400000000001</v>
      </c>
      <c r="J128">
        <v>48.08</v>
      </c>
      <c r="K128">
        <v>423.56</v>
      </c>
      <c r="L128" t="s">
        <v>24</v>
      </c>
      <c r="M128" t="s">
        <v>34</v>
      </c>
      <c r="N128" t="s">
        <v>76</v>
      </c>
      <c r="O128" s="5">
        <f t="shared" si="1"/>
        <v>0.37762561962840124</v>
      </c>
    </row>
    <row r="129" spans="1:15" x14ac:dyDescent="0.3">
      <c r="A129" t="s">
        <v>387</v>
      </c>
      <c r="B129" t="s">
        <v>388</v>
      </c>
      <c r="C129" t="s">
        <v>317</v>
      </c>
      <c r="D129" t="s">
        <v>55</v>
      </c>
      <c r="E129" t="s">
        <v>74</v>
      </c>
      <c r="F129" t="s">
        <v>75</v>
      </c>
      <c r="G129">
        <v>39</v>
      </c>
      <c r="H129">
        <v>30.01</v>
      </c>
      <c r="I129">
        <v>1170.3900000000001</v>
      </c>
      <c r="J129">
        <v>60.43</v>
      </c>
      <c r="K129">
        <v>134.96</v>
      </c>
      <c r="L129" t="s">
        <v>33</v>
      </c>
      <c r="M129" t="s">
        <v>25</v>
      </c>
      <c r="N129" t="s">
        <v>98</v>
      </c>
      <c r="O129" s="5">
        <f t="shared" si="1"/>
        <v>0.11531199002042054</v>
      </c>
    </row>
    <row r="130" spans="1:15" x14ac:dyDescent="0.3">
      <c r="A130" t="s">
        <v>389</v>
      </c>
      <c r="B130" t="s">
        <v>390</v>
      </c>
      <c r="C130" t="s">
        <v>391</v>
      </c>
      <c r="D130" t="s">
        <v>241</v>
      </c>
      <c r="E130" t="s">
        <v>67</v>
      </c>
      <c r="F130" t="s">
        <v>68</v>
      </c>
      <c r="G130">
        <v>5</v>
      </c>
      <c r="H130">
        <v>31.31</v>
      </c>
      <c r="I130">
        <v>156.55000000000001</v>
      </c>
      <c r="J130">
        <v>4.04</v>
      </c>
      <c r="K130">
        <v>40.01</v>
      </c>
      <c r="L130" t="s">
        <v>48</v>
      </c>
      <c r="M130" t="s">
        <v>41</v>
      </c>
      <c r="N130" t="s">
        <v>35</v>
      </c>
      <c r="O130" s="5">
        <f t="shared" si="1"/>
        <v>0.25557329926541039</v>
      </c>
    </row>
    <row r="131" spans="1:15" x14ac:dyDescent="0.3">
      <c r="A131" t="s">
        <v>392</v>
      </c>
      <c r="B131" t="s">
        <v>393</v>
      </c>
      <c r="C131" t="s">
        <v>290</v>
      </c>
      <c r="D131" t="s">
        <v>21</v>
      </c>
      <c r="E131" t="s">
        <v>137</v>
      </c>
      <c r="F131" t="s">
        <v>68</v>
      </c>
      <c r="G131">
        <v>42</v>
      </c>
      <c r="H131">
        <v>36.950000000000003</v>
      </c>
      <c r="I131">
        <v>1551.9</v>
      </c>
      <c r="J131">
        <v>74.260000000000005</v>
      </c>
      <c r="K131">
        <v>301.64</v>
      </c>
      <c r="L131" t="s">
        <v>33</v>
      </c>
      <c r="M131" t="s">
        <v>34</v>
      </c>
      <c r="N131" t="s">
        <v>98</v>
      </c>
      <c r="O131" s="5">
        <f t="shared" si="1"/>
        <v>0.19436819382692183</v>
      </c>
    </row>
    <row r="132" spans="1:15" x14ac:dyDescent="0.3">
      <c r="A132" t="s">
        <v>394</v>
      </c>
      <c r="B132" t="s">
        <v>395</v>
      </c>
      <c r="C132" t="s">
        <v>396</v>
      </c>
      <c r="D132" t="s">
        <v>116</v>
      </c>
      <c r="E132" t="s">
        <v>56</v>
      </c>
      <c r="F132" t="s">
        <v>57</v>
      </c>
      <c r="G132">
        <v>36</v>
      </c>
      <c r="H132">
        <v>57.37</v>
      </c>
      <c r="I132">
        <v>2065.3200000000002</v>
      </c>
      <c r="J132">
        <v>94.34</v>
      </c>
      <c r="K132">
        <v>530.98</v>
      </c>
      <c r="L132" t="s">
        <v>48</v>
      </c>
      <c r="M132" t="s">
        <v>25</v>
      </c>
      <c r="N132" t="s">
        <v>76</v>
      </c>
      <c r="O132" s="5">
        <f t="shared" si="1"/>
        <v>0.25709333178393662</v>
      </c>
    </row>
    <row r="133" spans="1:15" x14ac:dyDescent="0.3">
      <c r="A133" t="s">
        <v>397</v>
      </c>
      <c r="B133" t="s">
        <v>398</v>
      </c>
      <c r="C133" t="s">
        <v>44</v>
      </c>
      <c r="D133" t="s">
        <v>123</v>
      </c>
      <c r="E133" t="s">
        <v>137</v>
      </c>
      <c r="F133" t="s">
        <v>68</v>
      </c>
      <c r="G133">
        <v>13</v>
      </c>
      <c r="H133">
        <v>40.18</v>
      </c>
      <c r="I133">
        <v>522.34</v>
      </c>
      <c r="J133">
        <v>37.369999999999997</v>
      </c>
      <c r="K133">
        <v>120.97</v>
      </c>
      <c r="L133" t="s">
        <v>33</v>
      </c>
      <c r="M133" t="s">
        <v>41</v>
      </c>
      <c r="N133" t="s">
        <v>76</v>
      </c>
      <c r="O133" s="5">
        <f t="shared" si="1"/>
        <v>0.23159244936248419</v>
      </c>
    </row>
    <row r="134" spans="1:15" x14ac:dyDescent="0.3">
      <c r="A134" t="s">
        <v>399</v>
      </c>
      <c r="B134" t="s">
        <v>400</v>
      </c>
      <c r="C134" t="s">
        <v>328</v>
      </c>
      <c r="D134" t="s">
        <v>127</v>
      </c>
      <c r="E134" t="s">
        <v>46</v>
      </c>
      <c r="F134" t="s">
        <v>47</v>
      </c>
      <c r="G134">
        <v>37</v>
      </c>
      <c r="H134">
        <v>39.299999999999997</v>
      </c>
      <c r="I134">
        <v>1454.1</v>
      </c>
      <c r="J134">
        <v>67.08</v>
      </c>
      <c r="K134">
        <v>203.02</v>
      </c>
      <c r="L134" t="s">
        <v>48</v>
      </c>
      <c r="M134" t="s">
        <v>25</v>
      </c>
      <c r="N134" t="s">
        <v>76</v>
      </c>
      <c r="O134" s="5">
        <f t="shared" si="1"/>
        <v>0.13961900832129842</v>
      </c>
    </row>
    <row r="135" spans="1:15" x14ac:dyDescent="0.3">
      <c r="A135" t="s">
        <v>401</v>
      </c>
      <c r="B135" t="s">
        <v>402</v>
      </c>
      <c r="C135" t="s">
        <v>307</v>
      </c>
      <c r="D135" t="s">
        <v>55</v>
      </c>
      <c r="E135" t="s">
        <v>46</v>
      </c>
      <c r="F135" t="s">
        <v>47</v>
      </c>
      <c r="G135">
        <v>17</v>
      </c>
      <c r="H135">
        <v>43.28</v>
      </c>
      <c r="I135">
        <v>735.76</v>
      </c>
      <c r="J135">
        <v>50.96</v>
      </c>
      <c r="K135">
        <v>140.80000000000001</v>
      </c>
      <c r="L135" t="s">
        <v>33</v>
      </c>
      <c r="M135" t="s">
        <v>34</v>
      </c>
      <c r="N135" t="s">
        <v>98</v>
      </c>
      <c r="O135" s="5">
        <f t="shared" ref="O135:O198" si="2">K135/I135</f>
        <v>0.19136675002718279</v>
      </c>
    </row>
    <row r="136" spans="1:15" x14ac:dyDescent="0.3">
      <c r="A136" t="s">
        <v>403</v>
      </c>
      <c r="B136" t="s">
        <v>404</v>
      </c>
      <c r="C136" t="s">
        <v>20</v>
      </c>
      <c r="D136" t="s">
        <v>123</v>
      </c>
      <c r="E136" t="s">
        <v>22</v>
      </c>
      <c r="F136" t="s">
        <v>23</v>
      </c>
      <c r="G136">
        <v>22</v>
      </c>
      <c r="H136">
        <v>62.79</v>
      </c>
      <c r="I136">
        <v>1381.38</v>
      </c>
      <c r="J136">
        <v>75.84</v>
      </c>
      <c r="K136">
        <v>535.54</v>
      </c>
      <c r="L136" t="s">
        <v>48</v>
      </c>
      <c r="M136" t="s">
        <v>41</v>
      </c>
      <c r="N136" t="s">
        <v>76</v>
      </c>
      <c r="O136" s="5">
        <f t="shared" si="2"/>
        <v>0.38768477898912673</v>
      </c>
    </row>
    <row r="137" spans="1:15" x14ac:dyDescent="0.3">
      <c r="A137" t="s">
        <v>405</v>
      </c>
      <c r="B137" t="s">
        <v>406</v>
      </c>
      <c r="C137" t="s">
        <v>249</v>
      </c>
      <c r="D137" t="s">
        <v>241</v>
      </c>
      <c r="E137" t="s">
        <v>56</v>
      </c>
      <c r="F137" t="s">
        <v>57</v>
      </c>
      <c r="G137">
        <v>23</v>
      </c>
      <c r="H137">
        <v>56.76</v>
      </c>
      <c r="I137">
        <v>1305.48</v>
      </c>
      <c r="J137">
        <v>62.93</v>
      </c>
      <c r="K137">
        <v>322.55</v>
      </c>
      <c r="L137" t="s">
        <v>48</v>
      </c>
      <c r="M137" t="s">
        <v>41</v>
      </c>
      <c r="N137" t="s">
        <v>35</v>
      </c>
      <c r="O137" s="5">
        <f t="shared" si="2"/>
        <v>0.24707387321138585</v>
      </c>
    </row>
    <row r="138" spans="1:15" x14ac:dyDescent="0.3">
      <c r="A138" t="s">
        <v>407</v>
      </c>
      <c r="B138" t="s">
        <v>408</v>
      </c>
      <c r="C138" t="s">
        <v>40</v>
      </c>
      <c r="D138" t="s">
        <v>31</v>
      </c>
      <c r="E138" t="s">
        <v>56</v>
      </c>
      <c r="F138" t="s">
        <v>57</v>
      </c>
      <c r="G138">
        <v>22</v>
      </c>
      <c r="H138">
        <v>60.13</v>
      </c>
      <c r="I138">
        <v>1322.86</v>
      </c>
      <c r="J138">
        <v>54.06</v>
      </c>
      <c r="K138">
        <v>388.8</v>
      </c>
      <c r="L138" t="s">
        <v>48</v>
      </c>
      <c r="M138" t="s">
        <v>34</v>
      </c>
      <c r="N138" t="s">
        <v>35</v>
      </c>
      <c r="O138" s="5">
        <f t="shared" si="2"/>
        <v>0.2939086524651135</v>
      </c>
    </row>
    <row r="139" spans="1:15" x14ac:dyDescent="0.3">
      <c r="A139" t="s">
        <v>409</v>
      </c>
      <c r="B139" t="s">
        <v>386</v>
      </c>
      <c r="C139" t="s">
        <v>410</v>
      </c>
      <c r="D139" t="s">
        <v>116</v>
      </c>
      <c r="E139" t="s">
        <v>74</v>
      </c>
      <c r="F139" t="s">
        <v>75</v>
      </c>
      <c r="G139">
        <v>21</v>
      </c>
      <c r="H139">
        <v>40.98</v>
      </c>
      <c r="I139">
        <v>860.58</v>
      </c>
      <c r="J139">
        <v>37.01</v>
      </c>
      <c r="K139">
        <v>298.57</v>
      </c>
      <c r="L139" t="s">
        <v>24</v>
      </c>
      <c r="M139" t="s">
        <v>41</v>
      </c>
      <c r="N139" t="s">
        <v>76</v>
      </c>
      <c r="O139" s="5">
        <f t="shared" si="2"/>
        <v>0.34694043552023052</v>
      </c>
    </row>
    <row r="140" spans="1:15" x14ac:dyDescent="0.3">
      <c r="A140" t="s">
        <v>411</v>
      </c>
      <c r="B140" t="s">
        <v>412</v>
      </c>
      <c r="C140" t="s">
        <v>188</v>
      </c>
      <c r="D140" t="s">
        <v>45</v>
      </c>
      <c r="E140" t="s">
        <v>56</v>
      </c>
      <c r="F140" t="s">
        <v>57</v>
      </c>
      <c r="G140">
        <v>36</v>
      </c>
      <c r="H140">
        <v>54.6</v>
      </c>
      <c r="I140">
        <v>1965.6</v>
      </c>
      <c r="J140">
        <v>150.34</v>
      </c>
      <c r="K140">
        <v>375.26</v>
      </c>
      <c r="L140" t="s">
        <v>33</v>
      </c>
      <c r="M140" t="s">
        <v>25</v>
      </c>
      <c r="N140" t="s">
        <v>49</v>
      </c>
      <c r="O140" s="5">
        <f t="shared" si="2"/>
        <v>0.19091371591371592</v>
      </c>
    </row>
    <row r="141" spans="1:15" x14ac:dyDescent="0.3">
      <c r="A141" t="s">
        <v>413</v>
      </c>
      <c r="B141" t="s">
        <v>414</v>
      </c>
      <c r="C141" t="s">
        <v>360</v>
      </c>
      <c r="D141" t="s">
        <v>37</v>
      </c>
      <c r="E141" t="s">
        <v>81</v>
      </c>
      <c r="F141" t="s">
        <v>68</v>
      </c>
      <c r="G141">
        <v>1</v>
      </c>
      <c r="H141">
        <v>27.49</v>
      </c>
      <c r="I141">
        <v>27.49</v>
      </c>
      <c r="J141">
        <v>0.63</v>
      </c>
      <c r="K141">
        <v>11.36</v>
      </c>
      <c r="L141" t="s">
        <v>33</v>
      </c>
      <c r="M141" t="s">
        <v>41</v>
      </c>
      <c r="N141" t="s">
        <v>35</v>
      </c>
      <c r="O141" s="5">
        <f t="shared" si="2"/>
        <v>0.41324117861040377</v>
      </c>
    </row>
    <row r="142" spans="1:15" x14ac:dyDescent="0.3">
      <c r="A142" t="s">
        <v>415</v>
      </c>
      <c r="B142" t="s">
        <v>416</v>
      </c>
      <c r="C142" t="s">
        <v>417</v>
      </c>
      <c r="D142" t="s">
        <v>116</v>
      </c>
      <c r="E142" t="s">
        <v>46</v>
      </c>
      <c r="F142" t="s">
        <v>47</v>
      </c>
      <c r="G142">
        <v>50</v>
      </c>
      <c r="H142">
        <v>41.11</v>
      </c>
      <c r="I142">
        <v>2055.5</v>
      </c>
      <c r="J142">
        <v>95.61</v>
      </c>
      <c r="K142">
        <v>359.89</v>
      </c>
      <c r="L142" t="s">
        <v>48</v>
      </c>
      <c r="M142" t="s">
        <v>34</v>
      </c>
      <c r="N142" t="s">
        <v>76</v>
      </c>
      <c r="O142" s="5">
        <f t="shared" si="2"/>
        <v>0.17508635368523473</v>
      </c>
    </row>
    <row r="143" spans="1:15" x14ac:dyDescent="0.3">
      <c r="A143" t="s">
        <v>418</v>
      </c>
      <c r="B143" t="s">
        <v>419</v>
      </c>
      <c r="C143" t="s">
        <v>191</v>
      </c>
      <c r="D143" t="s">
        <v>51</v>
      </c>
      <c r="E143" t="s">
        <v>81</v>
      </c>
      <c r="F143" t="s">
        <v>68</v>
      </c>
      <c r="G143">
        <v>18</v>
      </c>
      <c r="H143">
        <v>25.54</v>
      </c>
      <c r="I143">
        <v>459.72</v>
      </c>
      <c r="J143">
        <v>27.02</v>
      </c>
      <c r="K143">
        <v>153.69999999999999</v>
      </c>
      <c r="L143" t="s">
        <v>33</v>
      </c>
      <c r="M143" t="s">
        <v>25</v>
      </c>
      <c r="N143" t="s">
        <v>76</v>
      </c>
      <c r="O143" s="5">
        <f t="shared" si="2"/>
        <v>0.33433394239972153</v>
      </c>
    </row>
    <row r="144" spans="1:15" x14ac:dyDescent="0.3">
      <c r="A144" t="s">
        <v>420</v>
      </c>
      <c r="B144" t="s">
        <v>421</v>
      </c>
      <c r="C144" t="s">
        <v>369</v>
      </c>
      <c r="D144" t="s">
        <v>127</v>
      </c>
      <c r="E144" t="s">
        <v>137</v>
      </c>
      <c r="F144" t="s">
        <v>68</v>
      </c>
      <c r="G144">
        <v>4</v>
      </c>
      <c r="H144">
        <v>47.52</v>
      </c>
      <c r="I144">
        <v>190.08</v>
      </c>
      <c r="J144">
        <v>10.23</v>
      </c>
      <c r="K144">
        <v>67.849999999999994</v>
      </c>
      <c r="L144" t="s">
        <v>24</v>
      </c>
      <c r="M144" t="s">
        <v>25</v>
      </c>
      <c r="N144" t="s">
        <v>76</v>
      </c>
      <c r="O144" s="5">
        <f t="shared" si="2"/>
        <v>0.35695496632996626</v>
      </c>
    </row>
    <row r="145" spans="1:15" x14ac:dyDescent="0.3">
      <c r="A145" t="s">
        <v>422</v>
      </c>
      <c r="B145" t="s">
        <v>423</v>
      </c>
      <c r="C145" t="s">
        <v>272</v>
      </c>
      <c r="D145" t="s">
        <v>37</v>
      </c>
      <c r="E145" t="s">
        <v>74</v>
      </c>
      <c r="F145" t="s">
        <v>75</v>
      </c>
      <c r="G145">
        <v>29</v>
      </c>
      <c r="H145">
        <v>30.48</v>
      </c>
      <c r="I145">
        <v>883.92</v>
      </c>
      <c r="J145">
        <v>33.15</v>
      </c>
      <c r="K145">
        <v>125.77</v>
      </c>
      <c r="L145" t="s">
        <v>48</v>
      </c>
      <c r="M145" t="s">
        <v>25</v>
      </c>
      <c r="N145" t="s">
        <v>35</v>
      </c>
      <c r="O145" s="5">
        <f t="shared" si="2"/>
        <v>0.14228663227441399</v>
      </c>
    </row>
    <row r="146" spans="1:15" x14ac:dyDescent="0.3">
      <c r="A146" t="s">
        <v>424</v>
      </c>
      <c r="B146" t="s">
        <v>256</v>
      </c>
      <c r="C146" t="s">
        <v>269</v>
      </c>
      <c r="D146" t="s">
        <v>141</v>
      </c>
      <c r="E146" t="s">
        <v>56</v>
      </c>
      <c r="F146" t="s">
        <v>57</v>
      </c>
      <c r="G146">
        <v>27</v>
      </c>
      <c r="H146">
        <v>50.39</v>
      </c>
      <c r="I146">
        <v>1360.53</v>
      </c>
      <c r="J146">
        <v>106.4</v>
      </c>
      <c r="K146">
        <v>174.13</v>
      </c>
      <c r="L146" t="s">
        <v>33</v>
      </c>
      <c r="M146" t="s">
        <v>34</v>
      </c>
      <c r="N146" t="s">
        <v>142</v>
      </c>
      <c r="O146" s="5">
        <f t="shared" si="2"/>
        <v>0.12798688746297399</v>
      </c>
    </row>
    <row r="147" spans="1:15" x14ac:dyDescent="0.3">
      <c r="A147" t="s">
        <v>425</v>
      </c>
      <c r="B147" t="s">
        <v>426</v>
      </c>
      <c r="C147" t="s">
        <v>232</v>
      </c>
      <c r="D147" t="s">
        <v>241</v>
      </c>
      <c r="E147" t="s">
        <v>74</v>
      </c>
      <c r="F147" t="s">
        <v>75</v>
      </c>
      <c r="G147">
        <v>34</v>
      </c>
      <c r="H147">
        <v>37.68</v>
      </c>
      <c r="I147">
        <v>1281.1199999999999</v>
      </c>
      <c r="J147">
        <v>54.86</v>
      </c>
      <c r="K147">
        <v>376.26</v>
      </c>
      <c r="L147" t="s">
        <v>48</v>
      </c>
      <c r="M147" t="s">
        <v>25</v>
      </c>
      <c r="N147" t="s">
        <v>35</v>
      </c>
      <c r="O147" s="5">
        <f t="shared" si="2"/>
        <v>0.2936961408767329</v>
      </c>
    </row>
    <row r="148" spans="1:15" x14ac:dyDescent="0.3">
      <c r="A148" t="s">
        <v>427</v>
      </c>
      <c r="B148" t="s">
        <v>109</v>
      </c>
      <c r="C148" t="s">
        <v>428</v>
      </c>
      <c r="D148" t="s">
        <v>127</v>
      </c>
      <c r="E148" t="s">
        <v>74</v>
      </c>
      <c r="F148" t="s">
        <v>75</v>
      </c>
      <c r="G148">
        <v>3</v>
      </c>
      <c r="H148">
        <v>39.32</v>
      </c>
      <c r="I148">
        <v>117.96</v>
      </c>
      <c r="J148">
        <v>6.97</v>
      </c>
      <c r="K148">
        <v>35.99</v>
      </c>
      <c r="L148" t="s">
        <v>33</v>
      </c>
      <c r="M148" t="s">
        <v>34</v>
      </c>
      <c r="N148" t="s">
        <v>76</v>
      </c>
      <c r="O148" s="5">
        <f t="shared" si="2"/>
        <v>0.3051034248897932</v>
      </c>
    </row>
    <row r="149" spans="1:15" x14ac:dyDescent="0.3">
      <c r="A149" t="s">
        <v>429</v>
      </c>
      <c r="B149" t="s">
        <v>390</v>
      </c>
      <c r="C149" t="s">
        <v>372</v>
      </c>
      <c r="D149" t="s">
        <v>55</v>
      </c>
      <c r="E149" t="s">
        <v>86</v>
      </c>
      <c r="F149" t="s">
        <v>47</v>
      </c>
      <c r="G149">
        <v>24</v>
      </c>
      <c r="H149">
        <v>18</v>
      </c>
      <c r="I149">
        <v>432</v>
      </c>
      <c r="J149">
        <v>22.68</v>
      </c>
      <c r="K149">
        <v>103.32</v>
      </c>
      <c r="L149" t="s">
        <v>24</v>
      </c>
      <c r="M149" t="s">
        <v>41</v>
      </c>
      <c r="N149" t="s">
        <v>98</v>
      </c>
      <c r="O149" s="5">
        <f t="shared" si="2"/>
        <v>0.23916666666666664</v>
      </c>
    </row>
    <row r="150" spans="1:15" x14ac:dyDescent="0.3">
      <c r="A150" t="s">
        <v>430</v>
      </c>
      <c r="B150" t="s">
        <v>431</v>
      </c>
      <c r="C150" t="s">
        <v>162</v>
      </c>
      <c r="D150" t="s">
        <v>31</v>
      </c>
      <c r="E150" t="s">
        <v>67</v>
      </c>
      <c r="F150" t="s">
        <v>68</v>
      </c>
      <c r="G150">
        <v>5</v>
      </c>
      <c r="H150">
        <v>36.43</v>
      </c>
      <c r="I150">
        <v>182.15</v>
      </c>
      <c r="J150">
        <v>7.82</v>
      </c>
      <c r="K150">
        <v>61.83</v>
      </c>
      <c r="L150" t="s">
        <v>24</v>
      </c>
      <c r="M150" t="s">
        <v>41</v>
      </c>
      <c r="N150" t="s">
        <v>35</v>
      </c>
      <c r="O150" s="5">
        <f t="shared" si="2"/>
        <v>0.33944551194070821</v>
      </c>
    </row>
    <row r="151" spans="1:15" x14ac:dyDescent="0.3">
      <c r="A151" t="s">
        <v>432</v>
      </c>
      <c r="B151" t="s">
        <v>433</v>
      </c>
      <c r="C151" t="s">
        <v>170</v>
      </c>
      <c r="D151" t="s">
        <v>51</v>
      </c>
      <c r="E151" t="s">
        <v>67</v>
      </c>
      <c r="F151" t="s">
        <v>68</v>
      </c>
      <c r="G151">
        <v>27</v>
      </c>
      <c r="H151">
        <v>38.39</v>
      </c>
      <c r="I151">
        <v>1036.53</v>
      </c>
      <c r="J151">
        <v>28.6</v>
      </c>
      <c r="K151">
        <v>400.43</v>
      </c>
      <c r="L151" t="s">
        <v>33</v>
      </c>
      <c r="M151" t="s">
        <v>25</v>
      </c>
      <c r="N151" t="s">
        <v>76</v>
      </c>
      <c r="O151" s="5">
        <f t="shared" si="2"/>
        <v>0.38631781038657831</v>
      </c>
    </row>
    <row r="152" spans="1:15" x14ac:dyDescent="0.3">
      <c r="A152" t="s">
        <v>434</v>
      </c>
      <c r="B152" t="s">
        <v>435</v>
      </c>
      <c r="C152" t="s">
        <v>219</v>
      </c>
      <c r="D152" t="s">
        <v>45</v>
      </c>
      <c r="E152" t="s">
        <v>137</v>
      </c>
      <c r="F152" t="s">
        <v>68</v>
      </c>
      <c r="G152">
        <v>10</v>
      </c>
      <c r="H152">
        <v>47.5</v>
      </c>
      <c r="I152">
        <v>475</v>
      </c>
      <c r="J152">
        <v>15.95</v>
      </c>
      <c r="K152">
        <v>179.05</v>
      </c>
      <c r="L152" t="s">
        <v>24</v>
      </c>
      <c r="M152" t="s">
        <v>25</v>
      </c>
      <c r="N152" t="s">
        <v>49</v>
      </c>
      <c r="O152" s="5">
        <f t="shared" si="2"/>
        <v>0.37694736842105264</v>
      </c>
    </row>
    <row r="153" spans="1:15" x14ac:dyDescent="0.3">
      <c r="A153" t="s">
        <v>436</v>
      </c>
      <c r="B153" t="s">
        <v>274</v>
      </c>
      <c r="C153" t="s">
        <v>437</v>
      </c>
      <c r="D153" t="s">
        <v>123</v>
      </c>
      <c r="E153" t="s">
        <v>46</v>
      </c>
      <c r="F153" t="s">
        <v>47</v>
      </c>
      <c r="G153">
        <v>47</v>
      </c>
      <c r="H153">
        <v>50.13</v>
      </c>
      <c r="I153">
        <v>2356.11</v>
      </c>
      <c r="J153">
        <v>166.22</v>
      </c>
      <c r="K153">
        <v>685.89</v>
      </c>
      <c r="L153" t="s">
        <v>24</v>
      </c>
      <c r="M153" t="s">
        <v>25</v>
      </c>
      <c r="N153" t="s">
        <v>76</v>
      </c>
      <c r="O153" s="5">
        <f t="shared" si="2"/>
        <v>0.29111119599679131</v>
      </c>
    </row>
    <row r="154" spans="1:15" x14ac:dyDescent="0.3">
      <c r="A154" t="s">
        <v>438</v>
      </c>
      <c r="B154" t="s">
        <v>439</v>
      </c>
      <c r="C154" t="s">
        <v>440</v>
      </c>
      <c r="D154" t="s">
        <v>62</v>
      </c>
      <c r="E154" t="s">
        <v>137</v>
      </c>
      <c r="F154" t="s">
        <v>68</v>
      </c>
      <c r="G154">
        <v>47</v>
      </c>
      <c r="H154">
        <v>42.25</v>
      </c>
      <c r="I154">
        <v>1985.75</v>
      </c>
      <c r="J154">
        <v>116.75</v>
      </c>
      <c r="K154">
        <v>553</v>
      </c>
      <c r="L154" t="s">
        <v>33</v>
      </c>
      <c r="M154" t="s">
        <v>25</v>
      </c>
      <c r="N154" t="s">
        <v>98</v>
      </c>
      <c r="O154" s="5">
        <f t="shared" si="2"/>
        <v>0.27848419992446177</v>
      </c>
    </row>
    <row r="155" spans="1:15" x14ac:dyDescent="0.3">
      <c r="A155" t="s">
        <v>441</v>
      </c>
      <c r="B155" t="s">
        <v>121</v>
      </c>
      <c r="C155" t="s">
        <v>442</v>
      </c>
      <c r="D155" t="s">
        <v>51</v>
      </c>
      <c r="E155" t="s">
        <v>74</v>
      </c>
      <c r="F155" t="s">
        <v>75</v>
      </c>
      <c r="G155">
        <v>18</v>
      </c>
      <c r="H155">
        <v>38.26</v>
      </c>
      <c r="I155">
        <v>688.68</v>
      </c>
      <c r="J155">
        <v>18.78</v>
      </c>
      <c r="K155">
        <v>219.9</v>
      </c>
      <c r="L155" t="s">
        <v>33</v>
      </c>
      <c r="M155" t="s">
        <v>25</v>
      </c>
      <c r="N155" t="s">
        <v>76</v>
      </c>
      <c r="O155" s="5">
        <f t="shared" si="2"/>
        <v>0.31930649939013767</v>
      </c>
    </row>
    <row r="156" spans="1:15" x14ac:dyDescent="0.3">
      <c r="A156" t="s">
        <v>443</v>
      </c>
      <c r="B156" t="s">
        <v>444</v>
      </c>
      <c r="C156" t="s">
        <v>140</v>
      </c>
      <c r="D156" t="s">
        <v>116</v>
      </c>
      <c r="E156" t="s">
        <v>137</v>
      </c>
      <c r="F156" t="s">
        <v>68</v>
      </c>
      <c r="G156">
        <v>31</v>
      </c>
      <c r="H156">
        <v>46.66</v>
      </c>
      <c r="I156">
        <v>1446.46</v>
      </c>
      <c r="J156">
        <v>109.24</v>
      </c>
      <c r="K156">
        <v>469.22</v>
      </c>
      <c r="L156" t="s">
        <v>24</v>
      </c>
      <c r="M156" t="s">
        <v>41</v>
      </c>
      <c r="N156" t="s">
        <v>76</v>
      </c>
      <c r="O156" s="5">
        <f t="shared" si="2"/>
        <v>0.32439196382893409</v>
      </c>
    </row>
    <row r="157" spans="1:15" x14ac:dyDescent="0.3">
      <c r="A157" t="s">
        <v>445</v>
      </c>
      <c r="B157" t="s">
        <v>446</v>
      </c>
      <c r="C157" t="s">
        <v>447</v>
      </c>
      <c r="D157" t="s">
        <v>141</v>
      </c>
      <c r="E157" t="s">
        <v>46</v>
      </c>
      <c r="F157" t="s">
        <v>47</v>
      </c>
      <c r="G157">
        <v>41</v>
      </c>
      <c r="H157">
        <v>52.65</v>
      </c>
      <c r="I157">
        <v>2158.65</v>
      </c>
      <c r="J157">
        <v>110.1</v>
      </c>
      <c r="K157">
        <v>736.55</v>
      </c>
      <c r="L157" t="s">
        <v>33</v>
      </c>
      <c r="M157" t="s">
        <v>41</v>
      </c>
      <c r="N157" t="s">
        <v>142</v>
      </c>
      <c r="O157" s="5">
        <f t="shared" si="2"/>
        <v>0.34120862576147126</v>
      </c>
    </row>
    <row r="158" spans="1:15" x14ac:dyDescent="0.3">
      <c r="A158" t="s">
        <v>448</v>
      </c>
      <c r="B158" t="s">
        <v>449</v>
      </c>
      <c r="C158" t="s">
        <v>185</v>
      </c>
      <c r="D158" t="s">
        <v>127</v>
      </c>
      <c r="E158" t="s">
        <v>32</v>
      </c>
      <c r="F158" t="s">
        <v>23</v>
      </c>
      <c r="G158">
        <v>28</v>
      </c>
      <c r="H158">
        <v>22.66</v>
      </c>
      <c r="I158">
        <v>634.48</v>
      </c>
      <c r="J158">
        <v>15.55</v>
      </c>
      <c r="K158">
        <v>114.93</v>
      </c>
      <c r="L158" t="s">
        <v>48</v>
      </c>
      <c r="M158" t="s">
        <v>25</v>
      </c>
      <c r="N158" t="s">
        <v>76</v>
      </c>
      <c r="O158" s="5">
        <f t="shared" si="2"/>
        <v>0.1811404614802673</v>
      </c>
    </row>
    <row r="159" spans="1:15" x14ac:dyDescent="0.3">
      <c r="A159" t="s">
        <v>450</v>
      </c>
      <c r="B159" t="s">
        <v>451</v>
      </c>
      <c r="C159" t="s">
        <v>428</v>
      </c>
      <c r="D159" t="s">
        <v>62</v>
      </c>
      <c r="E159" t="s">
        <v>81</v>
      </c>
      <c r="F159" t="s">
        <v>68</v>
      </c>
      <c r="G159">
        <v>48</v>
      </c>
      <c r="H159">
        <v>25.07</v>
      </c>
      <c r="I159">
        <v>1203.3599999999999</v>
      </c>
      <c r="J159">
        <v>29.93</v>
      </c>
      <c r="K159">
        <v>429.43</v>
      </c>
      <c r="L159" t="s">
        <v>33</v>
      </c>
      <c r="M159" t="s">
        <v>34</v>
      </c>
      <c r="N159" t="s">
        <v>98</v>
      </c>
      <c r="O159" s="5">
        <f t="shared" si="2"/>
        <v>0.35685912777556178</v>
      </c>
    </row>
    <row r="160" spans="1:15" x14ac:dyDescent="0.3">
      <c r="A160" t="s">
        <v>452</v>
      </c>
      <c r="B160" t="s">
        <v>240</v>
      </c>
      <c r="C160" t="s">
        <v>44</v>
      </c>
      <c r="D160" t="s">
        <v>45</v>
      </c>
      <c r="E160" t="s">
        <v>32</v>
      </c>
      <c r="F160" t="s">
        <v>23</v>
      </c>
      <c r="G160">
        <v>31</v>
      </c>
      <c r="H160">
        <v>30.53</v>
      </c>
      <c r="I160">
        <v>946.43</v>
      </c>
      <c r="J160">
        <v>72.150000000000006</v>
      </c>
      <c r="K160">
        <v>316.27999999999997</v>
      </c>
      <c r="L160" t="s">
        <v>48</v>
      </c>
      <c r="M160" t="s">
        <v>34</v>
      </c>
      <c r="N160" t="s">
        <v>49</v>
      </c>
      <c r="O160" s="5">
        <f t="shared" si="2"/>
        <v>0.33418213708356664</v>
      </c>
    </row>
    <row r="161" spans="1:15" x14ac:dyDescent="0.3">
      <c r="A161" t="s">
        <v>453</v>
      </c>
      <c r="B161" t="s">
        <v>454</v>
      </c>
      <c r="C161" t="s">
        <v>455</v>
      </c>
      <c r="D161" t="s">
        <v>141</v>
      </c>
      <c r="E161" t="s">
        <v>67</v>
      </c>
      <c r="F161" t="s">
        <v>68</v>
      </c>
      <c r="G161">
        <v>33</v>
      </c>
      <c r="H161">
        <v>31</v>
      </c>
      <c r="I161">
        <v>1023</v>
      </c>
      <c r="J161">
        <v>63.94</v>
      </c>
      <c r="K161">
        <v>216.56</v>
      </c>
      <c r="L161" t="s">
        <v>33</v>
      </c>
      <c r="M161" t="s">
        <v>25</v>
      </c>
      <c r="N161" t="s">
        <v>142</v>
      </c>
      <c r="O161" s="5">
        <f t="shared" si="2"/>
        <v>0.21169110459433041</v>
      </c>
    </row>
    <row r="162" spans="1:15" x14ac:dyDescent="0.3">
      <c r="A162" t="s">
        <v>456</v>
      </c>
      <c r="B162" t="s">
        <v>457</v>
      </c>
      <c r="C162" t="s">
        <v>191</v>
      </c>
      <c r="D162" t="s">
        <v>31</v>
      </c>
      <c r="E162" t="s">
        <v>81</v>
      </c>
      <c r="F162" t="s">
        <v>68</v>
      </c>
      <c r="G162">
        <v>32</v>
      </c>
      <c r="H162">
        <v>20.86</v>
      </c>
      <c r="I162">
        <v>667.52</v>
      </c>
      <c r="J162">
        <v>21.62</v>
      </c>
      <c r="K162">
        <v>149.9</v>
      </c>
      <c r="L162" t="s">
        <v>48</v>
      </c>
      <c r="M162" t="s">
        <v>41</v>
      </c>
      <c r="N162" t="s">
        <v>35</v>
      </c>
      <c r="O162" s="5">
        <f t="shared" si="2"/>
        <v>0.22456255992329818</v>
      </c>
    </row>
    <row r="163" spans="1:15" x14ac:dyDescent="0.3">
      <c r="A163" t="s">
        <v>458</v>
      </c>
      <c r="B163" t="s">
        <v>330</v>
      </c>
      <c r="C163" t="s">
        <v>222</v>
      </c>
      <c r="D163" t="s">
        <v>241</v>
      </c>
      <c r="E163" t="s">
        <v>63</v>
      </c>
      <c r="F163" t="s">
        <v>47</v>
      </c>
      <c r="G163">
        <v>18</v>
      </c>
      <c r="H163">
        <v>24.61</v>
      </c>
      <c r="I163">
        <v>442.98</v>
      </c>
      <c r="J163">
        <v>26.99</v>
      </c>
      <c r="K163">
        <v>55.99</v>
      </c>
      <c r="L163" t="s">
        <v>48</v>
      </c>
      <c r="M163" t="s">
        <v>25</v>
      </c>
      <c r="N163" t="s">
        <v>35</v>
      </c>
      <c r="O163" s="5">
        <f t="shared" si="2"/>
        <v>0.12639396812497178</v>
      </c>
    </row>
    <row r="164" spans="1:15" x14ac:dyDescent="0.3">
      <c r="A164" t="s">
        <v>459</v>
      </c>
      <c r="B164" t="s">
        <v>460</v>
      </c>
      <c r="C164" t="s">
        <v>154</v>
      </c>
      <c r="D164" t="s">
        <v>116</v>
      </c>
      <c r="E164" t="s">
        <v>56</v>
      </c>
      <c r="F164" t="s">
        <v>57</v>
      </c>
      <c r="G164">
        <v>18</v>
      </c>
      <c r="H164">
        <v>64.83</v>
      </c>
      <c r="I164">
        <v>1166.94</v>
      </c>
      <c r="J164">
        <v>34.28</v>
      </c>
      <c r="K164">
        <v>412.66</v>
      </c>
      <c r="L164" t="s">
        <v>48</v>
      </c>
      <c r="M164" t="s">
        <v>25</v>
      </c>
      <c r="N164" t="s">
        <v>76</v>
      </c>
      <c r="O164" s="5">
        <f t="shared" si="2"/>
        <v>0.35362572197370901</v>
      </c>
    </row>
    <row r="165" spans="1:15" x14ac:dyDescent="0.3">
      <c r="A165" t="s">
        <v>461</v>
      </c>
      <c r="B165" t="s">
        <v>133</v>
      </c>
      <c r="C165" t="s">
        <v>462</v>
      </c>
      <c r="D165" t="s">
        <v>62</v>
      </c>
      <c r="E165" t="s">
        <v>63</v>
      </c>
      <c r="F165" t="s">
        <v>47</v>
      </c>
      <c r="G165">
        <v>49</v>
      </c>
      <c r="H165">
        <v>29.52</v>
      </c>
      <c r="I165">
        <v>1446.48</v>
      </c>
      <c r="J165">
        <v>104.7</v>
      </c>
      <c r="K165">
        <v>361.78</v>
      </c>
      <c r="L165" t="s">
        <v>48</v>
      </c>
      <c r="M165" t="s">
        <v>41</v>
      </c>
      <c r="N165" t="s">
        <v>98</v>
      </c>
      <c r="O165" s="5">
        <f t="shared" si="2"/>
        <v>0.25011061335103146</v>
      </c>
    </row>
    <row r="166" spans="1:15" x14ac:dyDescent="0.3">
      <c r="A166" t="s">
        <v>463</v>
      </c>
      <c r="B166" t="s">
        <v>464</v>
      </c>
      <c r="C166" t="s">
        <v>465</v>
      </c>
      <c r="D166" t="s">
        <v>141</v>
      </c>
      <c r="E166" t="s">
        <v>63</v>
      </c>
      <c r="F166" t="s">
        <v>47</v>
      </c>
      <c r="G166">
        <v>10</v>
      </c>
      <c r="H166">
        <v>26.73</v>
      </c>
      <c r="I166">
        <v>267.3</v>
      </c>
      <c r="J166">
        <v>10.210000000000001</v>
      </c>
      <c r="K166">
        <v>57.09</v>
      </c>
      <c r="L166" t="s">
        <v>48</v>
      </c>
      <c r="M166" t="s">
        <v>41</v>
      </c>
      <c r="N166" t="s">
        <v>142</v>
      </c>
      <c r="O166" s="5">
        <f t="shared" si="2"/>
        <v>0.21358024691358024</v>
      </c>
    </row>
    <row r="167" spans="1:15" x14ac:dyDescent="0.3">
      <c r="A167" t="s">
        <v>466</v>
      </c>
      <c r="B167" t="s">
        <v>467</v>
      </c>
      <c r="C167" t="s">
        <v>85</v>
      </c>
      <c r="D167" t="s">
        <v>31</v>
      </c>
      <c r="E167" t="s">
        <v>46</v>
      </c>
      <c r="F167" t="s">
        <v>47</v>
      </c>
      <c r="G167">
        <v>10</v>
      </c>
      <c r="H167">
        <v>54.45</v>
      </c>
      <c r="I167">
        <v>544.5</v>
      </c>
      <c r="J167">
        <v>16.59</v>
      </c>
      <c r="K167">
        <v>207.91</v>
      </c>
      <c r="L167" t="s">
        <v>24</v>
      </c>
      <c r="M167" t="s">
        <v>25</v>
      </c>
      <c r="N167" t="s">
        <v>35</v>
      </c>
      <c r="O167" s="5">
        <f t="shared" si="2"/>
        <v>0.38183654729109273</v>
      </c>
    </row>
    <row r="168" spans="1:15" x14ac:dyDescent="0.3">
      <c r="A168" t="s">
        <v>468</v>
      </c>
      <c r="B168" t="s">
        <v>469</v>
      </c>
      <c r="C168" t="s">
        <v>85</v>
      </c>
      <c r="D168" t="s">
        <v>70</v>
      </c>
      <c r="E168" t="s">
        <v>32</v>
      </c>
      <c r="F168" t="s">
        <v>23</v>
      </c>
      <c r="G168">
        <v>46</v>
      </c>
      <c r="H168">
        <v>30.06</v>
      </c>
      <c r="I168">
        <v>1382.76</v>
      </c>
      <c r="J168">
        <v>77.17</v>
      </c>
      <c r="K168">
        <v>477.59</v>
      </c>
      <c r="L168" t="s">
        <v>33</v>
      </c>
      <c r="M168" t="s">
        <v>34</v>
      </c>
      <c r="N168" t="s">
        <v>76</v>
      </c>
      <c r="O168" s="5">
        <f t="shared" si="2"/>
        <v>0.34538893228036677</v>
      </c>
    </row>
    <row r="169" spans="1:15" x14ac:dyDescent="0.3">
      <c r="A169" t="s">
        <v>470</v>
      </c>
      <c r="B169" t="s">
        <v>118</v>
      </c>
      <c r="C169" t="s">
        <v>471</v>
      </c>
      <c r="D169" t="s">
        <v>62</v>
      </c>
      <c r="E169" t="s">
        <v>81</v>
      </c>
      <c r="F169" t="s">
        <v>68</v>
      </c>
      <c r="G169">
        <v>25</v>
      </c>
      <c r="H169">
        <v>21.52</v>
      </c>
      <c r="I169">
        <v>538</v>
      </c>
      <c r="J169">
        <v>26.73</v>
      </c>
      <c r="K169">
        <v>123.77</v>
      </c>
      <c r="L169" t="s">
        <v>33</v>
      </c>
      <c r="M169" t="s">
        <v>25</v>
      </c>
      <c r="N169" t="s">
        <v>98</v>
      </c>
      <c r="O169" s="5">
        <f t="shared" si="2"/>
        <v>0.23005576208178438</v>
      </c>
    </row>
    <row r="170" spans="1:15" x14ac:dyDescent="0.3">
      <c r="A170" t="s">
        <v>472</v>
      </c>
      <c r="B170" t="s">
        <v>473</v>
      </c>
      <c r="C170" t="s">
        <v>334</v>
      </c>
      <c r="D170" t="s">
        <v>70</v>
      </c>
      <c r="E170" t="s">
        <v>32</v>
      </c>
      <c r="F170" t="s">
        <v>23</v>
      </c>
      <c r="G170">
        <v>5</v>
      </c>
      <c r="H170">
        <v>26.25</v>
      </c>
      <c r="I170">
        <v>131.25</v>
      </c>
      <c r="J170">
        <v>3.35</v>
      </c>
      <c r="K170">
        <v>37.9</v>
      </c>
      <c r="L170" t="s">
        <v>33</v>
      </c>
      <c r="M170" t="s">
        <v>34</v>
      </c>
      <c r="N170" t="s">
        <v>76</v>
      </c>
      <c r="O170" s="5">
        <f t="shared" si="2"/>
        <v>0.28876190476190478</v>
      </c>
    </row>
    <row r="171" spans="1:15" x14ac:dyDescent="0.3">
      <c r="A171" t="s">
        <v>474</v>
      </c>
      <c r="B171" t="s">
        <v>281</v>
      </c>
      <c r="C171" t="s">
        <v>475</v>
      </c>
      <c r="D171" t="s">
        <v>31</v>
      </c>
      <c r="E171" t="s">
        <v>74</v>
      </c>
      <c r="F171" t="s">
        <v>75</v>
      </c>
      <c r="G171">
        <v>10</v>
      </c>
      <c r="H171">
        <v>31.48</v>
      </c>
      <c r="I171">
        <v>314.8</v>
      </c>
      <c r="J171">
        <v>10.23</v>
      </c>
      <c r="K171">
        <v>54.57</v>
      </c>
      <c r="L171" t="s">
        <v>48</v>
      </c>
      <c r="M171" t="s">
        <v>41</v>
      </c>
      <c r="N171" t="s">
        <v>35</v>
      </c>
      <c r="O171" s="5">
        <f t="shared" si="2"/>
        <v>0.17334815756035576</v>
      </c>
    </row>
    <row r="172" spans="1:15" x14ac:dyDescent="0.3">
      <c r="A172" t="s">
        <v>476</v>
      </c>
      <c r="B172" t="s">
        <v>477</v>
      </c>
      <c r="C172" t="s">
        <v>177</v>
      </c>
      <c r="D172" t="s">
        <v>45</v>
      </c>
      <c r="E172" t="s">
        <v>63</v>
      </c>
      <c r="F172" t="s">
        <v>47</v>
      </c>
      <c r="G172">
        <v>21</v>
      </c>
      <c r="H172">
        <v>30.91</v>
      </c>
      <c r="I172">
        <v>649.11</v>
      </c>
      <c r="J172">
        <v>38.42</v>
      </c>
      <c r="K172">
        <v>190.69</v>
      </c>
      <c r="L172" t="s">
        <v>33</v>
      </c>
      <c r="M172" t="s">
        <v>41</v>
      </c>
      <c r="N172" t="s">
        <v>49</v>
      </c>
      <c r="O172" s="5">
        <f t="shared" si="2"/>
        <v>0.29377147170741474</v>
      </c>
    </row>
    <row r="173" spans="1:15" x14ac:dyDescent="0.3">
      <c r="A173" t="s">
        <v>478</v>
      </c>
      <c r="B173" t="s">
        <v>479</v>
      </c>
      <c r="C173" t="s">
        <v>480</v>
      </c>
      <c r="D173" t="s">
        <v>116</v>
      </c>
      <c r="E173" t="s">
        <v>86</v>
      </c>
      <c r="F173" t="s">
        <v>47</v>
      </c>
      <c r="G173">
        <v>29</v>
      </c>
      <c r="H173">
        <v>18.47</v>
      </c>
      <c r="I173">
        <v>535.63</v>
      </c>
      <c r="J173">
        <v>13.21</v>
      </c>
      <c r="K173">
        <v>152.66999999999999</v>
      </c>
      <c r="L173" t="s">
        <v>24</v>
      </c>
      <c r="M173" t="s">
        <v>25</v>
      </c>
      <c r="N173" t="s">
        <v>76</v>
      </c>
      <c r="O173" s="5">
        <f t="shared" si="2"/>
        <v>0.28502884453820732</v>
      </c>
    </row>
    <row r="174" spans="1:15" x14ac:dyDescent="0.3">
      <c r="A174" t="s">
        <v>481</v>
      </c>
      <c r="B174" t="s">
        <v>482</v>
      </c>
      <c r="C174" t="s">
        <v>185</v>
      </c>
      <c r="D174" t="s">
        <v>62</v>
      </c>
      <c r="E174" t="s">
        <v>22</v>
      </c>
      <c r="F174" t="s">
        <v>23</v>
      </c>
      <c r="G174">
        <v>36</v>
      </c>
      <c r="H174">
        <v>44.79</v>
      </c>
      <c r="I174">
        <v>1612.44</v>
      </c>
      <c r="J174">
        <v>68.599999999999994</v>
      </c>
      <c r="K174">
        <v>283.83999999999997</v>
      </c>
      <c r="L174" t="s">
        <v>48</v>
      </c>
      <c r="M174" t="s">
        <v>34</v>
      </c>
      <c r="N174" t="s">
        <v>98</v>
      </c>
      <c r="O174" s="5">
        <f t="shared" si="2"/>
        <v>0.1760313562055022</v>
      </c>
    </row>
    <row r="175" spans="1:15" x14ac:dyDescent="0.3">
      <c r="A175" t="s">
        <v>483</v>
      </c>
      <c r="B175" t="s">
        <v>484</v>
      </c>
      <c r="C175" t="s">
        <v>485</v>
      </c>
      <c r="D175" t="s">
        <v>45</v>
      </c>
      <c r="E175" t="s">
        <v>81</v>
      </c>
      <c r="F175" t="s">
        <v>68</v>
      </c>
      <c r="G175">
        <v>3</v>
      </c>
      <c r="H175">
        <v>18.86</v>
      </c>
      <c r="I175">
        <v>56.58</v>
      </c>
      <c r="J175">
        <v>2.61</v>
      </c>
      <c r="K175">
        <v>7.47</v>
      </c>
      <c r="L175" t="s">
        <v>33</v>
      </c>
      <c r="M175" t="s">
        <v>41</v>
      </c>
      <c r="N175" t="s">
        <v>49</v>
      </c>
      <c r="O175" s="5">
        <f t="shared" si="2"/>
        <v>0.1320254506892895</v>
      </c>
    </row>
    <row r="176" spans="1:15" x14ac:dyDescent="0.3">
      <c r="A176" t="s">
        <v>486</v>
      </c>
      <c r="B176" t="s">
        <v>311</v>
      </c>
      <c r="C176" t="s">
        <v>66</v>
      </c>
      <c r="D176" t="s">
        <v>51</v>
      </c>
      <c r="E176" t="s">
        <v>137</v>
      </c>
      <c r="F176" t="s">
        <v>68</v>
      </c>
      <c r="G176">
        <v>10</v>
      </c>
      <c r="H176">
        <v>45.86</v>
      </c>
      <c r="I176">
        <v>458.6</v>
      </c>
      <c r="J176">
        <v>14.4</v>
      </c>
      <c r="K176">
        <v>164.2</v>
      </c>
      <c r="L176" t="s">
        <v>48</v>
      </c>
      <c r="M176" t="s">
        <v>25</v>
      </c>
      <c r="N176" t="s">
        <v>76</v>
      </c>
      <c r="O176" s="5">
        <f t="shared" si="2"/>
        <v>0.35804622764936761</v>
      </c>
    </row>
    <row r="177" spans="1:15" x14ac:dyDescent="0.3">
      <c r="A177" t="s">
        <v>487</v>
      </c>
      <c r="B177" t="s">
        <v>488</v>
      </c>
      <c r="C177" t="s">
        <v>485</v>
      </c>
      <c r="D177" t="s">
        <v>37</v>
      </c>
      <c r="E177" t="s">
        <v>32</v>
      </c>
      <c r="F177" t="s">
        <v>23</v>
      </c>
      <c r="G177">
        <v>1</v>
      </c>
      <c r="H177">
        <v>24.64</v>
      </c>
      <c r="I177">
        <v>24.64</v>
      </c>
      <c r="J177">
        <v>0.65</v>
      </c>
      <c r="K177">
        <v>5.99</v>
      </c>
      <c r="L177" t="s">
        <v>48</v>
      </c>
      <c r="M177" t="s">
        <v>34</v>
      </c>
      <c r="N177" t="s">
        <v>35</v>
      </c>
      <c r="O177" s="5">
        <f t="shared" si="2"/>
        <v>0.24310064935064934</v>
      </c>
    </row>
    <row r="178" spans="1:15" x14ac:dyDescent="0.3">
      <c r="A178" t="s">
        <v>489</v>
      </c>
      <c r="B178" t="s">
        <v>347</v>
      </c>
      <c r="C178" t="s">
        <v>246</v>
      </c>
      <c r="D178" t="s">
        <v>37</v>
      </c>
      <c r="E178" t="s">
        <v>81</v>
      </c>
      <c r="F178" t="s">
        <v>68</v>
      </c>
      <c r="G178">
        <v>49</v>
      </c>
      <c r="H178">
        <v>22.8</v>
      </c>
      <c r="I178">
        <v>1117.2</v>
      </c>
      <c r="J178">
        <v>51.06</v>
      </c>
      <c r="K178">
        <v>306.64</v>
      </c>
      <c r="L178" t="s">
        <v>24</v>
      </c>
      <c r="M178" t="s">
        <v>34</v>
      </c>
      <c r="N178" t="s">
        <v>35</v>
      </c>
      <c r="O178" s="5">
        <f t="shared" si="2"/>
        <v>0.27447189402076616</v>
      </c>
    </row>
    <row r="179" spans="1:15" x14ac:dyDescent="0.3">
      <c r="A179" t="s">
        <v>490</v>
      </c>
      <c r="B179" t="s">
        <v>491</v>
      </c>
      <c r="C179" t="s">
        <v>307</v>
      </c>
      <c r="D179" t="s">
        <v>62</v>
      </c>
      <c r="E179" t="s">
        <v>22</v>
      </c>
      <c r="F179" t="s">
        <v>23</v>
      </c>
      <c r="G179">
        <v>32</v>
      </c>
      <c r="H179">
        <v>44.5</v>
      </c>
      <c r="I179">
        <v>1424</v>
      </c>
      <c r="J179">
        <v>43.92</v>
      </c>
      <c r="K179">
        <v>260.08</v>
      </c>
      <c r="L179" t="s">
        <v>48</v>
      </c>
      <c r="M179" t="s">
        <v>34</v>
      </c>
      <c r="N179" t="s">
        <v>98</v>
      </c>
      <c r="O179" s="5">
        <f t="shared" si="2"/>
        <v>0.18264044943820223</v>
      </c>
    </row>
    <row r="180" spans="1:15" x14ac:dyDescent="0.3">
      <c r="A180" t="s">
        <v>492</v>
      </c>
      <c r="B180" t="s">
        <v>493</v>
      </c>
      <c r="C180" t="s">
        <v>331</v>
      </c>
      <c r="D180" t="s">
        <v>45</v>
      </c>
      <c r="E180" t="s">
        <v>22</v>
      </c>
      <c r="F180" t="s">
        <v>23</v>
      </c>
      <c r="G180">
        <v>43</v>
      </c>
      <c r="H180">
        <v>55.74</v>
      </c>
      <c r="I180">
        <v>2396.8200000000002</v>
      </c>
      <c r="J180">
        <v>63.85</v>
      </c>
      <c r="K180">
        <v>827.97</v>
      </c>
      <c r="L180" t="s">
        <v>33</v>
      </c>
      <c r="M180" t="s">
        <v>41</v>
      </c>
      <c r="N180" t="s">
        <v>49</v>
      </c>
      <c r="O180" s="5">
        <f t="shared" si="2"/>
        <v>0.34544521490975544</v>
      </c>
    </row>
    <row r="181" spans="1:15" x14ac:dyDescent="0.3">
      <c r="A181" t="s">
        <v>494</v>
      </c>
      <c r="B181" t="s">
        <v>495</v>
      </c>
      <c r="C181" t="s">
        <v>170</v>
      </c>
      <c r="D181" t="s">
        <v>116</v>
      </c>
      <c r="E181" t="s">
        <v>81</v>
      </c>
      <c r="F181" t="s">
        <v>68</v>
      </c>
      <c r="G181">
        <v>19</v>
      </c>
      <c r="H181">
        <v>25.78</v>
      </c>
      <c r="I181">
        <v>489.82</v>
      </c>
      <c r="J181">
        <v>28.4</v>
      </c>
      <c r="K181">
        <v>166.92</v>
      </c>
      <c r="L181" t="s">
        <v>48</v>
      </c>
      <c r="M181" t="s">
        <v>34</v>
      </c>
      <c r="N181" t="s">
        <v>76</v>
      </c>
      <c r="O181" s="5">
        <f t="shared" si="2"/>
        <v>0.3407782450696174</v>
      </c>
    </row>
    <row r="182" spans="1:15" x14ac:dyDescent="0.3">
      <c r="A182" t="s">
        <v>496</v>
      </c>
      <c r="B182" t="s">
        <v>497</v>
      </c>
      <c r="C182" t="s">
        <v>391</v>
      </c>
      <c r="D182" t="s">
        <v>62</v>
      </c>
      <c r="E182" t="s">
        <v>32</v>
      </c>
      <c r="F182" t="s">
        <v>23</v>
      </c>
      <c r="G182">
        <v>43</v>
      </c>
      <c r="H182">
        <v>30.43</v>
      </c>
      <c r="I182">
        <v>1308.49</v>
      </c>
      <c r="J182">
        <v>35.340000000000003</v>
      </c>
      <c r="K182">
        <v>499.15</v>
      </c>
      <c r="L182" t="s">
        <v>33</v>
      </c>
      <c r="M182" t="s">
        <v>34</v>
      </c>
      <c r="N182" t="s">
        <v>98</v>
      </c>
      <c r="O182" s="5">
        <f t="shared" si="2"/>
        <v>0.38147024432743082</v>
      </c>
    </row>
    <row r="183" spans="1:15" x14ac:dyDescent="0.3">
      <c r="A183" t="s">
        <v>498</v>
      </c>
      <c r="B183" t="s">
        <v>454</v>
      </c>
      <c r="C183" t="s">
        <v>499</v>
      </c>
      <c r="D183" t="s">
        <v>171</v>
      </c>
      <c r="E183" t="s">
        <v>81</v>
      </c>
      <c r="F183" t="s">
        <v>68</v>
      </c>
      <c r="G183">
        <v>17</v>
      </c>
      <c r="H183">
        <v>18.71</v>
      </c>
      <c r="I183">
        <v>318.07</v>
      </c>
      <c r="J183">
        <v>22.03</v>
      </c>
      <c r="K183">
        <v>32.54</v>
      </c>
      <c r="L183" t="s">
        <v>48</v>
      </c>
      <c r="M183" t="s">
        <v>25</v>
      </c>
      <c r="N183" t="s">
        <v>35</v>
      </c>
      <c r="O183" s="5">
        <f t="shared" si="2"/>
        <v>0.10230452416134814</v>
      </c>
    </row>
    <row r="184" spans="1:15" x14ac:dyDescent="0.3">
      <c r="A184" t="s">
        <v>500</v>
      </c>
      <c r="B184" t="s">
        <v>268</v>
      </c>
      <c r="C184" t="s">
        <v>54</v>
      </c>
      <c r="D184" t="s">
        <v>51</v>
      </c>
      <c r="E184" t="s">
        <v>81</v>
      </c>
      <c r="F184" t="s">
        <v>68</v>
      </c>
      <c r="G184">
        <v>44</v>
      </c>
      <c r="H184">
        <v>23.87</v>
      </c>
      <c r="I184">
        <v>1050.28</v>
      </c>
      <c r="J184">
        <v>33.51</v>
      </c>
      <c r="K184">
        <v>334.77</v>
      </c>
      <c r="L184" t="s">
        <v>24</v>
      </c>
      <c r="M184" t="s">
        <v>34</v>
      </c>
      <c r="N184" t="s">
        <v>76</v>
      </c>
      <c r="O184" s="5">
        <f t="shared" si="2"/>
        <v>0.31874357314240009</v>
      </c>
    </row>
    <row r="185" spans="1:15" x14ac:dyDescent="0.3">
      <c r="A185" t="s">
        <v>501</v>
      </c>
      <c r="B185" t="s">
        <v>502</v>
      </c>
      <c r="C185" t="s">
        <v>194</v>
      </c>
      <c r="D185" t="s">
        <v>206</v>
      </c>
      <c r="E185" t="s">
        <v>46</v>
      </c>
      <c r="F185" t="s">
        <v>47</v>
      </c>
      <c r="G185">
        <v>12</v>
      </c>
      <c r="H185">
        <v>42.91</v>
      </c>
      <c r="I185">
        <v>514.91999999999996</v>
      </c>
      <c r="J185">
        <v>15.18</v>
      </c>
      <c r="K185">
        <v>115.74</v>
      </c>
      <c r="L185" t="s">
        <v>48</v>
      </c>
      <c r="M185" t="s">
        <v>41</v>
      </c>
      <c r="N185" t="s">
        <v>207</v>
      </c>
      <c r="O185" s="5">
        <f t="shared" si="2"/>
        <v>0.22477278023770683</v>
      </c>
    </row>
    <row r="186" spans="1:15" x14ac:dyDescent="0.3">
      <c r="A186" t="s">
        <v>503</v>
      </c>
      <c r="B186" t="s">
        <v>504</v>
      </c>
      <c r="C186" t="s">
        <v>505</v>
      </c>
      <c r="D186" t="s">
        <v>70</v>
      </c>
      <c r="E186" t="s">
        <v>56</v>
      </c>
      <c r="F186" t="s">
        <v>57</v>
      </c>
      <c r="G186">
        <v>21</v>
      </c>
      <c r="H186">
        <v>50.49</v>
      </c>
      <c r="I186">
        <v>1060.29</v>
      </c>
      <c r="J186">
        <v>32.340000000000003</v>
      </c>
      <c r="K186">
        <v>187.95</v>
      </c>
      <c r="L186" t="s">
        <v>48</v>
      </c>
      <c r="M186" t="s">
        <v>25</v>
      </c>
      <c r="N186" t="s">
        <v>76</v>
      </c>
      <c r="O186" s="5">
        <f t="shared" si="2"/>
        <v>0.17726282432164783</v>
      </c>
    </row>
    <row r="187" spans="1:15" x14ac:dyDescent="0.3">
      <c r="A187" t="s">
        <v>506</v>
      </c>
      <c r="B187" t="s">
        <v>454</v>
      </c>
      <c r="C187" t="s">
        <v>307</v>
      </c>
      <c r="D187" t="s">
        <v>37</v>
      </c>
      <c r="E187" t="s">
        <v>22</v>
      </c>
      <c r="F187" t="s">
        <v>23</v>
      </c>
      <c r="G187">
        <v>41</v>
      </c>
      <c r="H187">
        <v>43.18</v>
      </c>
      <c r="I187">
        <v>1770.38</v>
      </c>
      <c r="J187">
        <v>128.4</v>
      </c>
      <c r="K187">
        <v>206.98</v>
      </c>
      <c r="L187" t="s">
        <v>33</v>
      </c>
      <c r="M187" t="s">
        <v>41</v>
      </c>
      <c r="N187" t="s">
        <v>35</v>
      </c>
      <c r="O187" s="5">
        <f t="shared" si="2"/>
        <v>0.11691275319422947</v>
      </c>
    </row>
    <row r="188" spans="1:15" x14ac:dyDescent="0.3">
      <c r="A188" t="s">
        <v>507</v>
      </c>
      <c r="B188" t="s">
        <v>508</v>
      </c>
      <c r="C188" t="s">
        <v>162</v>
      </c>
      <c r="D188" t="s">
        <v>206</v>
      </c>
      <c r="E188" t="s">
        <v>86</v>
      </c>
      <c r="F188" t="s">
        <v>47</v>
      </c>
      <c r="G188">
        <v>37</v>
      </c>
      <c r="H188">
        <v>19.8</v>
      </c>
      <c r="I188">
        <v>732.6</v>
      </c>
      <c r="J188">
        <v>54.68</v>
      </c>
      <c r="K188">
        <v>206.17</v>
      </c>
      <c r="L188" t="s">
        <v>24</v>
      </c>
      <c r="M188" t="s">
        <v>34</v>
      </c>
      <c r="N188" t="s">
        <v>207</v>
      </c>
      <c r="O188" s="5">
        <f t="shared" si="2"/>
        <v>0.28142233142233142</v>
      </c>
    </row>
    <row r="189" spans="1:15" x14ac:dyDescent="0.3">
      <c r="A189" t="s">
        <v>509</v>
      </c>
      <c r="B189" t="s">
        <v>510</v>
      </c>
      <c r="C189" t="s">
        <v>511</v>
      </c>
      <c r="D189" t="s">
        <v>62</v>
      </c>
      <c r="E189" t="s">
        <v>86</v>
      </c>
      <c r="F189" t="s">
        <v>47</v>
      </c>
      <c r="G189">
        <v>4</v>
      </c>
      <c r="H189">
        <v>18.059999999999999</v>
      </c>
      <c r="I189">
        <v>72.239999999999995</v>
      </c>
      <c r="J189">
        <v>4.66</v>
      </c>
      <c r="K189">
        <v>16.579999999999998</v>
      </c>
      <c r="L189" t="s">
        <v>24</v>
      </c>
      <c r="M189" t="s">
        <v>25</v>
      </c>
      <c r="N189" t="s">
        <v>98</v>
      </c>
      <c r="O189" s="5">
        <f t="shared" si="2"/>
        <v>0.22951273532668881</v>
      </c>
    </row>
    <row r="190" spans="1:15" x14ac:dyDescent="0.3">
      <c r="A190" t="s">
        <v>512</v>
      </c>
      <c r="B190" t="s">
        <v>412</v>
      </c>
      <c r="C190" t="s">
        <v>391</v>
      </c>
      <c r="D190" t="s">
        <v>21</v>
      </c>
      <c r="E190" t="s">
        <v>22</v>
      </c>
      <c r="F190" t="s">
        <v>23</v>
      </c>
      <c r="G190">
        <v>40</v>
      </c>
      <c r="H190">
        <v>55.59</v>
      </c>
      <c r="I190">
        <v>2223.6</v>
      </c>
      <c r="J190">
        <v>74.569999999999993</v>
      </c>
      <c r="K190">
        <v>749.03</v>
      </c>
      <c r="L190" t="s">
        <v>24</v>
      </c>
      <c r="M190" t="s">
        <v>25</v>
      </c>
      <c r="N190" t="s">
        <v>98</v>
      </c>
      <c r="O190" s="5">
        <f t="shared" si="2"/>
        <v>0.3368546501169275</v>
      </c>
    </row>
    <row r="191" spans="1:15" x14ac:dyDescent="0.3">
      <c r="A191" t="s">
        <v>513</v>
      </c>
      <c r="B191" t="s">
        <v>327</v>
      </c>
      <c r="C191" t="s">
        <v>20</v>
      </c>
      <c r="D191" t="s">
        <v>127</v>
      </c>
      <c r="E191" t="s">
        <v>74</v>
      </c>
      <c r="F191" t="s">
        <v>75</v>
      </c>
      <c r="G191">
        <v>5</v>
      </c>
      <c r="H191">
        <v>31.58</v>
      </c>
      <c r="I191">
        <v>157.9</v>
      </c>
      <c r="J191">
        <v>3.73</v>
      </c>
      <c r="K191">
        <v>29.17</v>
      </c>
      <c r="L191" t="s">
        <v>24</v>
      </c>
      <c r="M191" t="s">
        <v>34</v>
      </c>
      <c r="N191" t="s">
        <v>76</v>
      </c>
      <c r="O191" s="5">
        <f t="shared" si="2"/>
        <v>0.18473717542748574</v>
      </c>
    </row>
    <row r="192" spans="1:15" x14ac:dyDescent="0.3">
      <c r="A192" t="s">
        <v>514</v>
      </c>
      <c r="B192" t="s">
        <v>515</v>
      </c>
      <c r="C192" t="s">
        <v>188</v>
      </c>
      <c r="D192" t="s">
        <v>55</v>
      </c>
      <c r="E192" t="s">
        <v>32</v>
      </c>
      <c r="F192" t="s">
        <v>23</v>
      </c>
      <c r="G192">
        <v>50</v>
      </c>
      <c r="H192">
        <v>26.67</v>
      </c>
      <c r="I192">
        <v>1333.5</v>
      </c>
      <c r="J192">
        <v>80.150000000000006</v>
      </c>
      <c r="K192">
        <v>353.35</v>
      </c>
      <c r="L192" t="s">
        <v>48</v>
      </c>
      <c r="M192" t="s">
        <v>25</v>
      </c>
      <c r="N192" t="s">
        <v>98</v>
      </c>
      <c r="O192" s="5">
        <f t="shared" si="2"/>
        <v>0.26497937757780277</v>
      </c>
    </row>
    <row r="193" spans="1:15" x14ac:dyDescent="0.3">
      <c r="A193" t="s">
        <v>516</v>
      </c>
      <c r="B193" t="s">
        <v>517</v>
      </c>
      <c r="C193" t="s">
        <v>352</v>
      </c>
      <c r="D193" t="s">
        <v>116</v>
      </c>
      <c r="E193" t="s">
        <v>81</v>
      </c>
      <c r="F193" t="s">
        <v>68</v>
      </c>
      <c r="G193">
        <v>17</v>
      </c>
      <c r="H193">
        <v>20.68</v>
      </c>
      <c r="I193">
        <v>351.56</v>
      </c>
      <c r="J193">
        <v>18.47</v>
      </c>
      <c r="K193">
        <v>69.59</v>
      </c>
      <c r="L193" t="s">
        <v>48</v>
      </c>
      <c r="M193" t="s">
        <v>34</v>
      </c>
      <c r="N193" t="s">
        <v>76</v>
      </c>
      <c r="O193" s="5">
        <f t="shared" si="2"/>
        <v>0.19794629650699738</v>
      </c>
    </row>
    <row r="194" spans="1:15" x14ac:dyDescent="0.3">
      <c r="A194" t="s">
        <v>518</v>
      </c>
      <c r="B194" t="s">
        <v>259</v>
      </c>
      <c r="C194" t="s">
        <v>440</v>
      </c>
      <c r="D194" t="s">
        <v>141</v>
      </c>
      <c r="E194" t="s">
        <v>22</v>
      </c>
      <c r="F194" t="s">
        <v>23</v>
      </c>
      <c r="G194">
        <v>29</v>
      </c>
      <c r="H194">
        <v>55.19</v>
      </c>
      <c r="I194">
        <v>1600.51</v>
      </c>
      <c r="J194">
        <v>103.06</v>
      </c>
      <c r="K194">
        <v>482.45</v>
      </c>
      <c r="L194" t="s">
        <v>24</v>
      </c>
      <c r="M194" t="s">
        <v>41</v>
      </c>
      <c r="N194" t="s">
        <v>142</v>
      </c>
      <c r="O194" s="5">
        <f t="shared" si="2"/>
        <v>0.30143516754034649</v>
      </c>
    </row>
    <row r="195" spans="1:15" x14ac:dyDescent="0.3">
      <c r="A195" t="s">
        <v>519</v>
      </c>
      <c r="B195" t="s">
        <v>520</v>
      </c>
      <c r="C195" t="s">
        <v>521</v>
      </c>
      <c r="D195" t="s">
        <v>116</v>
      </c>
      <c r="E195" t="s">
        <v>22</v>
      </c>
      <c r="F195" t="s">
        <v>23</v>
      </c>
      <c r="G195">
        <v>34</v>
      </c>
      <c r="H195">
        <v>61.62</v>
      </c>
      <c r="I195">
        <v>2095.08</v>
      </c>
      <c r="J195">
        <v>80.13</v>
      </c>
      <c r="K195">
        <v>824.95</v>
      </c>
      <c r="L195" t="s">
        <v>33</v>
      </c>
      <c r="M195" t="s">
        <v>25</v>
      </c>
      <c r="N195" t="s">
        <v>76</v>
      </c>
      <c r="O195" s="5">
        <f t="shared" si="2"/>
        <v>0.39375584703209426</v>
      </c>
    </row>
    <row r="196" spans="1:15" x14ac:dyDescent="0.3">
      <c r="A196" t="s">
        <v>522</v>
      </c>
      <c r="B196" t="s">
        <v>306</v>
      </c>
      <c r="C196" t="s">
        <v>277</v>
      </c>
      <c r="D196" t="s">
        <v>62</v>
      </c>
      <c r="E196" t="s">
        <v>67</v>
      </c>
      <c r="F196" t="s">
        <v>68</v>
      </c>
      <c r="G196">
        <v>10</v>
      </c>
      <c r="H196">
        <v>40.03</v>
      </c>
      <c r="I196">
        <v>400.3</v>
      </c>
      <c r="J196">
        <v>25.8</v>
      </c>
      <c r="K196">
        <v>149.5</v>
      </c>
      <c r="L196" t="s">
        <v>48</v>
      </c>
      <c r="M196" t="s">
        <v>25</v>
      </c>
      <c r="N196" t="s">
        <v>98</v>
      </c>
      <c r="O196" s="5">
        <f t="shared" si="2"/>
        <v>0.37346989757681737</v>
      </c>
    </row>
    <row r="197" spans="1:15" x14ac:dyDescent="0.3">
      <c r="A197" t="s">
        <v>523</v>
      </c>
      <c r="B197" t="s">
        <v>524</v>
      </c>
      <c r="C197" t="s">
        <v>134</v>
      </c>
      <c r="D197" t="s">
        <v>123</v>
      </c>
      <c r="E197" t="s">
        <v>63</v>
      </c>
      <c r="F197" t="s">
        <v>47</v>
      </c>
      <c r="G197">
        <v>23</v>
      </c>
      <c r="H197">
        <v>31.3</v>
      </c>
      <c r="I197">
        <v>719.9</v>
      </c>
      <c r="J197">
        <v>47.88</v>
      </c>
      <c r="K197">
        <v>212.02</v>
      </c>
      <c r="L197" t="s">
        <v>33</v>
      </c>
      <c r="M197" t="s">
        <v>34</v>
      </c>
      <c r="N197" t="s">
        <v>76</v>
      </c>
      <c r="O197" s="5">
        <f t="shared" si="2"/>
        <v>0.29451312682316994</v>
      </c>
    </row>
    <row r="198" spans="1:15" x14ac:dyDescent="0.3">
      <c r="A198" t="s">
        <v>525</v>
      </c>
      <c r="B198" t="s">
        <v>105</v>
      </c>
      <c r="C198" t="s">
        <v>148</v>
      </c>
      <c r="D198" t="s">
        <v>62</v>
      </c>
      <c r="E198" t="s">
        <v>22</v>
      </c>
      <c r="F198" t="s">
        <v>23</v>
      </c>
      <c r="G198">
        <v>37</v>
      </c>
      <c r="H198">
        <v>50.39</v>
      </c>
      <c r="I198">
        <v>1864.43</v>
      </c>
      <c r="J198">
        <v>60.06</v>
      </c>
      <c r="K198">
        <v>509.37</v>
      </c>
      <c r="L198" t="s">
        <v>33</v>
      </c>
      <c r="M198" t="s">
        <v>34</v>
      </c>
      <c r="N198" t="s">
        <v>98</v>
      </c>
      <c r="O198" s="5">
        <f t="shared" si="2"/>
        <v>0.27320414282113031</v>
      </c>
    </row>
    <row r="199" spans="1:15" x14ac:dyDescent="0.3">
      <c r="A199" t="s">
        <v>526</v>
      </c>
      <c r="B199" t="s">
        <v>527</v>
      </c>
      <c r="C199" t="s">
        <v>442</v>
      </c>
      <c r="D199" t="s">
        <v>21</v>
      </c>
      <c r="E199" t="s">
        <v>86</v>
      </c>
      <c r="F199" t="s">
        <v>47</v>
      </c>
      <c r="G199">
        <v>38</v>
      </c>
      <c r="H199">
        <v>16.97</v>
      </c>
      <c r="I199">
        <v>644.86</v>
      </c>
      <c r="J199">
        <v>40</v>
      </c>
      <c r="K199">
        <v>120.36</v>
      </c>
      <c r="L199" t="s">
        <v>48</v>
      </c>
      <c r="M199" t="s">
        <v>25</v>
      </c>
      <c r="N199" t="s">
        <v>98</v>
      </c>
      <c r="O199" s="5">
        <f t="shared" ref="O199:O262" si="3">K199/I199</f>
        <v>0.18664516329125702</v>
      </c>
    </row>
    <row r="200" spans="1:15" x14ac:dyDescent="0.3">
      <c r="A200" t="s">
        <v>528</v>
      </c>
      <c r="B200" t="s">
        <v>408</v>
      </c>
      <c r="C200" t="s">
        <v>328</v>
      </c>
      <c r="D200" t="s">
        <v>141</v>
      </c>
      <c r="E200" t="s">
        <v>63</v>
      </c>
      <c r="F200" t="s">
        <v>47</v>
      </c>
      <c r="G200">
        <v>2</v>
      </c>
      <c r="H200">
        <v>35.92</v>
      </c>
      <c r="I200">
        <v>71.84</v>
      </c>
      <c r="J200">
        <v>2.34</v>
      </c>
      <c r="K200">
        <v>29.5</v>
      </c>
      <c r="L200" t="s">
        <v>48</v>
      </c>
      <c r="M200" t="s">
        <v>34</v>
      </c>
      <c r="N200" t="s">
        <v>142</v>
      </c>
      <c r="O200" s="5">
        <f t="shared" si="3"/>
        <v>0.41063474387527837</v>
      </c>
    </row>
    <row r="201" spans="1:15" x14ac:dyDescent="0.3">
      <c r="A201" t="s">
        <v>529</v>
      </c>
      <c r="B201" t="s">
        <v>530</v>
      </c>
      <c r="C201" t="s">
        <v>85</v>
      </c>
      <c r="D201" t="s">
        <v>45</v>
      </c>
      <c r="E201" t="s">
        <v>63</v>
      </c>
      <c r="F201" t="s">
        <v>47</v>
      </c>
      <c r="G201">
        <v>48</v>
      </c>
      <c r="H201">
        <v>31.87</v>
      </c>
      <c r="I201">
        <v>1529.76</v>
      </c>
      <c r="J201">
        <v>89.85</v>
      </c>
      <c r="K201">
        <v>479.91</v>
      </c>
      <c r="L201" t="s">
        <v>48</v>
      </c>
      <c r="M201" t="s">
        <v>25</v>
      </c>
      <c r="N201" t="s">
        <v>49</v>
      </c>
      <c r="O201" s="5">
        <f t="shared" si="3"/>
        <v>0.31371587700031378</v>
      </c>
    </row>
    <row r="202" spans="1:15" x14ac:dyDescent="0.3">
      <c r="A202" t="s">
        <v>531</v>
      </c>
      <c r="B202" t="s">
        <v>532</v>
      </c>
      <c r="C202" t="s">
        <v>352</v>
      </c>
      <c r="D202" t="s">
        <v>206</v>
      </c>
      <c r="E202" t="s">
        <v>56</v>
      </c>
      <c r="F202" t="s">
        <v>57</v>
      </c>
      <c r="G202">
        <v>46</v>
      </c>
      <c r="H202">
        <v>70</v>
      </c>
      <c r="I202">
        <v>3220</v>
      </c>
      <c r="J202">
        <v>160.11000000000001</v>
      </c>
      <c r="K202">
        <v>1219.8900000000001</v>
      </c>
      <c r="L202" t="s">
        <v>33</v>
      </c>
      <c r="M202" t="s">
        <v>34</v>
      </c>
      <c r="N202" t="s">
        <v>207</v>
      </c>
      <c r="O202" s="5">
        <f t="shared" si="3"/>
        <v>0.37884782608695655</v>
      </c>
    </row>
    <row r="203" spans="1:15" x14ac:dyDescent="0.3">
      <c r="A203" t="s">
        <v>533</v>
      </c>
      <c r="B203" t="s">
        <v>534</v>
      </c>
      <c r="C203" t="s">
        <v>480</v>
      </c>
      <c r="D203" t="s">
        <v>116</v>
      </c>
      <c r="E203" t="s">
        <v>22</v>
      </c>
      <c r="F203" t="s">
        <v>23</v>
      </c>
      <c r="G203">
        <v>45</v>
      </c>
      <c r="H203">
        <v>57.7</v>
      </c>
      <c r="I203">
        <v>2596.5</v>
      </c>
      <c r="J203">
        <v>102.52</v>
      </c>
      <c r="K203">
        <v>918.98</v>
      </c>
      <c r="L203" t="s">
        <v>33</v>
      </c>
      <c r="M203" t="s">
        <v>25</v>
      </c>
      <c r="N203" t="s">
        <v>76</v>
      </c>
      <c r="O203" s="5">
        <f t="shared" si="3"/>
        <v>0.35393029077604471</v>
      </c>
    </row>
    <row r="204" spans="1:15" x14ac:dyDescent="0.3">
      <c r="A204" t="s">
        <v>535</v>
      </c>
      <c r="B204" t="s">
        <v>536</v>
      </c>
      <c r="C204" t="s">
        <v>191</v>
      </c>
      <c r="D204" t="s">
        <v>127</v>
      </c>
      <c r="E204" t="s">
        <v>86</v>
      </c>
      <c r="F204" t="s">
        <v>47</v>
      </c>
      <c r="G204">
        <v>23</v>
      </c>
      <c r="H204">
        <v>20.23</v>
      </c>
      <c r="I204">
        <v>465.29</v>
      </c>
      <c r="J204">
        <v>17.29</v>
      </c>
      <c r="K204">
        <v>154.75</v>
      </c>
      <c r="L204" t="s">
        <v>48</v>
      </c>
      <c r="M204" t="s">
        <v>25</v>
      </c>
      <c r="N204" t="s">
        <v>76</v>
      </c>
      <c r="O204" s="5">
        <f t="shared" si="3"/>
        <v>0.33258827827806314</v>
      </c>
    </row>
    <row r="205" spans="1:15" x14ac:dyDescent="0.3">
      <c r="A205" t="s">
        <v>537</v>
      </c>
      <c r="B205" t="s">
        <v>224</v>
      </c>
      <c r="C205" t="s">
        <v>194</v>
      </c>
      <c r="D205" t="s">
        <v>37</v>
      </c>
      <c r="E205" t="s">
        <v>32</v>
      </c>
      <c r="F205" t="s">
        <v>23</v>
      </c>
      <c r="G205">
        <v>10</v>
      </c>
      <c r="H205">
        <v>22.96</v>
      </c>
      <c r="I205">
        <v>229.6</v>
      </c>
      <c r="J205">
        <v>18.260000000000002</v>
      </c>
      <c r="K205">
        <v>31.34</v>
      </c>
      <c r="L205" t="s">
        <v>24</v>
      </c>
      <c r="M205" t="s">
        <v>41</v>
      </c>
      <c r="N205" t="s">
        <v>35</v>
      </c>
      <c r="O205" s="5">
        <f t="shared" si="3"/>
        <v>0.13649825783972125</v>
      </c>
    </row>
    <row r="206" spans="1:15" x14ac:dyDescent="0.3">
      <c r="A206" t="s">
        <v>538</v>
      </c>
      <c r="B206" t="s">
        <v>493</v>
      </c>
      <c r="C206" t="s">
        <v>539</v>
      </c>
      <c r="D206" t="s">
        <v>45</v>
      </c>
      <c r="E206" t="s">
        <v>22</v>
      </c>
      <c r="F206" t="s">
        <v>23</v>
      </c>
      <c r="G206">
        <v>40</v>
      </c>
      <c r="H206">
        <v>54.84</v>
      </c>
      <c r="I206">
        <v>2193.6</v>
      </c>
      <c r="J206">
        <v>89.26</v>
      </c>
      <c r="K206">
        <v>704.34</v>
      </c>
      <c r="L206" t="s">
        <v>33</v>
      </c>
      <c r="M206" t="s">
        <v>25</v>
      </c>
      <c r="N206" t="s">
        <v>49</v>
      </c>
      <c r="O206" s="5">
        <f t="shared" si="3"/>
        <v>0.32108862144420136</v>
      </c>
    </row>
    <row r="207" spans="1:15" x14ac:dyDescent="0.3">
      <c r="A207" t="s">
        <v>540</v>
      </c>
      <c r="B207" t="s">
        <v>541</v>
      </c>
      <c r="C207" t="s">
        <v>266</v>
      </c>
      <c r="D207" t="s">
        <v>116</v>
      </c>
      <c r="E207" t="s">
        <v>74</v>
      </c>
      <c r="F207" t="s">
        <v>75</v>
      </c>
      <c r="G207">
        <v>7</v>
      </c>
      <c r="H207">
        <v>36.43</v>
      </c>
      <c r="I207">
        <v>255.01</v>
      </c>
      <c r="J207">
        <v>6.3</v>
      </c>
      <c r="K207">
        <v>73.709999999999994</v>
      </c>
      <c r="L207" t="s">
        <v>24</v>
      </c>
      <c r="M207" t="s">
        <v>34</v>
      </c>
      <c r="N207" t="s">
        <v>76</v>
      </c>
      <c r="O207" s="5">
        <f t="shared" si="3"/>
        <v>0.28904748833379079</v>
      </c>
    </row>
    <row r="208" spans="1:15" x14ac:dyDescent="0.3">
      <c r="A208" t="s">
        <v>542</v>
      </c>
      <c r="B208" t="s">
        <v>543</v>
      </c>
      <c r="C208" t="s">
        <v>328</v>
      </c>
      <c r="D208" t="s">
        <v>62</v>
      </c>
      <c r="E208" t="s">
        <v>86</v>
      </c>
      <c r="F208" t="s">
        <v>47</v>
      </c>
      <c r="G208">
        <v>39</v>
      </c>
      <c r="H208">
        <v>19.48</v>
      </c>
      <c r="I208">
        <v>759.72</v>
      </c>
      <c r="J208">
        <v>40.090000000000003</v>
      </c>
      <c r="K208">
        <v>222.38</v>
      </c>
      <c r="L208" t="s">
        <v>48</v>
      </c>
      <c r="M208" t="s">
        <v>34</v>
      </c>
      <c r="N208" t="s">
        <v>98</v>
      </c>
      <c r="O208" s="5">
        <f t="shared" si="3"/>
        <v>0.29271310482809454</v>
      </c>
    </row>
    <row r="209" spans="1:15" x14ac:dyDescent="0.3">
      <c r="A209" t="s">
        <v>544</v>
      </c>
      <c r="B209" t="s">
        <v>444</v>
      </c>
      <c r="C209" t="s">
        <v>428</v>
      </c>
      <c r="D209" t="s">
        <v>141</v>
      </c>
      <c r="E209" t="s">
        <v>67</v>
      </c>
      <c r="F209" t="s">
        <v>68</v>
      </c>
      <c r="G209">
        <v>35</v>
      </c>
      <c r="H209">
        <v>38.83</v>
      </c>
      <c r="I209">
        <v>1359.05</v>
      </c>
      <c r="J209">
        <v>93.92</v>
      </c>
      <c r="K209">
        <v>477.63</v>
      </c>
      <c r="L209" t="s">
        <v>48</v>
      </c>
      <c r="M209" t="s">
        <v>34</v>
      </c>
      <c r="N209" t="s">
        <v>142</v>
      </c>
      <c r="O209" s="5">
        <f t="shared" si="3"/>
        <v>0.35144402339869762</v>
      </c>
    </row>
    <row r="210" spans="1:15" x14ac:dyDescent="0.3">
      <c r="A210" t="s">
        <v>545</v>
      </c>
      <c r="B210" t="s">
        <v>404</v>
      </c>
      <c r="C210" t="s">
        <v>232</v>
      </c>
      <c r="D210" t="s">
        <v>51</v>
      </c>
      <c r="E210" t="s">
        <v>63</v>
      </c>
      <c r="F210" t="s">
        <v>47</v>
      </c>
      <c r="G210">
        <v>39</v>
      </c>
      <c r="H210">
        <v>32.76</v>
      </c>
      <c r="I210">
        <v>1277.6400000000001</v>
      </c>
      <c r="J210">
        <v>35.81</v>
      </c>
      <c r="K210">
        <v>461.83</v>
      </c>
      <c r="L210" t="s">
        <v>33</v>
      </c>
      <c r="M210" t="s">
        <v>41</v>
      </c>
      <c r="N210" t="s">
        <v>76</v>
      </c>
      <c r="O210" s="5">
        <f t="shared" si="3"/>
        <v>0.36147114993268836</v>
      </c>
    </row>
    <row r="211" spans="1:15" x14ac:dyDescent="0.3">
      <c r="A211" t="s">
        <v>546</v>
      </c>
      <c r="B211" t="s">
        <v>547</v>
      </c>
      <c r="C211" t="s">
        <v>301</v>
      </c>
      <c r="D211" t="s">
        <v>21</v>
      </c>
      <c r="E211" t="s">
        <v>46</v>
      </c>
      <c r="F211" t="s">
        <v>47</v>
      </c>
      <c r="G211">
        <v>8</v>
      </c>
      <c r="H211">
        <v>39.869999999999997</v>
      </c>
      <c r="I211">
        <v>318.95999999999998</v>
      </c>
      <c r="J211">
        <v>15.95</v>
      </c>
      <c r="K211">
        <v>47.01</v>
      </c>
      <c r="L211" t="s">
        <v>48</v>
      </c>
      <c r="M211" t="s">
        <v>41</v>
      </c>
      <c r="N211" t="s">
        <v>98</v>
      </c>
      <c r="O211" s="5">
        <f t="shared" si="3"/>
        <v>0.14738525206922498</v>
      </c>
    </row>
    <row r="212" spans="1:15" x14ac:dyDescent="0.3">
      <c r="A212" t="s">
        <v>548</v>
      </c>
      <c r="B212" t="s">
        <v>153</v>
      </c>
      <c r="C212" t="s">
        <v>417</v>
      </c>
      <c r="D212" t="s">
        <v>123</v>
      </c>
      <c r="E212" t="s">
        <v>56</v>
      </c>
      <c r="F212" t="s">
        <v>57</v>
      </c>
      <c r="G212">
        <v>10</v>
      </c>
      <c r="H212">
        <v>63.1</v>
      </c>
      <c r="I212">
        <v>631</v>
      </c>
      <c r="J212">
        <v>26.93</v>
      </c>
      <c r="K212">
        <v>204.07</v>
      </c>
      <c r="L212" t="s">
        <v>33</v>
      </c>
      <c r="M212" t="s">
        <v>34</v>
      </c>
      <c r="N212" t="s">
        <v>76</v>
      </c>
      <c r="O212" s="5">
        <f t="shared" si="3"/>
        <v>0.32340729001584784</v>
      </c>
    </row>
    <row r="213" spans="1:15" x14ac:dyDescent="0.3">
      <c r="A213" t="s">
        <v>549</v>
      </c>
      <c r="B213" t="s">
        <v>550</v>
      </c>
      <c r="C213" t="s">
        <v>162</v>
      </c>
      <c r="D213" t="s">
        <v>241</v>
      </c>
      <c r="E213" t="s">
        <v>46</v>
      </c>
      <c r="F213" t="s">
        <v>47</v>
      </c>
      <c r="G213">
        <v>3</v>
      </c>
      <c r="H213">
        <v>55.1</v>
      </c>
      <c r="I213">
        <v>165.3</v>
      </c>
      <c r="J213">
        <v>9.17</v>
      </c>
      <c r="K213">
        <v>60.13</v>
      </c>
      <c r="L213" t="s">
        <v>24</v>
      </c>
      <c r="M213" t="s">
        <v>25</v>
      </c>
      <c r="N213" t="s">
        <v>35</v>
      </c>
      <c r="O213" s="5">
        <f t="shared" si="3"/>
        <v>0.36376285541439807</v>
      </c>
    </row>
    <row r="214" spans="1:15" x14ac:dyDescent="0.3">
      <c r="A214" t="s">
        <v>551</v>
      </c>
      <c r="B214" t="s">
        <v>552</v>
      </c>
      <c r="C214" t="s">
        <v>119</v>
      </c>
      <c r="D214" t="s">
        <v>70</v>
      </c>
      <c r="E214" t="s">
        <v>81</v>
      </c>
      <c r="F214" t="s">
        <v>68</v>
      </c>
      <c r="G214">
        <v>26</v>
      </c>
      <c r="H214">
        <v>19.809999999999999</v>
      </c>
      <c r="I214">
        <v>515.05999999999995</v>
      </c>
      <c r="J214">
        <v>10.3</v>
      </c>
      <c r="K214">
        <v>101.76</v>
      </c>
      <c r="L214" t="s">
        <v>48</v>
      </c>
      <c r="M214" t="s">
        <v>34</v>
      </c>
      <c r="N214" t="s">
        <v>76</v>
      </c>
      <c r="O214" s="5">
        <f t="shared" si="3"/>
        <v>0.19756921523705978</v>
      </c>
    </row>
    <row r="215" spans="1:15" x14ac:dyDescent="0.3">
      <c r="A215" t="s">
        <v>553</v>
      </c>
      <c r="B215" t="s">
        <v>554</v>
      </c>
      <c r="C215" t="s">
        <v>174</v>
      </c>
      <c r="D215" t="s">
        <v>123</v>
      </c>
      <c r="E215" t="s">
        <v>56</v>
      </c>
      <c r="F215" t="s">
        <v>57</v>
      </c>
      <c r="G215">
        <v>17</v>
      </c>
      <c r="H215">
        <v>53.34</v>
      </c>
      <c r="I215">
        <v>906.78</v>
      </c>
      <c r="J215">
        <v>30.6</v>
      </c>
      <c r="K215">
        <v>196.18</v>
      </c>
      <c r="L215" t="s">
        <v>24</v>
      </c>
      <c r="M215" t="s">
        <v>34</v>
      </c>
      <c r="N215" t="s">
        <v>76</v>
      </c>
      <c r="O215" s="5">
        <f t="shared" si="3"/>
        <v>0.21634795650543684</v>
      </c>
    </row>
    <row r="216" spans="1:15" x14ac:dyDescent="0.3">
      <c r="A216" t="s">
        <v>555</v>
      </c>
      <c r="B216" t="s">
        <v>556</v>
      </c>
      <c r="C216" t="s">
        <v>151</v>
      </c>
      <c r="D216" t="s">
        <v>51</v>
      </c>
      <c r="E216" t="s">
        <v>63</v>
      </c>
      <c r="F216" t="s">
        <v>47</v>
      </c>
      <c r="G216">
        <v>17</v>
      </c>
      <c r="H216">
        <v>28.23</v>
      </c>
      <c r="I216">
        <v>479.91</v>
      </c>
      <c r="J216">
        <v>31.88</v>
      </c>
      <c r="K216">
        <v>108.03</v>
      </c>
      <c r="L216" t="s">
        <v>33</v>
      </c>
      <c r="M216" t="s">
        <v>25</v>
      </c>
      <c r="N216" t="s">
        <v>76</v>
      </c>
      <c r="O216" s="5">
        <f t="shared" si="3"/>
        <v>0.22510470713258734</v>
      </c>
    </row>
    <row r="217" spans="1:15" x14ac:dyDescent="0.3">
      <c r="A217" t="s">
        <v>557</v>
      </c>
      <c r="B217" t="s">
        <v>558</v>
      </c>
      <c r="C217" t="s">
        <v>559</v>
      </c>
      <c r="D217" t="s">
        <v>241</v>
      </c>
      <c r="E217" t="s">
        <v>32</v>
      </c>
      <c r="F217" t="s">
        <v>23</v>
      </c>
      <c r="G217">
        <v>42</v>
      </c>
      <c r="H217">
        <v>25.26</v>
      </c>
      <c r="I217">
        <v>1060.92</v>
      </c>
      <c r="J217">
        <v>77.05</v>
      </c>
      <c r="K217">
        <v>227.87</v>
      </c>
      <c r="L217" t="s">
        <v>24</v>
      </c>
      <c r="M217" t="s">
        <v>41</v>
      </c>
      <c r="N217" t="s">
        <v>35</v>
      </c>
      <c r="O217" s="5">
        <f t="shared" si="3"/>
        <v>0.21478528069976999</v>
      </c>
    </row>
    <row r="218" spans="1:15" x14ac:dyDescent="0.3">
      <c r="A218" t="s">
        <v>560</v>
      </c>
      <c r="B218" t="s">
        <v>561</v>
      </c>
      <c r="C218" t="s">
        <v>238</v>
      </c>
      <c r="D218" t="s">
        <v>70</v>
      </c>
      <c r="E218" t="s">
        <v>32</v>
      </c>
      <c r="F218" t="s">
        <v>23</v>
      </c>
      <c r="G218">
        <v>2</v>
      </c>
      <c r="H218">
        <v>27.27</v>
      </c>
      <c r="I218">
        <v>54.54</v>
      </c>
      <c r="J218">
        <v>1.45</v>
      </c>
      <c r="K218">
        <v>17.09</v>
      </c>
      <c r="L218" t="s">
        <v>24</v>
      </c>
      <c r="M218" t="s">
        <v>41</v>
      </c>
      <c r="N218" t="s">
        <v>76</v>
      </c>
      <c r="O218" s="5">
        <f t="shared" si="3"/>
        <v>0.31334800146681335</v>
      </c>
    </row>
    <row r="219" spans="1:15" x14ac:dyDescent="0.3">
      <c r="A219" t="s">
        <v>562</v>
      </c>
      <c r="B219" t="s">
        <v>563</v>
      </c>
      <c r="C219" t="s">
        <v>369</v>
      </c>
      <c r="D219" t="s">
        <v>123</v>
      </c>
      <c r="E219" t="s">
        <v>137</v>
      </c>
      <c r="F219" t="s">
        <v>68</v>
      </c>
      <c r="G219">
        <v>48</v>
      </c>
      <c r="H219">
        <v>44.95</v>
      </c>
      <c r="I219">
        <v>2157.6</v>
      </c>
      <c r="J219">
        <v>148.41</v>
      </c>
      <c r="K219">
        <v>665.19</v>
      </c>
      <c r="L219" t="s">
        <v>24</v>
      </c>
      <c r="M219" t="s">
        <v>25</v>
      </c>
      <c r="N219" t="s">
        <v>76</v>
      </c>
      <c r="O219" s="5">
        <f t="shared" si="3"/>
        <v>0.30830088987764187</v>
      </c>
    </row>
    <row r="220" spans="1:15" x14ac:dyDescent="0.3">
      <c r="A220" t="s">
        <v>564</v>
      </c>
      <c r="B220" t="s">
        <v>400</v>
      </c>
      <c r="C220" t="s">
        <v>559</v>
      </c>
      <c r="D220" t="s">
        <v>116</v>
      </c>
      <c r="E220" t="s">
        <v>63</v>
      </c>
      <c r="F220" t="s">
        <v>47</v>
      </c>
      <c r="G220">
        <v>23</v>
      </c>
      <c r="H220">
        <v>28.6</v>
      </c>
      <c r="I220">
        <v>657.8</v>
      </c>
      <c r="J220">
        <v>13.36</v>
      </c>
      <c r="K220">
        <v>184.44</v>
      </c>
      <c r="L220" t="s">
        <v>24</v>
      </c>
      <c r="M220" t="s">
        <v>41</v>
      </c>
      <c r="N220" t="s">
        <v>76</v>
      </c>
      <c r="O220" s="5">
        <f t="shared" si="3"/>
        <v>0.28038917604135</v>
      </c>
    </row>
    <row r="221" spans="1:15" x14ac:dyDescent="0.3">
      <c r="A221" t="s">
        <v>565</v>
      </c>
      <c r="B221" t="s">
        <v>309</v>
      </c>
      <c r="C221" t="s">
        <v>174</v>
      </c>
      <c r="D221" t="s">
        <v>171</v>
      </c>
      <c r="E221" t="s">
        <v>81</v>
      </c>
      <c r="F221" t="s">
        <v>68</v>
      </c>
      <c r="G221">
        <v>18</v>
      </c>
      <c r="H221">
        <v>26.1</v>
      </c>
      <c r="I221">
        <v>469.8</v>
      </c>
      <c r="J221">
        <v>19.52</v>
      </c>
      <c r="K221">
        <v>171.28</v>
      </c>
      <c r="L221" t="s">
        <v>48</v>
      </c>
      <c r="M221" t="s">
        <v>25</v>
      </c>
      <c r="N221" t="s">
        <v>35</v>
      </c>
      <c r="O221" s="5">
        <f t="shared" si="3"/>
        <v>0.36458067262664962</v>
      </c>
    </row>
    <row r="222" spans="1:15" x14ac:dyDescent="0.3">
      <c r="A222" t="s">
        <v>566</v>
      </c>
      <c r="B222" t="s">
        <v>567</v>
      </c>
      <c r="C222" t="s">
        <v>568</v>
      </c>
      <c r="D222" t="s">
        <v>62</v>
      </c>
      <c r="E222" t="s">
        <v>137</v>
      </c>
      <c r="F222" t="s">
        <v>68</v>
      </c>
      <c r="G222">
        <v>21</v>
      </c>
      <c r="H222">
        <v>37.450000000000003</v>
      </c>
      <c r="I222">
        <v>786.45</v>
      </c>
      <c r="J222">
        <v>62.4</v>
      </c>
      <c r="K222">
        <v>136.05000000000001</v>
      </c>
      <c r="L222" t="s">
        <v>24</v>
      </c>
      <c r="M222" t="s">
        <v>41</v>
      </c>
      <c r="N222" t="s">
        <v>98</v>
      </c>
      <c r="O222" s="5">
        <f t="shared" si="3"/>
        <v>0.17299256151058554</v>
      </c>
    </row>
    <row r="223" spans="1:15" x14ac:dyDescent="0.3">
      <c r="A223" t="s">
        <v>569</v>
      </c>
      <c r="B223" t="s">
        <v>570</v>
      </c>
      <c r="C223" t="s">
        <v>511</v>
      </c>
      <c r="D223" t="s">
        <v>116</v>
      </c>
      <c r="E223" t="s">
        <v>63</v>
      </c>
      <c r="F223" t="s">
        <v>47</v>
      </c>
      <c r="G223">
        <v>25</v>
      </c>
      <c r="H223">
        <v>28.54</v>
      </c>
      <c r="I223">
        <v>713.5</v>
      </c>
      <c r="J223">
        <v>50.38</v>
      </c>
      <c r="K223">
        <v>163.12</v>
      </c>
      <c r="L223" t="s">
        <v>24</v>
      </c>
      <c r="M223" t="s">
        <v>25</v>
      </c>
      <c r="N223" t="s">
        <v>76</v>
      </c>
      <c r="O223" s="5">
        <f t="shared" si="3"/>
        <v>0.22861948142957253</v>
      </c>
    </row>
    <row r="224" spans="1:15" x14ac:dyDescent="0.3">
      <c r="A224" t="s">
        <v>571</v>
      </c>
      <c r="B224" t="s">
        <v>303</v>
      </c>
      <c r="C224" t="s">
        <v>182</v>
      </c>
      <c r="D224" t="s">
        <v>21</v>
      </c>
      <c r="E224" t="s">
        <v>74</v>
      </c>
      <c r="F224" t="s">
        <v>75</v>
      </c>
      <c r="G224">
        <v>11</v>
      </c>
      <c r="H224">
        <v>38.07</v>
      </c>
      <c r="I224">
        <v>418.77</v>
      </c>
      <c r="J224">
        <v>29.02</v>
      </c>
      <c r="K224">
        <v>114.75</v>
      </c>
      <c r="L224" t="s">
        <v>33</v>
      </c>
      <c r="M224" t="s">
        <v>25</v>
      </c>
      <c r="N224" t="s">
        <v>98</v>
      </c>
      <c r="O224" s="5">
        <f t="shared" si="3"/>
        <v>0.27401676337846553</v>
      </c>
    </row>
    <row r="225" spans="1:15" x14ac:dyDescent="0.3">
      <c r="A225" t="s">
        <v>572</v>
      </c>
      <c r="B225" t="s">
        <v>573</v>
      </c>
      <c r="C225" t="s">
        <v>574</v>
      </c>
      <c r="D225" t="s">
        <v>55</v>
      </c>
      <c r="E225" t="s">
        <v>81</v>
      </c>
      <c r="F225" t="s">
        <v>68</v>
      </c>
      <c r="G225">
        <v>18</v>
      </c>
      <c r="H225">
        <v>19.32</v>
      </c>
      <c r="I225">
        <v>347.76</v>
      </c>
      <c r="J225">
        <v>21.34</v>
      </c>
      <c r="K225">
        <v>47.42</v>
      </c>
      <c r="L225" t="s">
        <v>33</v>
      </c>
      <c r="M225" t="s">
        <v>25</v>
      </c>
      <c r="N225" t="s">
        <v>98</v>
      </c>
      <c r="O225" s="5">
        <f t="shared" si="3"/>
        <v>0.13635840809753855</v>
      </c>
    </row>
    <row r="226" spans="1:15" x14ac:dyDescent="0.3">
      <c r="A226" t="s">
        <v>575</v>
      </c>
      <c r="B226" t="s">
        <v>281</v>
      </c>
      <c r="C226" t="s">
        <v>110</v>
      </c>
      <c r="D226" t="s">
        <v>31</v>
      </c>
      <c r="E226" t="s">
        <v>137</v>
      </c>
      <c r="F226" t="s">
        <v>68</v>
      </c>
      <c r="G226">
        <v>42</v>
      </c>
      <c r="H226">
        <v>50.02</v>
      </c>
      <c r="I226">
        <v>2100.84</v>
      </c>
      <c r="J226">
        <v>89.65</v>
      </c>
      <c r="K226">
        <v>835.19</v>
      </c>
      <c r="L226" t="s">
        <v>33</v>
      </c>
      <c r="M226" t="s">
        <v>34</v>
      </c>
      <c r="N226" t="s">
        <v>35</v>
      </c>
      <c r="O226" s="5">
        <f t="shared" si="3"/>
        <v>0.39755050360808059</v>
      </c>
    </row>
    <row r="227" spans="1:15" x14ac:dyDescent="0.3">
      <c r="A227" t="s">
        <v>576</v>
      </c>
      <c r="B227" t="s">
        <v>577</v>
      </c>
      <c r="C227" t="s">
        <v>410</v>
      </c>
      <c r="D227" t="s">
        <v>206</v>
      </c>
      <c r="E227" t="s">
        <v>137</v>
      </c>
      <c r="F227" t="s">
        <v>68</v>
      </c>
      <c r="G227">
        <v>13</v>
      </c>
      <c r="H227">
        <v>49.39</v>
      </c>
      <c r="I227">
        <v>642.07000000000005</v>
      </c>
      <c r="J227">
        <v>38.32</v>
      </c>
      <c r="K227">
        <v>239.75</v>
      </c>
      <c r="L227" t="s">
        <v>33</v>
      </c>
      <c r="M227" t="s">
        <v>25</v>
      </c>
      <c r="N227" t="s">
        <v>207</v>
      </c>
      <c r="O227" s="5">
        <f t="shared" si="3"/>
        <v>0.37340165402526199</v>
      </c>
    </row>
    <row r="228" spans="1:15" x14ac:dyDescent="0.3">
      <c r="A228" t="s">
        <v>578</v>
      </c>
      <c r="B228" t="s">
        <v>579</v>
      </c>
      <c r="C228" t="s">
        <v>188</v>
      </c>
      <c r="D228" t="s">
        <v>31</v>
      </c>
      <c r="E228" t="s">
        <v>32</v>
      </c>
      <c r="F228" t="s">
        <v>23</v>
      </c>
      <c r="G228">
        <v>15</v>
      </c>
      <c r="H228">
        <v>22.86</v>
      </c>
      <c r="I228">
        <v>342.9</v>
      </c>
      <c r="J228">
        <v>27.16</v>
      </c>
      <c r="K228">
        <v>45.74</v>
      </c>
      <c r="L228" t="s">
        <v>48</v>
      </c>
      <c r="M228" t="s">
        <v>41</v>
      </c>
      <c r="N228" t="s">
        <v>35</v>
      </c>
      <c r="O228" s="5">
        <f t="shared" si="3"/>
        <v>0.13339165937591135</v>
      </c>
    </row>
    <row r="229" spans="1:15" x14ac:dyDescent="0.3">
      <c r="A229" t="s">
        <v>580</v>
      </c>
      <c r="B229" t="s">
        <v>581</v>
      </c>
      <c r="C229" t="s">
        <v>568</v>
      </c>
      <c r="D229" t="s">
        <v>70</v>
      </c>
      <c r="E229" t="s">
        <v>74</v>
      </c>
      <c r="F229" t="s">
        <v>75</v>
      </c>
      <c r="G229">
        <v>37</v>
      </c>
      <c r="H229">
        <v>37.270000000000003</v>
      </c>
      <c r="I229">
        <v>1378.99</v>
      </c>
      <c r="J229">
        <v>92.92</v>
      </c>
      <c r="K229">
        <v>361.07</v>
      </c>
      <c r="L229" t="s">
        <v>24</v>
      </c>
      <c r="M229" t="s">
        <v>25</v>
      </c>
      <c r="N229" t="s">
        <v>76</v>
      </c>
      <c r="O229" s="5">
        <f t="shared" si="3"/>
        <v>0.26183656154141799</v>
      </c>
    </row>
    <row r="230" spans="1:15" x14ac:dyDescent="0.3">
      <c r="A230" t="s">
        <v>582</v>
      </c>
      <c r="B230" t="s">
        <v>583</v>
      </c>
      <c r="C230" t="s">
        <v>61</v>
      </c>
      <c r="D230" t="s">
        <v>171</v>
      </c>
      <c r="E230" t="s">
        <v>22</v>
      </c>
      <c r="F230" t="s">
        <v>23</v>
      </c>
      <c r="G230">
        <v>49</v>
      </c>
      <c r="H230">
        <v>54.05</v>
      </c>
      <c r="I230">
        <v>2648.45</v>
      </c>
      <c r="J230">
        <v>66.8</v>
      </c>
      <c r="K230">
        <v>866.65</v>
      </c>
      <c r="L230" t="s">
        <v>48</v>
      </c>
      <c r="M230" t="s">
        <v>25</v>
      </c>
      <c r="N230" t="s">
        <v>35</v>
      </c>
      <c r="O230" s="5">
        <f t="shared" si="3"/>
        <v>0.32722913402178633</v>
      </c>
    </row>
    <row r="231" spans="1:15" x14ac:dyDescent="0.3">
      <c r="A231" t="s">
        <v>584</v>
      </c>
      <c r="B231" t="s">
        <v>585</v>
      </c>
      <c r="C231" t="s">
        <v>586</v>
      </c>
      <c r="D231" t="s">
        <v>31</v>
      </c>
      <c r="E231" t="s">
        <v>86</v>
      </c>
      <c r="F231" t="s">
        <v>47</v>
      </c>
      <c r="G231">
        <v>33</v>
      </c>
      <c r="H231">
        <v>20.059999999999999</v>
      </c>
      <c r="I231">
        <v>661.98</v>
      </c>
      <c r="J231">
        <v>50.02</v>
      </c>
      <c r="K231">
        <v>191.21</v>
      </c>
      <c r="L231" t="s">
        <v>48</v>
      </c>
      <c r="M231" t="s">
        <v>34</v>
      </c>
      <c r="N231" t="s">
        <v>35</v>
      </c>
      <c r="O231" s="5">
        <f t="shared" si="3"/>
        <v>0.28884558445874498</v>
      </c>
    </row>
    <row r="232" spans="1:15" x14ac:dyDescent="0.3">
      <c r="A232" t="s">
        <v>587</v>
      </c>
      <c r="B232" t="s">
        <v>588</v>
      </c>
      <c r="C232" t="s">
        <v>328</v>
      </c>
      <c r="D232" t="s">
        <v>241</v>
      </c>
      <c r="E232" t="s">
        <v>137</v>
      </c>
      <c r="F232" t="s">
        <v>68</v>
      </c>
      <c r="G232">
        <v>49</v>
      </c>
      <c r="H232">
        <v>35.68</v>
      </c>
      <c r="I232">
        <v>1748.32</v>
      </c>
      <c r="J232">
        <v>124.47</v>
      </c>
      <c r="K232">
        <v>251.85</v>
      </c>
      <c r="L232" t="s">
        <v>48</v>
      </c>
      <c r="M232" t="s">
        <v>41</v>
      </c>
      <c r="N232" t="s">
        <v>35</v>
      </c>
      <c r="O232" s="5">
        <f t="shared" si="3"/>
        <v>0.14405257618742565</v>
      </c>
    </row>
    <row r="233" spans="1:15" x14ac:dyDescent="0.3">
      <c r="A233" t="s">
        <v>589</v>
      </c>
      <c r="B233" t="s">
        <v>590</v>
      </c>
      <c r="C233" t="s">
        <v>40</v>
      </c>
      <c r="D233" t="s">
        <v>70</v>
      </c>
      <c r="E233" t="s">
        <v>74</v>
      </c>
      <c r="F233" t="s">
        <v>75</v>
      </c>
      <c r="G233">
        <v>23</v>
      </c>
      <c r="H233">
        <v>30.89</v>
      </c>
      <c r="I233">
        <v>710.47</v>
      </c>
      <c r="J233">
        <v>18.739999999999998</v>
      </c>
      <c r="K233">
        <v>116.73</v>
      </c>
      <c r="L233" t="s">
        <v>33</v>
      </c>
      <c r="M233" t="s">
        <v>25</v>
      </c>
      <c r="N233" t="s">
        <v>76</v>
      </c>
      <c r="O233" s="5">
        <f t="shared" si="3"/>
        <v>0.16429968893830843</v>
      </c>
    </row>
    <row r="234" spans="1:15" x14ac:dyDescent="0.3">
      <c r="A234" t="s">
        <v>591</v>
      </c>
      <c r="B234" t="s">
        <v>101</v>
      </c>
      <c r="C234" t="s">
        <v>44</v>
      </c>
      <c r="D234" t="s">
        <v>171</v>
      </c>
      <c r="E234" t="s">
        <v>22</v>
      </c>
      <c r="F234" t="s">
        <v>23</v>
      </c>
      <c r="G234">
        <v>14</v>
      </c>
      <c r="H234">
        <v>59.6</v>
      </c>
      <c r="I234">
        <v>834.4</v>
      </c>
      <c r="J234">
        <v>19.11</v>
      </c>
      <c r="K234">
        <v>325.29000000000002</v>
      </c>
      <c r="L234" t="s">
        <v>33</v>
      </c>
      <c r="M234" t="s">
        <v>34</v>
      </c>
      <c r="N234" t="s">
        <v>35</v>
      </c>
      <c r="O234" s="5">
        <f t="shared" si="3"/>
        <v>0.38984899328859063</v>
      </c>
    </row>
    <row r="235" spans="1:15" x14ac:dyDescent="0.3">
      <c r="A235" t="s">
        <v>592</v>
      </c>
      <c r="B235" t="s">
        <v>314</v>
      </c>
      <c r="C235" t="s">
        <v>480</v>
      </c>
      <c r="D235" t="s">
        <v>241</v>
      </c>
      <c r="E235" t="s">
        <v>67</v>
      </c>
      <c r="F235" t="s">
        <v>68</v>
      </c>
      <c r="G235">
        <v>3</v>
      </c>
      <c r="H235">
        <v>28.36</v>
      </c>
      <c r="I235">
        <v>85.08</v>
      </c>
      <c r="J235">
        <v>4.46</v>
      </c>
      <c r="K235">
        <v>13.12</v>
      </c>
      <c r="L235" t="s">
        <v>24</v>
      </c>
      <c r="M235" t="s">
        <v>34</v>
      </c>
      <c r="N235" t="s">
        <v>35</v>
      </c>
      <c r="O235" s="5">
        <f t="shared" si="3"/>
        <v>0.15420780441936999</v>
      </c>
    </row>
    <row r="236" spans="1:15" x14ac:dyDescent="0.3">
      <c r="A236" t="s">
        <v>593</v>
      </c>
      <c r="B236" t="s">
        <v>398</v>
      </c>
      <c r="C236" t="s">
        <v>216</v>
      </c>
      <c r="D236" t="s">
        <v>241</v>
      </c>
      <c r="E236" t="s">
        <v>86</v>
      </c>
      <c r="F236" t="s">
        <v>47</v>
      </c>
      <c r="G236">
        <v>28</v>
      </c>
      <c r="H236">
        <v>22.13</v>
      </c>
      <c r="I236">
        <v>619.64</v>
      </c>
      <c r="J236">
        <v>17.2</v>
      </c>
      <c r="K236">
        <v>245.44</v>
      </c>
      <c r="L236" t="s">
        <v>33</v>
      </c>
      <c r="M236" t="s">
        <v>41</v>
      </c>
      <c r="N236" t="s">
        <v>35</v>
      </c>
      <c r="O236" s="5">
        <f t="shared" si="3"/>
        <v>0.39610096184881544</v>
      </c>
    </row>
    <row r="237" spans="1:15" x14ac:dyDescent="0.3">
      <c r="A237" t="s">
        <v>594</v>
      </c>
      <c r="B237" t="s">
        <v>388</v>
      </c>
      <c r="C237" t="s">
        <v>372</v>
      </c>
      <c r="D237" t="s">
        <v>21</v>
      </c>
      <c r="E237" t="s">
        <v>32</v>
      </c>
      <c r="F237" t="s">
        <v>23</v>
      </c>
      <c r="G237">
        <v>28</v>
      </c>
      <c r="H237">
        <v>27.62</v>
      </c>
      <c r="I237">
        <v>773.36</v>
      </c>
      <c r="J237">
        <v>29.88</v>
      </c>
      <c r="K237">
        <v>239.48</v>
      </c>
      <c r="L237" t="s">
        <v>24</v>
      </c>
      <c r="M237" t="s">
        <v>25</v>
      </c>
      <c r="N237" t="s">
        <v>98</v>
      </c>
      <c r="O237" s="5">
        <f t="shared" si="3"/>
        <v>0.30966173580221368</v>
      </c>
    </row>
    <row r="238" spans="1:15" x14ac:dyDescent="0.3">
      <c r="A238" t="s">
        <v>595</v>
      </c>
      <c r="B238" t="s">
        <v>596</v>
      </c>
      <c r="C238" t="s">
        <v>194</v>
      </c>
      <c r="D238" t="s">
        <v>55</v>
      </c>
      <c r="E238" t="s">
        <v>74</v>
      </c>
      <c r="F238" t="s">
        <v>75</v>
      </c>
      <c r="G238">
        <v>40</v>
      </c>
      <c r="H238">
        <v>34.229999999999997</v>
      </c>
      <c r="I238">
        <v>1369.2</v>
      </c>
      <c r="J238">
        <v>78.03</v>
      </c>
      <c r="K238">
        <v>291.17</v>
      </c>
      <c r="L238" t="s">
        <v>24</v>
      </c>
      <c r="M238" t="s">
        <v>25</v>
      </c>
      <c r="N238" t="s">
        <v>98</v>
      </c>
      <c r="O238" s="5">
        <f t="shared" si="3"/>
        <v>0.21265702600058428</v>
      </c>
    </row>
    <row r="239" spans="1:15" x14ac:dyDescent="0.3">
      <c r="A239" t="s">
        <v>597</v>
      </c>
      <c r="B239" t="s">
        <v>598</v>
      </c>
      <c r="C239" t="s">
        <v>285</v>
      </c>
      <c r="D239" t="s">
        <v>127</v>
      </c>
      <c r="E239" t="s">
        <v>56</v>
      </c>
      <c r="F239" t="s">
        <v>57</v>
      </c>
      <c r="G239">
        <v>9</v>
      </c>
      <c r="H239">
        <v>52.2</v>
      </c>
      <c r="I239">
        <v>469.8</v>
      </c>
      <c r="J239">
        <v>31.5</v>
      </c>
      <c r="K239">
        <v>78.3</v>
      </c>
      <c r="L239" t="s">
        <v>48</v>
      </c>
      <c r="M239" t="s">
        <v>41</v>
      </c>
      <c r="N239" t="s">
        <v>76</v>
      </c>
      <c r="O239" s="5">
        <f t="shared" si="3"/>
        <v>0.16666666666666666</v>
      </c>
    </row>
    <row r="240" spans="1:15" x14ac:dyDescent="0.3">
      <c r="A240" t="s">
        <v>599</v>
      </c>
      <c r="B240" t="s">
        <v>205</v>
      </c>
      <c r="C240" t="s">
        <v>372</v>
      </c>
      <c r="D240" t="s">
        <v>171</v>
      </c>
      <c r="E240" t="s">
        <v>74</v>
      </c>
      <c r="F240" t="s">
        <v>75</v>
      </c>
      <c r="G240">
        <v>31</v>
      </c>
      <c r="H240">
        <v>43.54</v>
      </c>
      <c r="I240">
        <v>1349.74</v>
      </c>
      <c r="J240">
        <v>99.86</v>
      </c>
      <c r="K240">
        <v>474.88</v>
      </c>
      <c r="L240" t="s">
        <v>24</v>
      </c>
      <c r="M240" t="s">
        <v>34</v>
      </c>
      <c r="N240" t="s">
        <v>35</v>
      </c>
      <c r="O240" s="5">
        <f t="shared" si="3"/>
        <v>0.35183072295405038</v>
      </c>
    </row>
    <row r="241" spans="1:15" x14ac:dyDescent="0.3">
      <c r="A241" t="s">
        <v>600</v>
      </c>
      <c r="B241" t="s">
        <v>479</v>
      </c>
      <c r="C241" t="s">
        <v>185</v>
      </c>
      <c r="D241" t="s">
        <v>123</v>
      </c>
      <c r="E241" t="s">
        <v>81</v>
      </c>
      <c r="F241" t="s">
        <v>68</v>
      </c>
      <c r="G241">
        <v>31</v>
      </c>
      <c r="H241">
        <v>18.63</v>
      </c>
      <c r="I241">
        <v>577.53</v>
      </c>
      <c r="J241">
        <v>36.65</v>
      </c>
      <c r="K241">
        <v>60.38</v>
      </c>
      <c r="L241" t="s">
        <v>48</v>
      </c>
      <c r="M241" t="s">
        <v>25</v>
      </c>
      <c r="N241" t="s">
        <v>76</v>
      </c>
      <c r="O241" s="5">
        <f t="shared" si="3"/>
        <v>0.1045486814537773</v>
      </c>
    </row>
    <row r="242" spans="1:15" x14ac:dyDescent="0.3">
      <c r="A242" t="s">
        <v>601</v>
      </c>
      <c r="B242" t="s">
        <v>602</v>
      </c>
      <c r="C242" t="s">
        <v>442</v>
      </c>
      <c r="D242" t="s">
        <v>127</v>
      </c>
      <c r="E242" t="s">
        <v>63</v>
      </c>
      <c r="F242" t="s">
        <v>47</v>
      </c>
      <c r="G242">
        <v>38</v>
      </c>
      <c r="H242">
        <v>27.28</v>
      </c>
      <c r="I242">
        <v>1036.6400000000001</v>
      </c>
      <c r="J242">
        <v>38.770000000000003</v>
      </c>
      <c r="K242">
        <v>237.87</v>
      </c>
      <c r="L242" t="s">
        <v>24</v>
      </c>
      <c r="M242" t="s">
        <v>41</v>
      </c>
      <c r="N242" t="s">
        <v>76</v>
      </c>
      <c r="O242" s="5">
        <f t="shared" si="3"/>
        <v>0.22946249421206974</v>
      </c>
    </row>
    <row r="243" spans="1:15" x14ac:dyDescent="0.3">
      <c r="A243" t="s">
        <v>603</v>
      </c>
      <c r="B243" t="s">
        <v>482</v>
      </c>
      <c r="C243" t="s">
        <v>328</v>
      </c>
      <c r="D243" t="s">
        <v>45</v>
      </c>
      <c r="E243" t="s">
        <v>32</v>
      </c>
      <c r="F243" t="s">
        <v>23</v>
      </c>
      <c r="G243">
        <v>50</v>
      </c>
      <c r="H243">
        <v>30.97</v>
      </c>
      <c r="I243">
        <v>1548.5</v>
      </c>
      <c r="J243">
        <v>82.09</v>
      </c>
      <c r="K243">
        <v>566.41</v>
      </c>
      <c r="L243" t="s">
        <v>33</v>
      </c>
      <c r="M243" t="s">
        <v>34</v>
      </c>
      <c r="N243" t="s">
        <v>49</v>
      </c>
      <c r="O243" s="5">
        <f t="shared" si="3"/>
        <v>0.36577978689053919</v>
      </c>
    </row>
    <row r="244" spans="1:15" x14ac:dyDescent="0.3">
      <c r="A244" t="s">
        <v>604</v>
      </c>
      <c r="B244" t="s">
        <v>118</v>
      </c>
      <c r="C244" t="s">
        <v>126</v>
      </c>
      <c r="D244" t="s">
        <v>127</v>
      </c>
      <c r="E244" t="s">
        <v>56</v>
      </c>
      <c r="F244" t="s">
        <v>57</v>
      </c>
      <c r="G244">
        <v>17</v>
      </c>
      <c r="H244">
        <v>60.91</v>
      </c>
      <c r="I244">
        <v>1035.47</v>
      </c>
      <c r="J244">
        <v>54.09</v>
      </c>
      <c r="K244">
        <v>301.38</v>
      </c>
      <c r="L244" t="s">
        <v>48</v>
      </c>
      <c r="M244" t="s">
        <v>25</v>
      </c>
      <c r="N244" t="s">
        <v>76</v>
      </c>
      <c r="O244" s="5">
        <f t="shared" si="3"/>
        <v>0.29105623533274744</v>
      </c>
    </row>
    <row r="245" spans="1:15" x14ac:dyDescent="0.3">
      <c r="A245" t="s">
        <v>605</v>
      </c>
      <c r="B245" t="s">
        <v>606</v>
      </c>
      <c r="C245" t="s">
        <v>437</v>
      </c>
      <c r="D245" t="s">
        <v>51</v>
      </c>
      <c r="E245" t="s">
        <v>63</v>
      </c>
      <c r="F245" t="s">
        <v>47</v>
      </c>
      <c r="G245">
        <v>25</v>
      </c>
      <c r="H245">
        <v>31.15</v>
      </c>
      <c r="I245">
        <v>778.75</v>
      </c>
      <c r="J245">
        <v>47.45</v>
      </c>
      <c r="K245">
        <v>231.3</v>
      </c>
      <c r="L245" t="s">
        <v>24</v>
      </c>
      <c r="M245" t="s">
        <v>41</v>
      </c>
      <c r="N245" t="s">
        <v>76</v>
      </c>
      <c r="O245" s="5">
        <f t="shared" si="3"/>
        <v>0.29701444622792939</v>
      </c>
    </row>
    <row r="246" spans="1:15" x14ac:dyDescent="0.3">
      <c r="A246" t="s">
        <v>607</v>
      </c>
      <c r="B246" t="s">
        <v>608</v>
      </c>
      <c r="C246" t="s">
        <v>462</v>
      </c>
      <c r="D246" t="s">
        <v>171</v>
      </c>
      <c r="E246" t="s">
        <v>32</v>
      </c>
      <c r="F246" t="s">
        <v>23</v>
      </c>
      <c r="G246">
        <v>30</v>
      </c>
      <c r="H246">
        <v>31.12</v>
      </c>
      <c r="I246">
        <v>933.6</v>
      </c>
      <c r="J246">
        <v>50.88</v>
      </c>
      <c r="K246">
        <v>342.72</v>
      </c>
      <c r="L246" t="s">
        <v>33</v>
      </c>
      <c r="M246" t="s">
        <v>34</v>
      </c>
      <c r="N246" t="s">
        <v>35</v>
      </c>
      <c r="O246" s="5">
        <f t="shared" si="3"/>
        <v>0.36709511568123393</v>
      </c>
    </row>
    <row r="247" spans="1:15" x14ac:dyDescent="0.3">
      <c r="A247" t="s">
        <v>609</v>
      </c>
      <c r="B247" t="s">
        <v>610</v>
      </c>
      <c r="C247" t="s">
        <v>182</v>
      </c>
      <c r="D247" t="s">
        <v>62</v>
      </c>
      <c r="E247" t="s">
        <v>81</v>
      </c>
      <c r="F247" t="s">
        <v>68</v>
      </c>
      <c r="G247">
        <v>17</v>
      </c>
      <c r="H247">
        <v>19.64</v>
      </c>
      <c r="I247">
        <v>333.88</v>
      </c>
      <c r="J247">
        <v>22.23</v>
      </c>
      <c r="K247">
        <v>48.15</v>
      </c>
      <c r="L247" t="s">
        <v>48</v>
      </c>
      <c r="M247" t="s">
        <v>41</v>
      </c>
      <c r="N247" t="s">
        <v>98</v>
      </c>
      <c r="O247" s="5">
        <f t="shared" si="3"/>
        <v>0.14421348987660237</v>
      </c>
    </row>
    <row r="248" spans="1:15" x14ac:dyDescent="0.3">
      <c r="A248" t="s">
        <v>611</v>
      </c>
      <c r="B248" t="s">
        <v>612</v>
      </c>
      <c r="C248" t="s">
        <v>613</v>
      </c>
      <c r="D248" t="s">
        <v>21</v>
      </c>
      <c r="E248" t="s">
        <v>46</v>
      </c>
      <c r="F248" t="s">
        <v>47</v>
      </c>
      <c r="G248">
        <v>37</v>
      </c>
      <c r="H248">
        <v>57.35</v>
      </c>
      <c r="I248">
        <v>2121.9499999999998</v>
      </c>
      <c r="J248">
        <v>147.38999999999999</v>
      </c>
      <c r="K248">
        <v>790.56</v>
      </c>
      <c r="L248" t="s">
        <v>24</v>
      </c>
      <c r="M248" t="s">
        <v>25</v>
      </c>
      <c r="N248" t="s">
        <v>98</v>
      </c>
      <c r="O248" s="5">
        <f t="shared" si="3"/>
        <v>0.37256297273734068</v>
      </c>
    </row>
    <row r="249" spans="1:15" x14ac:dyDescent="0.3">
      <c r="A249" t="s">
        <v>614</v>
      </c>
      <c r="B249" t="s">
        <v>615</v>
      </c>
      <c r="C249" t="s">
        <v>20</v>
      </c>
      <c r="D249" t="s">
        <v>37</v>
      </c>
      <c r="E249" t="s">
        <v>22</v>
      </c>
      <c r="F249" t="s">
        <v>23</v>
      </c>
      <c r="G249">
        <v>45</v>
      </c>
      <c r="H249">
        <v>42.6</v>
      </c>
      <c r="I249">
        <v>1917</v>
      </c>
      <c r="J249">
        <v>104.27</v>
      </c>
      <c r="K249">
        <v>237.73</v>
      </c>
      <c r="L249" t="s">
        <v>33</v>
      </c>
      <c r="M249" t="s">
        <v>41</v>
      </c>
      <c r="N249" t="s">
        <v>35</v>
      </c>
      <c r="O249" s="5">
        <f t="shared" si="3"/>
        <v>0.12401147626499738</v>
      </c>
    </row>
    <row r="250" spans="1:15" x14ac:dyDescent="0.3">
      <c r="A250" t="s">
        <v>616</v>
      </c>
      <c r="B250" t="s">
        <v>617</v>
      </c>
      <c r="C250" t="s">
        <v>165</v>
      </c>
      <c r="D250" t="s">
        <v>31</v>
      </c>
      <c r="E250" t="s">
        <v>63</v>
      </c>
      <c r="F250" t="s">
        <v>47</v>
      </c>
      <c r="G250">
        <v>25</v>
      </c>
      <c r="H250">
        <v>31.82</v>
      </c>
      <c r="I250">
        <v>795.5</v>
      </c>
      <c r="J250">
        <v>37.33</v>
      </c>
      <c r="K250">
        <v>258.17</v>
      </c>
      <c r="L250" t="s">
        <v>24</v>
      </c>
      <c r="M250" t="s">
        <v>34</v>
      </c>
      <c r="N250" t="s">
        <v>35</v>
      </c>
      <c r="O250" s="5">
        <f t="shared" si="3"/>
        <v>0.32453802639849155</v>
      </c>
    </row>
    <row r="251" spans="1:15" x14ac:dyDescent="0.3">
      <c r="A251" t="s">
        <v>618</v>
      </c>
      <c r="B251" t="s">
        <v>105</v>
      </c>
      <c r="C251" t="s">
        <v>200</v>
      </c>
      <c r="D251" t="s">
        <v>70</v>
      </c>
      <c r="E251" t="s">
        <v>74</v>
      </c>
      <c r="F251" t="s">
        <v>75</v>
      </c>
      <c r="G251">
        <v>17</v>
      </c>
      <c r="H251">
        <v>36.270000000000003</v>
      </c>
      <c r="I251">
        <v>616.59</v>
      </c>
      <c r="J251">
        <v>22.76</v>
      </c>
      <c r="K251">
        <v>168.83</v>
      </c>
      <c r="L251" t="s">
        <v>48</v>
      </c>
      <c r="M251" t="s">
        <v>25</v>
      </c>
      <c r="N251" t="s">
        <v>76</v>
      </c>
      <c r="O251" s="5">
        <f t="shared" si="3"/>
        <v>0.27381241992247685</v>
      </c>
    </row>
    <row r="252" spans="1:15" x14ac:dyDescent="0.3">
      <c r="A252" t="s">
        <v>619</v>
      </c>
      <c r="B252" t="s">
        <v>620</v>
      </c>
      <c r="C252" t="s">
        <v>334</v>
      </c>
      <c r="D252" t="s">
        <v>123</v>
      </c>
      <c r="E252" t="s">
        <v>32</v>
      </c>
      <c r="F252" t="s">
        <v>23</v>
      </c>
      <c r="G252">
        <v>4</v>
      </c>
      <c r="H252">
        <v>27.01</v>
      </c>
      <c r="I252">
        <v>108.04</v>
      </c>
      <c r="J252">
        <v>4.7300000000000004</v>
      </c>
      <c r="K252">
        <v>31.31</v>
      </c>
      <c r="L252" t="s">
        <v>48</v>
      </c>
      <c r="M252" t="s">
        <v>41</v>
      </c>
      <c r="N252" t="s">
        <v>76</v>
      </c>
      <c r="O252" s="5">
        <f t="shared" si="3"/>
        <v>0.28980007404664937</v>
      </c>
    </row>
    <row r="253" spans="1:15" x14ac:dyDescent="0.3">
      <c r="A253" t="s">
        <v>621</v>
      </c>
      <c r="B253" t="s">
        <v>173</v>
      </c>
      <c r="C253" t="s">
        <v>369</v>
      </c>
      <c r="D253" t="s">
        <v>62</v>
      </c>
      <c r="E253" t="s">
        <v>22</v>
      </c>
      <c r="F253" t="s">
        <v>23</v>
      </c>
      <c r="G253">
        <v>22</v>
      </c>
      <c r="H253">
        <v>57.6</v>
      </c>
      <c r="I253">
        <v>1267.2</v>
      </c>
      <c r="J253">
        <v>35.32</v>
      </c>
      <c r="K253">
        <v>461.88</v>
      </c>
      <c r="L253" t="s">
        <v>48</v>
      </c>
      <c r="M253" t="s">
        <v>25</v>
      </c>
      <c r="N253" t="s">
        <v>98</v>
      </c>
      <c r="O253" s="5">
        <f t="shared" si="3"/>
        <v>0.36448863636363632</v>
      </c>
    </row>
    <row r="254" spans="1:15" x14ac:dyDescent="0.3">
      <c r="A254" t="s">
        <v>622</v>
      </c>
      <c r="B254" t="s">
        <v>623</v>
      </c>
      <c r="C254" t="s">
        <v>417</v>
      </c>
      <c r="D254" t="s">
        <v>241</v>
      </c>
      <c r="E254" t="s">
        <v>74</v>
      </c>
      <c r="F254" t="s">
        <v>75</v>
      </c>
      <c r="G254">
        <v>24</v>
      </c>
      <c r="H254">
        <v>43.34</v>
      </c>
      <c r="I254">
        <v>1040.1600000000001</v>
      </c>
      <c r="J254">
        <v>41.18</v>
      </c>
      <c r="K254">
        <v>398.98</v>
      </c>
      <c r="L254" t="s">
        <v>24</v>
      </c>
      <c r="M254" t="s">
        <v>41</v>
      </c>
      <c r="N254" t="s">
        <v>35</v>
      </c>
      <c r="O254" s="5">
        <f t="shared" si="3"/>
        <v>0.38357560375326871</v>
      </c>
    </row>
    <row r="255" spans="1:15" x14ac:dyDescent="0.3">
      <c r="A255" t="s">
        <v>624</v>
      </c>
      <c r="B255" t="s">
        <v>625</v>
      </c>
      <c r="C255" t="s">
        <v>266</v>
      </c>
      <c r="D255" t="s">
        <v>62</v>
      </c>
      <c r="E255" t="s">
        <v>56</v>
      </c>
      <c r="F255" t="s">
        <v>57</v>
      </c>
      <c r="G255">
        <v>37</v>
      </c>
      <c r="H255">
        <v>71.8</v>
      </c>
      <c r="I255">
        <v>2656.6</v>
      </c>
      <c r="J255">
        <v>60.3</v>
      </c>
      <c r="K255">
        <v>1116.3</v>
      </c>
      <c r="L255" t="s">
        <v>33</v>
      </c>
      <c r="M255" t="s">
        <v>25</v>
      </c>
      <c r="N255" t="s">
        <v>98</v>
      </c>
      <c r="O255" s="5">
        <f t="shared" si="3"/>
        <v>0.42019875028231574</v>
      </c>
    </row>
    <row r="256" spans="1:15" x14ac:dyDescent="0.3">
      <c r="A256" t="s">
        <v>626</v>
      </c>
      <c r="B256" t="s">
        <v>627</v>
      </c>
      <c r="C256" t="s">
        <v>613</v>
      </c>
      <c r="D256" t="s">
        <v>123</v>
      </c>
      <c r="E256" t="s">
        <v>63</v>
      </c>
      <c r="F256" t="s">
        <v>47</v>
      </c>
      <c r="G256">
        <v>24</v>
      </c>
      <c r="H256">
        <v>29.11</v>
      </c>
      <c r="I256">
        <v>698.64</v>
      </c>
      <c r="J256">
        <v>53.99</v>
      </c>
      <c r="K256">
        <v>164.65</v>
      </c>
      <c r="L256" t="s">
        <v>48</v>
      </c>
      <c r="M256" t="s">
        <v>41</v>
      </c>
      <c r="N256" t="s">
        <v>76</v>
      </c>
      <c r="O256" s="5">
        <f t="shared" si="3"/>
        <v>0.23567216305965877</v>
      </c>
    </row>
    <row r="257" spans="1:15" x14ac:dyDescent="0.3">
      <c r="A257" t="s">
        <v>628</v>
      </c>
      <c r="B257" t="s">
        <v>629</v>
      </c>
      <c r="C257" t="s">
        <v>630</v>
      </c>
      <c r="D257" t="s">
        <v>127</v>
      </c>
      <c r="E257" t="s">
        <v>67</v>
      </c>
      <c r="F257" t="s">
        <v>68</v>
      </c>
      <c r="G257">
        <v>6</v>
      </c>
      <c r="H257">
        <v>27.91</v>
      </c>
      <c r="I257">
        <v>167.46</v>
      </c>
      <c r="J257">
        <v>10.01</v>
      </c>
      <c r="K257">
        <v>22.45</v>
      </c>
      <c r="L257" t="s">
        <v>24</v>
      </c>
      <c r="M257" t="s">
        <v>25</v>
      </c>
      <c r="N257" t="s">
        <v>76</v>
      </c>
      <c r="O257" s="5">
        <f t="shared" si="3"/>
        <v>0.1340618655201242</v>
      </c>
    </row>
    <row r="258" spans="1:15" x14ac:dyDescent="0.3">
      <c r="A258" t="s">
        <v>631</v>
      </c>
      <c r="B258" t="s">
        <v>602</v>
      </c>
      <c r="C258" t="s">
        <v>44</v>
      </c>
      <c r="D258" t="s">
        <v>51</v>
      </c>
      <c r="E258" t="s">
        <v>67</v>
      </c>
      <c r="F258" t="s">
        <v>68</v>
      </c>
      <c r="G258">
        <v>28</v>
      </c>
      <c r="H258">
        <v>27.29</v>
      </c>
      <c r="I258">
        <v>764.12</v>
      </c>
      <c r="J258">
        <v>25.78</v>
      </c>
      <c r="K258">
        <v>108.34</v>
      </c>
      <c r="L258" t="s">
        <v>48</v>
      </c>
      <c r="M258" t="s">
        <v>25</v>
      </c>
      <c r="N258" t="s">
        <v>76</v>
      </c>
      <c r="O258" s="5">
        <f t="shared" si="3"/>
        <v>0.1417840129822541</v>
      </c>
    </row>
    <row r="259" spans="1:15" x14ac:dyDescent="0.3">
      <c r="A259" t="s">
        <v>632</v>
      </c>
      <c r="B259" t="s">
        <v>633</v>
      </c>
      <c r="C259" t="s">
        <v>505</v>
      </c>
      <c r="D259" t="s">
        <v>62</v>
      </c>
      <c r="E259" t="s">
        <v>67</v>
      </c>
      <c r="F259" t="s">
        <v>68</v>
      </c>
      <c r="G259">
        <v>47</v>
      </c>
      <c r="H259">
        <v>35.880000000000003</v>
      </c>
      <c r="I259">
        <v>1686.36</v>
      </c>
      <c r="J259">
        <v>70.3</v>
      </c>
      <c r="K259">
        <v>558.55999999999995</v>
      </c>
      <c r="L259" t="s">
        <v>24</v>
      </c>
      <c r="M259" t="s">
        <v>34</v>
      </c>
      <c r="N259" t="s">
        <v>98</v>
      </c>
      <c r="O259" s="5">
        <f t="shared" si="3"/>
        <v>0.33122227756825351</v>
      </c>
    </row>
    <row r="260" spans="1:15" x14ac:dyDescent="0.3">
      <c r="A260" t="s">
        <v>634</v>
      </c>
      <c r="B260" t="s">
        <v>617</v>
      </c>
      <c r="C260" t="s">
        <v>317</v>
      </c>
      <c r="D260" t="s">
        <v>171</v>
      </c>
      <c r="E260" t="s">
        <v>81</v>
      </c>
      <c r="F260" t="s">
        <v>68</v>
      </c>
      <c r="G260">
        <v>19</v>
      </c>
      <c r="H260">
        <v>27.47</v>
      </c>
      <c r="I260">
        <v>521.92999999999995</v>
      </c>
      <c r="J260">
        <v>31.29</v>
      </c>
      <c r="K260">
        <v>196.14</v>
      </c>
      <c r="L260" t="s">
        <v>33</v>
      </c>
      <c r="M260" t="s">
        <v>41</v>
      </c>
      <c r="N260" t="s">
        <v>35</v>
      </c>
      <c r="O260" s="5">
        <f t="shared" si="3"/>
        <v>0.37579752074032918</v>
      </c>
    </row>
    <row r="261" spans="1:15" x14ac:dyDescent="0.3">
      <c r="A261" t="s">
        <v>635</v>
      </c>
      <c r="B261" t="s">
        <v>294</v>
      </c>
      <c r="C261" t="s">
        <v>216</v>
      </c>
      <c r="D261" t="s">
        <v>206</v>
      </c>
      <c r="E261" t="s">
        <v>63</v>
      </c>
      <c r="F261" t="s">
        <v>47</v>
      </c>
      <c r="G261">
        <v>13</v>
      </c>
      <c r="H261">
        <v>29.26</v>
      </c>
      <c r="I261">
        <v>380.38</v>
      </c>
      <c r="J261">
        <v>9.4700000000000006</v>
      </c>
      <c r="K261">
        <v>110.91</v>
      </c>
      <c r="L261" t="s">
        <v>33</v>
      </c>
      <c r="M261" t="s">
        <v>41</v>
      </c>
      <c r="N261" t="s">
        <v>207</v>
      </c>
      <c r="O261" s="5">
        <f t="shared" si="3"/>
        <v>0.29157684420842317</v>
      </c>
    </row>
    <row r="262" spans="1:15" x14ac:dyDescent="0.3">
      <c r="A262" t="s">
        <v>636</v>
      </c>
      <c r="B262" t="s">
        <v>598</v>
      </c>
      <c r="C262" t="s">
        <v>485</v>
      </c>
      <c r="D262" t="s">
        <v>241</v>
      </c>
      <c r="E262" t="s">
        <v>32</v>
      </c>
      <c r="F262" t="s">
        <v>23</v>
      </c>
      <c r="G262">
        <v>4</v>
      </c>
      <c r="H262">
        <v>26.17</v>
      </c>
      <c r="I262">
        <v>104.68</v>
      </c>
      <c r="J262">
        <v>6.33</v>
      </c>
      <c r="K262">
        <v>26.35</v>
      </c>
      <c r="L262" t="s">
        <v>24</v>
      </c>
      <c r="M262" t="s">
        <v>34</v>
      </c>
      <c r="N262" t="s">
        <v>35</v>
      </c>
      <c r="O262" s="5">
        <f t="shared" si="3"/>
        <v>0.25171952617500953</v>
      </c>
    </row>
    <row r="263" spans="1:15" x14ac:dyDescent="0.3">
      <c r="A263" t="s">
        <v>637</v>
      </c>
      <c r="B263" t="s">
        <v>638</v>
      </c>
      <c r="C263" t="s">
        <v>266</v>
      </c>
      <c r="D263" t="s">
        <v>241</v>
      </c>
      <c r="E263" t="s">
        <v>67</v>
      </c>
      <c r="F263" t="s">
        <v>68</v>
      </c>
      <c r="G263">
        <v>43</v>
      </c>
      <c r="H263">
        <v>37.32</v>
      </c>
      <c r="I263">
        <v>1604.76</v>
      </c>
      <c r="J263">
        <v>61.01</v>
      </c>
      <c r="K263">
        <v>576.25</v>
      </c>
      <c r="L263" t="s">
        <v>24</v>
      </c>
      <c r="M263" t="s">
        <v>34</v>
      </c>
      <c r="N263" t="s">
        <v>35</v>
      </c>
      <c r="O263" s="5">
        <f t="shared" ref="O263:O326" si="4">K263/I263</f>
        <v>0.35908796330915527</v>
      </c>
    </row>
    <row r="264" spans="1:15" x14ac:dyDescent="0.3">
      <c r="A264" t="s">
        <v>639</v>
      </c>
      <c r="B264" t="s">
        <v>640</v>
      </c>
      <c r="C264" t="s">
        <v>465</v>
      </c>
      <c r="D264" t="s">
        <v>141</v>
      </c>
      <c r="E264" t="s">
        <v>32</v>
      </c>
      <c r="F264" t="s">
        <v>23</v>
      </c>
      <c r="G264">
        <v>27</v>
      </c>
      <c r="H264">
        <v>23.05</v>
      </c>
      <c r="I264">
        <v>622.35</v>
      </c>
      <c r="J264">
        <v>20.440000000000001</v>
      </c>
      <c r="K264">
        <v>115.91</v>
      </c>
      <c r="L264" t="s">
        <v>48</v>
      </c>
      <c r="M264" t="s">
        <v>34</v>
      </c>
      <c r="N264" t="s">
        <v>142</v>
      </c>
      <c r="O264" s="5">
        <f t="shared" si="4"/>
        <v>0.18624568169036715</v>
      </c>
    </row>
    <row r="265" spans="1:15" x14ac:dyDescent="0.3">
      <c r="A265" t="s">
        <v>641</v>
      </c>
      <c r="B265" t="s">
        <v>642</v>
      </c>
      <c r="C265" t="s">
        <v>643</v>
      </c>
      <c r="D265" t="s">
        <v>127</v>
      </c>
      <c r="E265" t="s">
        <v>86</v>
      </c>
      <c r="F265" t="s">
        <v>47</v>
      </c>
      <c r="G265">
        <v>38</v>
      </c>
      <c r="H265">
        <v>19.02</v>
      </c>
      <c r="I265">
        <v>722.76</v>
      </c>
      <c r="J265">
        <v>14.63</v>
      </c>
      <c r="K265">
        <v>223.63</v>
      </c>
      <c r="L265" t="s">
        <v>33</v>
      </c>
      <c r="M265" t="s">
        <v>34</v>
      </c>
      <c r="N265" t="s">
        <v>76</v>
      </c>
      <c r="O265" s="5">
        <f t="shared" si="4"/>
        <v>0.30941114616193482</v>
      </c>
    </row>
    <row r="266" spans="1:15" x14ac:dyDescent="0.3">
      <c r="A266" t="s">
        <v>644</v>
      </c>
      <c r="B266" t="s">
        <v>645</v>
      </c>
      <c r="C266" t="s">
        <v>646</v>
      </c>
      <c r="D266" t="s">
        <v>55</v>
      </c>
      <c r="E266" t="s">
        <v>56</v>
      </c>
      <c r="F266" t="s">
        <v>57</v>
      </c>
      <c r="G266">
        <v>10</v>
      </c>
      <c r="H266">
        <v>70.94</v>
      </c>
      <c r="I266">
        <v>709.4</v>
      </c>
      <c r="J266">
        <v>18.64</v>
      </c>
      <c r="K266">
        <v>290.76</v>
      </c>
      <c r="L266" t="s">
        <v>33</v>
      </c>
      <c r="M266" t="s">
        <v>41</v>
      </c>
      <c r="N266" t="s">
        <v>98</v>
      </c>
      <c r="O266" s="5">
        <f t="shared" si="4"/>
        <v>0.40986749365661124</v>
      </c>
    </row>
    <row r="267" spans="1:15" x14ac:dyDescent="0.3">
      <c r="A267" t="s">
        <v>647</v>
      </c>
      <c r="B267" t="s">
        <v>648</v>
      </c>
      <c r="C267" t="s">
        <v>442</v>
      </c>
      <c r="D267" t="s">
        <v>116</v>
      </c>
      <c r="E267" t="s">
        <v>74</v>
      </c>
      <c r="F267" t="s">
        <v>75</v>
      </c>
      <c r="G267">
        <v>17</v>
      </c>
      <c r="H267">
        <v>38.28</v>
      </c>
      <c r="I267">
        <v>650.76</v>
      </c>
      <c r="J267">
        <v>38.43</v>
      </c>
      <c r="K267">
        <v>187.33</v>
      </c>
      <c r="L267" t="s">
        <v>33</v>
      </c>
      <c r="M267" t="s">
        <v>41</v>
      </c>
      <c r="N267" t="s">
        <v>76</v>
      </c>
      <c r="O267" s="5">
        <f t="shared" si="4"/>
        <v>0.28786342123056119</v>
      </c>
    </row>
    <row r="268" spans="1:15" x14ac:dyDescent="0.3">
      <c r="A268" t="s">
        <v>649</v>
      </c>
      <c r="B268" t="s">
        <v>650</v>
      </c>
      <c r="C268" t="s">
        <v>574</v>
      </c>
      <c r="D268" t="s">
        <v>21</v>
      </c>
      <c r="E268" t="s">
        <v>46</v>
      </c>
      <c r="F268" t="s">
        <v>47</v>
      </c>
      <c r="G268">
        <v>10</v>
      </c>
      <c r="H268">
        <v>38.799999999999997</v>
      </c>
      <c r="I268">
        <v>388</v>
      </c>
      <c r="J268">
        <v>16.39</v>
      </c>
      <c r="K268">
        <v>51.61</v>
      </c>
      <c r="L268" t="s">
        <v>48</v>
      </c>
      <c r="M268" t="s">
        <v>34</v>
      </c>
      <c r="N268" t="s">
        <v>98</v>
      </c>
      <c r="O268" s="5">
        <f t="shared" si="4"/>
        <v>0.13301546391752578</v>
      </c>
    </row>
    <row r="269" spans="1:15" x14ac:dyDescent="0.3">
      <c r="A269" t="s">
        <v>651</v>
      </c>
      <c r="B269" t="s">
        <v>652</v>
      </c>
      <c r="C269" t="s">
        <v>266</v>
      </c>
      <c r="D269" t="s">
        <v>51</v>
      </c>
      <c r="E269" t="s">
        <v>74</v>
      </c>
      <c r="F269" t="s">
        <v>75</v>
      </c>
      <c r="G269">
        <v>3</v>
      </c>
      <c r="H269">
        <v>33.840000000000003</v>
      </c>
      <c r="I269">
        <v>101.52</v>
      </c>
      <c r="J269">
        <v>2.3199999999999998</v>
      </c>
      <c r="K269">
        <v>24.2</v>
      </c>
      <c r="L269" t="s">
        <v>48</v>
      </c>
      <c r="M269" t="s">
        <v>41</v>
      </c>
      <c r="N269" t="s">
        <v>76</v>
      </c>
      <c r="O269" s="5">
        <f t="shared" si="4"/>
        <v>0.23837667454688732</v>
      </c>
    </row>
    <row r="270" spans="1:15" x14ac:dyDescent="0.3">
      <c r="A270" t="s">
        <v>653</v>
      </c>
      <c r="B270" t="s">
        <v>654</v>
      </c>
      <c r="C270" t="s">
        <v>317</v>
      </c>
      <c r="D270" t="s">
        <v>241</v>
      </c>
      <c r="E270" t="s">
        <v>81</v>
      </c>
      <c r="F270" t="s">
        <v>68</v>
      </c>
      <c r="G270">
        <v>20</v>
      </c>
      <c r="H270">
        <v>21.12</v>
      </c>
      <c r="I270">
        <v>422.4</v>
      </c>
      <c r="J270">
        <v>22.08</v>
      </c>
      <c r="K270">
        <v>90.32</v>
      </c>
      <c r="L270" t="s">
        <v>33</v>
      </c>
      <c r="M270" t="s">
        <v>41</v>
      </c>
      <c r="N270" t="s">
        <v>35</v>
      </c>
      <c r="O270" s="5">
        <f t="shared" si="4"/>
        <v>0.21382575757575756</v>
      </c>
    </row>
    <row r="271" spans="1:15" x14ac:dyDescent="0.3">
      <c r="A271" t="s">
        <v>655</v>
      </c>
      <c r="B271" t="s">
        <v>656</v>
      </c>
      <c r="C271" t="s">
        <v>440</v>
      </c>
      <c r="D271" t="s">
        <v>141</v>
      </c>
      <c r="E271" t="s">
        <v>22</v>
      </c>
      <c r="F271" t="s">
        <v>23</v>
      </c>
      <c r="G271">
        <v>1</v>
      </c>
      <c r="H271">
        <v>58.15</v>
      </c>
      <c r="I271">
        <v>58.15</v>
      </c>
      <c r="J271">
        <v>4.2</v>
      </c>
      <c r="K271">
        <v>18.95</v>
      </c>
      <c r="L271" t="s">
        <v>33</v>
      </c>
      <c r="M271" t="s">
        <v>34</v>
      </c>
      <c r="N271" t="s">
        <v>142</v>
      </c>
      <c r="O271" s="5">
        <f t="shared" si="4"/>
        <v>0.32588134135855545</v>
      </c>
    </row>
    <row r="272" spans="1:15" x14ac:dyDescent="0.3">
      <c r="A272" t="s">
        <v>657</v>
      </c>
      <c r="B272" t="s">
        <v>658</v>
      </c>
      <c r="C272" t="s">
        <v>157</v>
      </c>
      <c r="D272" t="s">
        <v>45</v>
      </c>
      <c r="E272" t="s">
        <v>46</v>
      </c>
      <c r="F272" t="s">
        <v>47</v>
      </c>
      <c r="G272">
        <v>32</v>
      </c>
      <c r="H272">
        <v>45.96</v>
      </c>
      <c r="I272">
        <v>1470.72</v>
      </c>
      <c r="J272">
        <v>82.77</v>
      </c>
      <c r="K272">
        <v>363.95</v>
      </c>
      <c r="L272" t="s">
        <v>24</v>
      </c>
      <c r="M272" t="s">
        <v>34</v>
      </c>
      <c r="N272" t="s">
        <v>49</v>
      </c>
      <c r="O272" s="5">
        <f t="shared" si="4"/>
        <v>0.24746382724107918</v>
      </c>
    </row>
    <row r="273" spans="1:15" x14ac:dyDescent="0.3">
      <c r="A273" t="s">
        <v>659</v>
      </c>
      <c r="B273" t="s">
        <v>660</v>
      </c>
      <c r="C273" t="s">
        <v>471</v>
      </c>
      <c r="D273" t="s">
        <v>37</v>
      </c>
      <c r="E273" t="s">
        <v>86</v>
      </c>
      <c r="F273" t="s">
        <v>47</v>
      </c>
      <c r="G273">
        <v>37</v>
      </c>
      <c r="H273">
        <v>16.82</v>
      </c>
      <c r="I273">
        <v>622.34</v>
      </c>
      <c r="J273">
        <v>32.9</v>
      </c>
      <c r="K273">
        <v>117.69</v>
      </c>
      <c r="L273" t="s">
        <v>48</v>
      </c>
      <c r="M273" t="s">
        <v>34</v>
      </c>
      <c r="N273" t="s">
        <v>35</v>
      </c>
      <c r="O273" s="5">
        <f t="shared" si="4"/>
        <v>0.18910884725391264</v>
      </c>
    </row>
    <row r="274" spans="1:15" x14ac:dyDescent="0.3">
      <c r="A274" t="s">
        <v>661</v>
      </c>
      <c r="B274" t="s">
        <v>662</v>
      </c>
      <c r="C274" t="s">
        <v>66</v>
      </c>
      <c r="D274" t="s">
        <v>37</v>
      </c>
      <c r="E274" t="s">
        <v>46</v>
      </c>
      <c r="F274" t="s">
        <v>47</v>
      </c>
      <c r="G274">
        <v>18</v>
      </c>
      <c r="H274">
        <v>54.62</v>
      </c>
      <c r="I274">
        <v>983.16</v>
      </c>
      <c r="J274">
        <v>22.61</v>
      </c>
      <c r="K274">
        <v>384.55</v>
      </c>
      <c r="L274" t="s">
        <v>48</v>
      </c>
      <c r="M274" t="s">
        <v>34</v>
      </c>
      <c r="N274" t="s">
        <v>35</v>
      </c>
      <c r="O274" s="5">
        <f t="shared" si="4"/>
        <v>0.39113674274787424</v>
      </c>
    </row>
    <row r="275" spans="1:15" x14ac:dyDescent="0.3">
      <c r="A275" t="s">
        <v>663</v>
      </c>
      <c r="B275" t="s">
        <v>664</v>
      </c>
      <c r="C275" t="s">
        <v>170</v>
      </c>
      <c r="D275" t="s">
        <v>37</v>
      </c>
      <c r="E275" t="s">
        <v>86</v>
      </c>
      <c r="F275" t="s">
        <v>47</v>
      </c>
      <c r="G275">
        <v>30</v>
      </c>
      <c r="H275">
        <v>22.83</v>
      </c>
      <c r="I275">
        <v>684.9</v>
      </c>
      <c r="J275">
        <v>32.31</v>
      </c>
      <c r="K275">
        <v>270.08999999999997</v>
      </c>
      <c r="L275" t="s">
        <v>24</v>
      </c>
      <c r="M275" t="s">
        <v>34</v>
      </c>
      <c r="N275" t="s">
        <v>35</v>
      </c>
      <c r="O275" s="5">
        <f t="shared" si="4"/>
        <v>0.3943495400788436</v>
      </c>
    </row>
    <row r="276" spans="1:15" x14ac:dyDescent="0.3">
      <c r="A276" t="s">
        <v>665</v>
      </c>
      <c r="B276" t="s">
        <v>388</v>
      </c>
      <c r="C276" t="s">
        <v>666</v>
      </c>
      <c r="D276" t="s">
        <v>171</v>
      </c>
      <c r="E276" t="s">
        <v>46</v>
      </c>
      <c r="F276" t="s">
        <v>47</v>
      </c>
      <c r="G276">
        <v>39</v>
      </c>
      <c r="H276">
        <v>47.02</v>
      </c>
      <c r="I276">
        <v>1833.78</v>
      </c>
      <c r="J276">
        <v>50.01</v>
      </c>
      <c r="K276">
        <v>535.77</v>
      </c>
      <c r="L276" t="s">
        <v>48</v>
      </c>
      <c r="M276" t="s">
        <v>34</v>
      </c>
      <c r="N276" t="s">
        <v>35</v>
      </c>
      <c r="O276" s="5">
        <f t="shared" si="4"/>
        <v>0.29216699931289469</v>
      </c>
    </row>
    <row r="277" spans="1:15" x14ac:dyDescent="0.3">
      <c r="A277" t="s">
        <v>667</v>
      </c>
      <c r="B277" t="s">
        <v>668</v>
      </c>
      <c r="C277" t="s">
        <v>145</v>
      </c>
      <c r="D277" t="s">
        <v>21</v>
      </c>
      <c r="E277" t="s">
        <v>137</v>
      </c>
      <c r="F277" t="s">
        <v>68</v>
      </c>
      <c r="G277">
        <v>22</v>
      </c>
      <c r="H277">
        <v>43.32</v>
      </c>
      <c r="I277">
        <v>953.04</v>
      </c>
      <c r="J277">
        <v>71.3</v>
      </c>
      <c r="K277">
        <v>265.74</v>
      </c>
      <c r="L277" t="s">
        <v>33</v>
      </c>
      <c r="M277" t="s">
        <v>41</v>
      </c>
      <c r="N277" t="s">
        <v>98</v>
      </c>
      <c r="O277" s="5">
        <f t="shared" si="4"/>
        <v>0.27883404683958701</v>
      </c>
    </row>
    <row r="278" spans="1:15" x14ac:dyDescent="0.3">
      <c r="A278" t="s">
        <v>669</v>
      </c>
      <c r="B278" t="s">
        <v>670</v>
      </c>
      <c r="C278" t="s">
        <v>475</v>
      </c>
      <c r="D278" t="s">
        <v>127</v>
      </c>
      <c r="E278" t="s">
        <v>67</v>
      </c>
      <c r="F278" t="s">
        <v>68</v>
      </c>
      <c r="G278">
        <v>6</v>
      </c>
      <c r="H278">
        <v>31.69</v>
      </c>
      <c r="I278">
        <v>190.14</v>
      </c>
      <c r="J278">
        <v>12.52</v>
      </c>
      <c r="K278">
        <v>42.62</v>
      </c>
      <c r="L278" t="s">
        <v>48</v>
      </c>
      <c r="M278" t="s">
        <v>34</v>
      </c>
      <c r="N278" t="s">
        <v>76</v>
      </c>
      <c r="O278" s="5">
        <f t="shared" si="4"/>
        <v>0.22415062585463344</v>
      </c>
    </row>
    <row r="279" spans="1:15" x14ac:dyDescent="0.3">
      <c r="A279" t="s">
        <v>671</v>
      </c>
      <c r="B279" t="s">
        <v>672</v>
      </c>
      <c r="C279" t="s">
        <v>317</v>
      </c>
      <c r="D279" t="s">
        <v>241</v>
      </c>
      <c r="E279" t="s">
        <v>22</v>
      </c>
      <c r="F279" t="s">
        <v>23</v>
      </c>
      <c r="G279">
        <v>19</v>
      </c>
      <c r="H279">
        <v>53.28</v>
      </c>
      <c r="I279">
        <v>1012.32</v>
      </c>
      <c r="J279">
        <v>27.24</v>
      </c>
      <c r="K279">
        <v>320.08</v>
      </c>
      <c r="L279" t="s">
        <v>48</v>
      </c>
      <c r="M279" t="s">
        <v>34</v>
      </c>
      <c r="N279" t="s">
        <v>35</v>
      </c>
      <c r="O279" s="5">
        <f t="shared" si="4"/>
        <v>0.31618460565828982</v>
      </c>
    </row>
    <row r="280" spans="1:15" x14ac:dyDescent="0.3">
      <c r="A280" t="s">
        <v>673</v>
      </c>
      <c r="B280" t="s">
        <v>530</v>
      </c>
      <c r="C280" t="s">
        <v>246</v>
      </c>
      <c r="D280" t="s">
        <v>21</v>
      </c>
      <c r="E280" t="s">
        <v>22</v>
      </c>
      <c r="F280" t="s">
        <v>23</v>
      </c>
      <c r="G280">
        <v>47</v>
      </c>
      <c r="H280">
        <v>47.53</v>
      </c>
      <c r="I280">
        <v>2233.91</v>
      </c>
      <c r="J280">
        <v>128.91</v>
      </c>
      <c r="K280">
        <v>460</v>
      </c>
      <c r="L280" t="s">
        <v>33</v>
      </c>
      <c r="M280" t="s">
        <v>25</v>
      </c>
      <c r="N280" t="s">
        <v>98</v>
      </c>
      <c r="O280" s="5">
        <f t="shared" si="4"/>
        <v>0.20591697964555422</v>
      </c>
    </row>
    <row r="281" spans="1:15" x14ac:dyDescent="0.3">
      <c r="A281" t="s">
        <v>674</v>
      </c>
      <c r="B281" t="s">
        <v>675</v>
      </c>
      <c r="C281" t="s">
        <v>455</v>
      </c>
      <c r="D281" t="s">
        <v>116</v>
      </c>
      <c r="E281" t="s">
        <v>63</v>
      </c>
      <c r="F281" t="s">
        <v>47</v>
      </c>
      <c r="G281">
        <v>12</v>
      </c>
      <c r="H281">
        <v>24.02</v>
      </c>
      <c r="I281">
        <v>288.24</v>
      </c>
      <c r="J281">
        <v>9.8000000000000007</v>
      </c>
      <c r="K281">
        <v>38.44</v>
      </c>
      <c r="L281" t="s">
        <v>24</v>
      </c>
      <c r="M281" t="s">
        <v>41</v>
      </c>
      <c r="N281" t="s">
        <v>76</v>
      </c>
      <c r="O281" s="5">
        <f t="shared" si="4"/>
        <v>0.133361087982237</v>
      </c>
    </row>
    <row r="282" spans="1:15" x14ac:dyDescent="0.3">
      <c r="A282" t="s">
        <v>676</v>
      </c>
      <c r="B282" t="s">
        <v>577</v>
      </c>
      <c r="C282" t="s">
        <v>574</v>
      </c>
      <c r="D282" t="s">
        <v>116</v>
      </c>
      <c r="E282" t="s">
        <v>86</v>
      </c>
      <c r="F282" t="s">
        <v>47</v>
      </c>
      <c r="G282">
        <v>32</v>
      </c>
      <c r="H282">
        <v>15.64</v>
      </c>
      <c r="I282">
        <v>500.48</v>
      </c>
      <c r="J282">
        <v>24.69</v>
      </c>
      <c r="K282">
        <v>67.790000000000006</v>
      </c>
      <c r="L282" t="s">
        <v>48</v>
      </c>
      <c r="M282" t="s">
        <v>25</v>
      </c>
      <c r="N282" t="s">
        <v>76</v>
      </c>
      <c r="O282" s="5">
        <f t="shared" si="4"/>
        <v>0.13544996803069054</v>
      </c>
    </row>
    <row r="283" spans="1:15" x14ac:dyDescent="0.3">
      <c r="A283" t="s">
        <v>677</v>
      </c>
      <c r="B283" t="s">
        <v>495</v>
      </c>
      <c r="C283" t="s">
        <v>381</v>
      </c>
      <c r="D283" t="s">
        <v>206</v>
      </c>
      <c r="E283" t="s">
        <v>46</v>
      </c>
      <c r="F283" t="s">
        <v>47</v>
      </c>
      <c r="G283">
        <v>22</v>
      </c>
      <c r="H283">
        <v>42.54</v>
      </c>
      <c r="I283">
        <v>935.88</v>
      </c>
      <c r="J283">
        <v>45.37</v>
      </c>
      <c r="K283">
        <v>186.51</v>
      </c>
      <c r="L283" t="s">
        <v>24</v>
      </c>
      <c r="M283" t="s">
        <v>41</v>
      </c>
      <c r="N283" t="s">
        <v>207</v>
      </c>
      <c r="O283" s="5">
        <f t="shared" si="4"/>
        <v>0.1992883703038851</v>
      </c>
    </row>
    <row r="284" spans="1:15" x14ac:dyDescent="0.3">
      <c r="A284" t="s">
        <v>678</v>
      </c>
      <c r="B284" t="s">
        <v>679</v>
      </c>
      <c r="C284" t="s">
        <v>499</v>
      </c>
      <c r="D284" t="s">
        <v>70</v>
      </c>
      <c r="E284" t="s">
        <v>74</v>
      </c>
      <c r="F284" t="s">
        <v>75</v>
      </c>
      <c r="G284">
        <v>37</v>
      </c>
      <c r="H284">
        <v>43.55</v>
      </c>
      <c r="I284">
        <v>1611.35</v>
      </c>
      <c r="J284">
        <v>67.78</v>
      </c>
      <c r="K284">
        <v>618.57000000000005</v>
      </c>
      <c r="L284" t="s">
        <v>33</v>
      </c>
      <c r="M284" t="s">
        <v>34</v>
      </c>
      <c r="N284" t="s">
        <v>76</v>
      </c>
      <c r="O284" s="5">
        <f t="shared" si="4"/>
        <v>0.38388307940546751</v>
      </c>
    </row>
    <row r="285" spans="1:15" x14ac:dyDescent="0.3">
      <c r="A285" t="s">
        <v>680</v>
      </c>
      <c r="B285" t="s">
        <v>349</v>
      </c>
      <c r="C285" t="s">
        <v>182</v>
      </c>
      <c r="D285" t="s">
        <v>45</v>
      </c>
      <c r="E285" t="s">
        <v>81</v>
      </c>
      <c r="F285" t="s">
        <v>68</v>
      </c>
      <c r="G285">
        <v>42</v>
      </c>
      <c r="H285">
        <v>20.260000000000002</v>
      </c>
      <c r="I285">
        <v>850.92</v>
      </c>
      <c r="J285">
        <v>22.43</v>
      </c>
      <c r="K285">
        <v>177.49</v>
      </c>
      <c r="L285" t="s">
        <v>48</v>
      </c>
      <c r="M285" t="s">
        <v>41</v>
      </c>
      <c r="N285" t="s">
        <v>49</v>
      </c>
      <c r="O285" s="5">
        <f t="shared" si="4"/>
        <v>0.20858600103417479</v>
      </c>
    </row>
    <row r="286" spans="1:15" x14ac:dyDescent="0.3">
      <c r="A286" t="s">
        <v>681</v>
      </c>
      <c r="B286" t="s">
        <v>682</v>
      </c>
      <c r="C286" t="s">
        <v>113</v>
      </c>
      <c r="D286" t="s">
        <v>55</v>
      </c>
      <c r="E286" t="s">
        <v>32</v>
      </c>
      <c r="F286" t="s">
        <v>23</v>
      </c>
      <c r="G286">
        <v>43</v>
      </c>
      <c r="H286">
        <v>24.08</v>
      </c>
      <c r="I286">
        <v>1035.44</v>
      </c>
      <c r="J286">
        <v>35.07</v>
      </c>
      <c r="K286">
        <v>226.37</v>
      </c>
      <c r="L286" t="s">
        <v>33</v>
      </c>
      <c r="M286" t="s">
        <v>41</v>
      </c>
      <c r="N286" t="s">
        <v>98</v>
      </c>
      <c r="O286" s="5">
        <f t="shared" si="4"/>
        <v>0.21862203507687553</v>
      </c>
    </row>
    <row r="287" spans="1:15" x14ac:dyDescent="0.3">
      <c r="A287" t="s">
        <v>683</v>
      </c>
      <c r="B287" t="s">
        <v>366</v>
      </c>
      <c r="C287" t="s">
        <v>471</v>
      </c>
      <c r="D287" t="s">
        <v>241</v>
      </c>
      <c r="E287" t="s">
        <v>56</v>
      </c>
      <c r="F287" t="s">
        <v>57</v>
      </c>
      <c r="G287">
        <v>14</v>
      </c>
      <c r="H287">
        <v>69.010000000000005</v>
      </c>
      <c r="I287">
        <v>966.14</v>
      </c>
      <c r="J287">
        <v>32.67</v>
      </c>
      <c r="K287">
        <v>373.47</v>
      </c>
      <c r="L287" t="s">
        <v>33</v>
      </c>
      <c r="M287" t="s">
        <v>25</v>
      </c>
      <c r="N287" t="s">
        <v>35</v>
      </c>
      <c r="O287" s="5">
        <f t="shared" si="4"/>
        <v>0.38655888380565967</v>
      </c>
    </row>
    <row r="288" spans="1:15" x14ac:dyDescent="0.3">
      <c r="A288" t="s">
        <v>684</v>
      </c>
      <c r="B288" t="s">
        <v>435</v>
      </c>
      <c r="C288" t="s">
        <v>188</v>
      </c>
      <c r="D288" t="s">
        <v>206</v>
      </c>
      <c r="E288" t="s">
        <v>63</v>
      </c>
      <c r="F288" t="s">
        <v>47</v>
      </c>
      <c r="G288">
        <v>29</v>
      </c>
      <c r="H288">
        <v>28.29</v>
      </c>
      <c r="I288">
        <v>820.41</v>
      </c>
      <c r="J288">
        <v>63.15</v>
      </c>
      <c r="K288">
        <v>177.26</v>
      </c>
      <c r="L288" t="s">
        <v>48</v>
      </c>
      <c r="M288" t="s">
        <v>41</v>
      </c>
      <c r="N288" t="s">
        <v>207</v>
      </c>
      <c r="O288" s="5">
        <f t="shared" si="4"/>
        <v>0.21606270035713851</v>
      </c>
    </row>
    <row r="289" spans="1:15" x14ac:dyDescent="0.3">
      <c r="A289" t="s">
        <v>685</v>
      </c>
      <c r="B289" t="s">
        <v>686</v>
      </c>
      <c r="C289" t="s">
        <v>352</v>
      </c>
      <c r="D289" t="s">
        <v>62</v>
      </c>
      <c r="E289" t="s">
        <v>81</v>
      </c>
      <c r="F289" t="s">
        <v>68</v>
      </c>
      <c r="G289">
        <v>29</v>
      </c>
      <c r="H289">
        <v>26.51</v>
      </c>
      <c r="I289">
        <v>768.79</v>
      </c>
      <c r="J289">
        <v>15.66</v>
      </c>
      <c r="K289">
        <v>303.63</v>
      </c>
      <c r="L289" t="s">
        <v>33</v>
      </c>
      <c r="M289" t="s">
        <v>25</v>
      </c>
      <c r="N289" t="s">
        <v>98</v>
      </c>
      <c r="O289" s="5">
        <f t="shared" si="4"/>
        <v>0.3949453036589966</v>
      </c>
    </row>
    <row r="290" spans="1:15" x14ac:dyDescent="0.3">
      <c r="A290" t="s">
        <v>687</v>
      </c>
      <c r="B290" t="s">
        <v>688</v>
      </c>
      <c r="C290" t="s">
        <v>194</v>
      </c>
      <c r="D290" t="s">
        <v>55</v>
      </c>
      <c r="E290" t="s">
        <v>22</v>
      </c>
      <c r="F290" t="s">
        <v>23</v>
      </c>
      <c r="G290">
        <v>11</v>
      </c>
      <c r="H290">
        <v>58.07</v>
      </c>
      <c r="I290">
        <v>638.77</v>
      </c>
      <c r="J290">
        <v>43.89</v>
      </c>
      <c r="K290">
        <v>209.88</v>
      </c>
      <c r="L290" t="s">
        <v>24</v>
      </c>
      <c r="M290" t="s">
        <v>34</v>
      </c>
      <c r="N290" t="s">
        <v>98</v>
      </c>
      <c r="O290" s="5">
        <f t="shared" si="4"/>
        <v>0.32856896848630962</v>
      </c>
    </row>
    <row r="291" spans="1:15" x14ac:dyDescent="0.3">
      <c r="A291" t="s">
        <v>689</v>
      </c>
      <c r="B291" t="s">
        <v>536</v>
      </c>
      <c r="C291" t="s">
        <v>177</v>
      </c>
      <c r="D291" t="s">
        <v>31</v>
      </c>
      <c r="E291" t="s">
        <v>46</v>
      </c>
      <c r="F291" t="s">
        <v>47</v>
      </c>
      <c r="G291">
        <v>3</v>
      </c>
      <c r="H291">
        <v>48.76</v>
      </c>
      <c r="I291">
        <v>146.28</v>
      </c>
      <c r="J291">
        <v>10.45</v>
      </c>
      <c r="K291">
        <v>39.83</v>
      </c>
      <c r="L291" t="s">
        <v>48</v>
      </c>
      <c r="M291" t="s">
        <v>34</v>
      </c>
      <c r="N291" t="s">
        <v>35</v>
      </c>
      <c r="O291" s="5">
        <f t="shared" si="4"/>
        <v>0.2722860267979218</v>
      </c>
    </row>
    <row r="292" spans="1:15" x14ac:dyDescent="0.3">
      <c r="A292" t="s">
        <v>690</v>
      </c>
      <c r="B292" t="s">
        <v>691</v>
      </c>
      <c r="C292" t="s">
        <v>257</v>
      </c>
      <c r="D292" t="s">
        <v>70</v>
      </c>
      <c r="E292" t="s">
        <v>63</v>
      </c>
      <c r="F292" t="s">
        <v>47</v>
      </c>
      <c r="G292">
        <v>49</v>
      </c>
      <c r="H292">
        <v>30.46</v>
      </c>
      <c r="I292">
        <v>1492.54</v>
      </c>
      <c r="J292">
        <v>51.82</v>
      </c>
      <c r="K292">
        <v>460.72</v>
      </c>
      <c r="L292" t="s">
        <v>33</v>
      </c>
      <c r="M292" t="s">
        <v>25</v>
      </c>
      <c r="N292" t="s">
        <v>76</v>
      </c>
      <c r="O292" s="5">
        <f t="shared" si="4"/>
        <v>0.30868184437268015</v>
      </c>
    </row>
    <row r="293" spans="1:15" x14ac:dyDescent="0.3">
      <c r="A293" t="s">
        <v>692</v>
      </c>
      <c r="B293" t="s">
        <v>131</v>
      </c>
      <c r="C293" t="s">
        <v>40</v>
      </c>
      <c r="D293" t="s">
        <v>51</v>
      </c>
      <c r="E293" t="s">
        <v>137</v>
      </c>
      <c r="F293" t="s">
        <v>68</v>
      </c>
      <c r="G293">
        <v>25</v>
      </c>
      <c r="H293">
        <v>35.21</v>
      </c>
      <c r="I293">
        <v>880.25</v>
      </c>
      <c r="J293">
        <v>39.799999999999997</v>
      </c>
      <c r="K293">
        <v>140.44999999999999</v>
      </c>
      <c r="L293" t="s">
        <v>48</v>
      </c>
      <c r="M293" t="s">
        <v>34</v>
      </c>
      <c r="N293" t="s">
        <v>76</v>
      </c>
      <c r="O293" s="5">
        <f t="shared" si="4"/>
        <v>0.1595569440499858</v>
      </c>
    </row>
    <row r="294" spans="1:15" x14ac:dyDescent="0.3">
      <c r="A294" t="s">
        <v>693</v>
      </c>
      <c r="B294" t="s">
        <v>694</v>
      </c>
      <c r="C294" t="s">
        <v>352</v>
      </c>
      <c r="D294" t="s">
        <v>21</v>
      </c>
      <c r="E294" t="s">
        <v>137</v>
      </c>
      <c r="F294" t="s">
        <v>68</v>
      </c>
      <c r="G294">
        <v>37</v>
      </c>
      <c r="H294">
        <v>44.82</v>
      </c>
      <c r="I294">
        <v>1658.34</v>
      </c>
      <c r="J294">
        <v>65.75</v>
      </c>
      <c r="K294">
        <v>556.59</v>
      </c>
      <c r="L294" t="s">
        <v>33</v>
      </c>
      <c r="M294" t="s">
        <v>34</v>
      </c>
      <c r="N294" t="s">
        <v>98</v>
      </c>
      <c r="O294" s="5">
        <f t="shared" si="4"/>
        <v>0.33563081153442603</v>
      </c>
    </row>
    <row r="295" spans="1:15" x14ac:dyDescent="0.3">
      <c r="A295" t="s">
        <v>695</v>
      </c>
      <c r="B295" t="s">
        <v>696</v>
      </c>
      <c r="C295" t="s">
        <v>485</v>
      </c>
      <c r="D295" t="s">
        <v>241</v>
      </c>
      <c r="E295" t="s">
        <v>81</v>
      </c>
      <c r="F295" t="s">
        <v>68</v>
      </c>
      <c r="G295">
        <v>11</v>
      </c>
      <c r="H295">
        <v>18.75</v>
      </c>
      <c r="I295">
        <v>206.25</v>
      </c>
      <c r="J295">
        <v>11.67</v>
      </c>
      <c r="K295">
        <v>24.08</v>
      </c>
      <c r="L295" t="s">
        <v>24</v>
      </c>
      <c r="M295" t="s">
        <v>25</v>
      </c>
      <c r="N295" t="s">
        <v>35</v>
      </c>
      <c r="O295" s="5">
        <f t="shared" si="4"/>
        <v>0.11675151515151515</v>
      </c>
    </row>
    <row r="296" spans="1:15" x14ac:dyDescent="0.3">
      <c r="A296" t="s">
        <v>697</v>
      </c>
      <c r="B296" t="s">
        <v>488</v>
      </c>
      <c r="C296" t="s">
        <v>352</v>
      </c>
      <c r="D296" t="s">
        <v>45</v>
      </c>
      <c r="E296" t="s">
        <v>63</v>
      </c>
      <c r="F296" t="s">
        <v>47</v>
      </c>
      <c r="G296">
        <v>37</v>
      </c>
      <c r="H296">
        <v>31.66</v>
      </c>
      <c r="I296">
        <v>1171.42</v>
      </c>
      <c r="J296">
        <v>58.95</v>
      </c>
      <c r="K296">
        <v>372.47</v>
      </c>
      <c r="L296" t="s">
        <v>48</v>
      </c>
      <c r="M296" t="s">
        <v>25</v>
      </c>
      <c r="N296" t="s">
        <v>49</v>
      </c>
      <c r="O296" s="5">
        <f t="shared" si="4"/>
        <v>0.31796452169162215</v>
      </c>
    </row>
    <row r="297" spans="1:15" x14ac:dyDescent="0.3">
      <c r="A297" t="s">
        <v>698</v>
      </c>
      <c r="B297" t="s">
        <v>699</v>
      </c>
      <c r="C297" t="s">
        <v>475</v>
      </c>
      <c r="D297" t="s">
        <v>31</v>
      </c>
      <c r="E297" t="s">
        <v>63</v>
      </c>
      <c r="F297" t="s">
        <v>47</v>
      </c>
      <c r="G297">
        <v>17</v>
      </c>
      <c r="H297">
        <v>32.74</v>
      </c>
      <c r="I297">
        <v>556.58000000000004</v>
      </c>
      <c r="J297">
        <v>14.68</v>
      </c>
      <c r="K297">
        <v>201.9</v>
      </c>
      <c r="L297" t="s">
        <v>33</v>
      </c>
      <c r="M297" t="s">
        <v>34</v>
      </c>
      <c r="N297" t="s">
        <v>35</v>
      </c>
      <c r="O297" s="5">
        <f t="shared" si="4"/>
        <v>0.36275108699558012</v>
      </c>
    </row>
    <row r="298" spans="1:15" x14ac:dyDescent="0.3">
      <c r="A298" t="s">
        <v>700</v>
      </c>
      <c r="B298" t="s">
        <v>701</v>
      </c>
      <c r="C298" t="s">
        <v>113</v>
      </c>
      <c r="D298" t="s">
        <v>21</v>
      </c>
      <c r="E298" t="s">
        <v>137</v>
      </c>
      <c r="F298" t="s">
        <v>68</v>
      </c>
      <c r="G298">
        <v>7</v>
      </c>
      <c r="H298">
        <v>46.64</v>
      </c>
      <c r="I298">
        <v>326.48</v>
      </c>
      <c r="J298">
        <v>25.19</v>
      </c>
      <c r="K298">
        <v>105.29</v>
      </c>
      <c r="L298" t="s">
        <v>33</v>
      </c>
      <c r="M298" t="s">
        <v>41</v>
      </c>
      <c r="N298" t="s">
        <v>98</v>
      </c>
      <c r="O298" s="5">
        <f t="shared" si="4"/>
        <v>0.32250061259495222</v>
      </c>
    </row>
    <row r="299" spans="1:15" x14ac:dyDescent="0.3">
      <c r="A299" t="s">
        <v>702</v>
      </c>
      <c r="B299" t="s">
        <v>703</v>
      </c>
      <c r="C299" t="s">
        <v>216</v>
      </c>
      <c r="D299" t="s">
        <v>123</v>
      </c>
      <c r="E299" t="s">
        <v>32</v>
      </c>
      <c r="F299" t="s">
        <v>23</v>
      </c>
      <c r="G299">
        <v>16</v>
      </c>
      <c r="H299">
        <v>24.77</v>
      </c>
      <c r="I299">
        <v>396.32</v>
      </c>
      <c r="J299">
        <v>15.6</v>
      </c>
      <c r="K299">
        <v>92.72</v>
      </c>
      <c r="L299" t="s">
        <v>24</v>
      </c>
      <c r="M299" t="s">
        <v>41</v>
      </c>
      <c r="N299" t="s">
        <v>76</v>
      </c>
      <c r="O299" s="5">
        <f t="shared" si="4"/>
        <v>0.23395236172789666</v>
      </c>
    </row>
    <row r="300" spans="1:15" x14ac:dyDescent="0.3">
      <c r="A300" t="s">
        <v>704</v>
      </c>
      <c r="B300" t="s">
        <v>406</v>
      </c>
      <c r="C300" t="s">
        <v>85</v>
      </c>
      <c r="D300" t="s">
        <v>62</v>
      </c>
      <c r="E300" t="s">
        <v>56</v>
      </c>
      <c r="F300" t="s">
        <v>57</v>
      </c>
      <c r="G300">
        <v>39</v>
      </c>
      <c r="H300">
        <v>56.5</v>
      </c>
      <c r="I300">
        <v>2203.5</v>
      </c>
      <c r="J300">
        <v>141.58000000000001</v>
      </c>
      <c r="K300">
        <v>501.92</v>
      </c>
      <c r="L300" t="s">
        <v>48</v>
      </c>
      <c r="M300" t="s">
        <v>25</v>
      </c>
      <c r="N300" t="s">
        <v>98</v>
      </c>
      <c r="O300" s="5">
        <f t="shared" si="4"/>
        <v>0.2277830723848423</v>
      </c>
    </row>
    <row r="301" spans="1:15" x14ac:dyDescent="0.3">
      <c r="A301" t="s">
        <v>705</v>
      </c>
      <c r="B301" t="s">
        <v>706</v>
      </c>
      <c r="C301" t="s">
        <v>574</v>
      </c>
      <c r="D301" t="s">
        <v>70</v>
      </c>
      <c r="E301" t="s">
        <v>81</v>
      </c>
      <c r="F301" t="s">
        <v>68</v>
      </c>
      <c r="G301">
        <v>1</v>
      </c>
      <c r="H301">
        <v>24.01</v>
      </c>
      <c r="I301">
        <v>24.01</v>
      </c>
      <c r="J301">
        <v>1.58</v>
      </c>
      <c r="K301">
        <v>6.93</v>
      </c>
      <c r="L301" t="s">
        <v>24</v>
      </c>
      <c r="M301" t="s">
        <v>25</v>
      </c>
      <c r="N301" t="s">
        <v>76</v>
      </c>
      <c r="O301" s="5">
        <f t="shared" si="4"/>
        <v>0.28862973760932942</v>
      </c>
    </row>
    <row r="302" spans="1:15" x14ac:dyDescent="0.3">
      <c r="A302" t="s">
        <v>707</v>
      </c>
      <c r="B302" t="s">
        <v>187</v>
      </c>
      <c r="C302" t="s">
        <v>162</v>
      </c>
      <c r="D302" t="s">
        <v>70</v>
      </c>
      <c r="E302" t="s">
        <v>74</v>
      </c>
      <c r="F302" t="s">
        <v>75</v>
      </c>
      <c r="G302">
        <v>45</v>
      </c>
      <c r="H302">
        <v>35.99</v>
      </c>
      <c r="I302">
        <v>1619.55</v>
      </c>
      <c r="J302">
        <v>49.95</v>
      </c>
      <c r="K302">
        <v>444.6</v>
      </c>
      <c r="L302" t="s">
        <v>24</v>
      </c>
      <c r="M302" t="s">
        <v>34</v>
      </c>
      <c r="N302" t="s">
        <v>76</v>
      </c>
      <c r="O302" s="5">
        <f t="shared" si="4"/>
        <v>0.27452070019449848</v>
      </c>
    </row>
    <row r="303" spans="1:15" x14ac:dyDescent="0.3">
      <c r="A303" t="s">
        <v>708</v>
      </c>
      <c r="B303" t="s">
        <v>303</v>
      </c>
      <c r="C303" t="s">
        <v>266</v>
      </c>
      <c r="D303" t="s">
        <v>116</v>
      </c>
      <c r="E303" t="s">
        <v>63</v>
      </c>
      <c r="F303" t="s">
        <v>47</v>
      </c>
      <c r="G303">
        <v>5</v>
      </c>
      <c r="H303">
        <v>25.45</v>
      </c>
      <c r="I303">
        <v>127.25</v>
      </c>
      <c r="J303">
        <v>7.22</v>
      </c>
      <c r="K303">
        <v>20.03</v>
      </c>
      <c r="L303" t="s">
        <v>48</v>
      </c>
      <c r="M303" t="s">
        <v>41</v>
      </c>
      <c r="N303" t="s">
        <v>76</v>
      </c>
      <c r="O303" s="5">
        <f t="shared" si="4"/>
        <v>0.15740667976424363</v>
      </c>
    </row>
    <row r="304" spans="1:15" x14ac:dyDescent="0.3">
      <c r="A304" t="s">
        <v>709</v>
      </c>
      <c r="B304" t="s">
        <v>395</v>
      </c>
      <c r="C304" t="s">
        <v>162</v>
      </c>
      <c r="D304" t="s">
        <v>127</v>
      </c>
      <c r="E304" t="s">
        <v>81</v>
      </c>
      <c r="F304" t="s">
        <v>68</v>
      </c>
      <c r="G304">
        <v>24</v>
      </c>
      <c r="H304">
        <v>19.53</v>
      </c>
      <c r="I304">
        <v>468.72</v>
      </c>
      <c r="J304">
        <v>14.12</v>
      </c>
      <c r="K304">
        <v>82.6</v>
      </c>
      <c r="L304" t="s">
        <v>24</v>
      </c>
      <c r="M304" t="s">
        <v>25</v>
      </c>
      <c r="N304" t="s">
        <v>76</v>
      </c>
      <c r="O304" s="5">
        <f t="shared" si="4"/>
        <v>0.17622461170848266</v>
      </c>
    </row>
    <row r="305" spans="1:15" x14ac:dyDescent="0.3">
      <c r="A305" t="s">
        <v>710</v>
      </c>
      <c r="B305" t="s">
        <v>164</v>
      </c>
      <c r="C305" t="s">
        <v>30</v>
      </c>
      <c r="D305" t="s">
        <v>55</v>
      </c>
      <c r="E305" t="s">
        <v>86</v>
      </c>
      <c r="F305" t="s">
        <v>47</v>
      </c>
      <c r="G305">
        <v>28</v>
      </c>
      <c r="H305">
        <v>22.33</v>
      </c>
      <c r="I305">
        <v>625.24</v>
      </c>
      <c r="J305">
        <v>44.24</v>
      </c>
      <c r="K305">
        <v>224</v>
      </c>
      <c r="L305" t="s">
        <v>24</v>
      </c>
      <c r="M305" t="s">
        <v>25</v>
      </c>
      <c r="N305" t="s">
        <v>98</v>
      </c>
      <c r="O305" s="5">
        <f t="shared" si="4"/>
        <v>0.35826242722794449</v>
      </c>
    </row>
    <row r="306" spans="1:15" x14ac:dyDescent="0.3">
      <c r="A306" t="s">
        <v>711</v>
      </c>
      <c r="B306" t="s">
        <v>712</v>
      </c>
      <c r="C306" t="s">
        <v>148</v>
      </c>
      <c r="D306" t="s">
        <v>37</v>
      </c>
      <c r="E306" t="s">
        <v>46</v>
      </c>
      <c r="F306" t="s">
        <v>47</v>
      </c>
      <c r="G306">
        <v>49</v>
      </c>
      <c r="H306">
        <v>39.31</v>
      </c>
      <c r="I306">
        <v>1926.19</v>
      </c>
      <c r="J306">
        <v>69.7</v>
      </c>
      <c r="K306">
        <v>288.49</v>
      </c>
      <c r="L306" t="s">
        <v>33</v>
      </c>
      <c r="M306" t="s">
        <v>25</v>
      </c>
      <c r="N306" t="s">
        <v>35</v>
      </c>
      <c r="O306" s="5">
        <f t="shared" si="4"/>
        <v>0.14977234852221225</v>
      </c>
    </row>
    <row r="307" spans="1:15" x14ac:dyDescent="0.3">
      <c r="A307" t="s">
        <v>713</v>
      </c>
      <c r="B307" t="s">
        <v>714</v>
      </c>
      <c r="C307" t="s">
        <v>290</v>
      </c>
      <c r="D307" t="s">
        <v>70</v>
      </c>
      <c r="E307" t="s">
        <v>81</v>
      </c>
      <c r="F307" t="s">
        <v>68</v>
      </c>
      <c r="G307">
        <v>6</v>
      </c>
      <c r="H307">
        <v>22.95</v>
      </c>
      <c r="I307">
        <v>137.69999999999999</v>
      </c>
      <c r="J307">
        <v>5.63</v>
      </c>
      <c r="K307">
        <v>39.07</v>
      </c>
      <c r="L307" t="s">
        <v>33</v>
      </c>
      <c r="M307" t="s">
        <v>34</v>
      </c>
      <c r="N307" t="s">
        <v>76</v>
      </c>
      <c r="O307" s="5">
        <f t="shared" si="4"/>
        <v>0.28373275236020334</v>
      </c>
    </row>
    <row r="308" spans="1:15" x14ac:dyDescent="0.3">
      <c r="A308" t="s">
        <v>715</v>
      </c>
      <c r="B308" t="s">
        <v>612</v>
      </c>
      <c r="C308" t="s">
        <v>246</v>
      </c>
      <c r="D308" t="s">
        <v>62</v>
      </c>
      <c r="E308" t="s">
        <v>63</v>
      </c>
      <c r="F308" t="s">
        <v>47</v>
      </c>
      <c r="G308">
        <v>35</v>
      </c>
      <c r="H308">
        <v>27.72</v>
      </c>
      <c r="I308">
        <v>970.2</v>
      </c>
      <c r="J308">
        <v>61.74</v>
      </c>
      <c r="K308">
        <v>208.46</v>
      </c>
      <c r="L308" t="s">
        <v>24</v>
      </c>
      <c r="M308" t="s">
        <v>41</v>
      </c>
      <c r="N308" t="s">
        <v>98</v>
      </c>
      <c r="O308" s="5">
        <f t="shared" si="4"/>
        <v>0.21486291486291487</v>
      </c>
    </row>
    <row r="309" spans="1:15" x14ac:dyDescent="0.3">
      <c r="A309" t="s">
        <v>716</v>
      </c>
      <c r="B309" t="s">
        <v>261</v>
      </c>
      <c r="C309" t="s">
        <v>232</v>
      </c>
      <c r="D309" t="s">
        <v>51</v>
      </c>
      <c r="E309" t="s">
        <v>56</v>
      </c>
      <c r="F309" t="s">
        <v>57</v>
      </c>
      <c r="G309">
        <v>34</v>
      </c>
      <c r="H309">
        <v>64.75</v>
      </c>
      <c r="I309">
        <v>2201.5</v>
      </c>
      <c r="J309">
        <v>68.05</v>
      </c>
      <c r="K309">
        <v>773.45</v>
      </c>
      <c r="L309" t="s">
        <v>48</v>
      </c>
      <c r="M309" t="s">
        <v>41</v>
      </c>
      <c r="N309" t="s">
        <v>76</v>
      </c>
      <c r="O309" s="5">
        <f t="shared" si="4"/>
        <v>0.35132863956393368</v>
      </c>
    </row>
    <row r="310" spans="1:15" x14ac:dyDescent="0.3">
      <c r="A310" t="s">
        <v>717</v>
      </c>
      <c r="B310" t="s">
        <v>718</v>
      </c>
      <c r="C310" t="s">
        <v>191</v>
      </c>
      <c r="D310" t="s">
        <v>206</v>
      </c>
      <c r="E310" t="s">
        <v>63</v>
      </c>
      <c r="F310" t="s">
        <v>47</v>
      </c>
      <c r="G310">
        <v>49</v>
      </c>
      <c r="H310">
        <v>26.02</v>
      </c>
      <c r="I310">
        <v>1274.98</v>
      </c>
      <c r="J310">
        <v>61.84</v>
      </c>
      <c r="K310">
        <v>233.14</v>
      </c>
      <c r="L310" t="s">
        <v>48</v>
      </c>
      <c r="M310" t="s">
        <v>34</v>
      </c>
      <c r="N310" t="s">
        <v>207</v>
      </c>
      <c r="O310" s="5">
        <f t="shared" si="4"/>
        <v>0.18285777031796577</v>
      </c>
    </row>
    <row r="311" spans="1:15" x14ac:dyDescent="0.3">
      <c r="A311" t="s">
        <v>719</v>
      </c>
      <c r="B311" t="s">
        <v>263</v>
      </c>
      <c r="C311" t="s">
        <v>391</v>
      </c>
      <c r="D311" t="s">
        <v>45</v>
      </c>
      <c r="E311" t="s">
        <v>74</v>
      </c>
      <c r="F311" t="s">
        <v>75</v>
      </c>
      <c r="G311">
        <v>1</v>
      </c>
      <c r="H311">
        <v>32.979999999999997</v>
      </c>
      <c r="I311">
        <v>32.979999999999997</v>
      </c>
      <c r="J311">
        <v>1.89</v>
      </c>
      <c r="K311">
        <v>6.09</v>
      </c>
      <c r="L311" t="s">
        <v>48</v>
      </c>
      <c r="M311" t="s">
        <v>34</v>
      </c>
      <c r="N311" t="s">
        <v>49</v>
      </c>
      <c r="O311" s="5">
        <f t="shared" si="4"/>
        <v>0.18465736810187994</v>
      </c>
    </row>
    <row r="312" spans="1:15" x14ac:dyDescent="0.3">
      <c r="A312" t="s">
        <v>720</v>
      </c>
      <c r="B312" t="s">
        <v>294</v>
      </c>
      <c r="C312" t="s">
        <v>499</v>
      </c>
      <c r="D312" t="s">
        <v>45</v>
      </c>
      <c r="E312" t="s">
        <v>86</v>
      </c>
      <c r="F312" t="s">
        <v>47</v>
      </c>
      <c r="G312">
        <v>18</v>
      </c>
      <c r="H312">
        <v>20.09</v>
      </c>
      <c r="I312">
        <v>361.62</v>
      </c>
      <c r="J312">
        <v>8.3800000000000008</v>
      </c>
      <c r="K312">
        <v>123.74</v>
      </c>
      <c r="L312" t="s">
        <v>24</v>
      </c>
      <c r="M312" t="s">
        <v>25</v>
      </c>
      <c r="N312" t="s">
        <v>49</v>
      </c>
      <c r="O312" s="5">
        <f t="shared" si="4"/>
        <v>0.34218240141585088</v>
      </c>
    </row>
    <row r="313" spans="1:15" x14ac:dyDescent="0.3">
      <c r="A313" t="s">
        <v>721</v>
      </c>
      <c r="B313" t="s">
        <v>679</v>
      </c>
      <c r="C313" t="s">
        <v>266</v>
      </c>
      <c r="D313" t="s">
        <v>70</v>
      </c>
      <c r="E313" t="s">
        <v>22</v>
      </c>
      <c r="F313" t="s">
        <v>23</v>
      </c>
      <c r="G313">
        <v>39</v>
      </c>
      <c r="H313">
        <v>49.59</v>
      </c>
      <c r="I313">
        <v>1934.01</v>
      </c>
      <c r="J313">
        <v>62.79</v>
      </c>
      <c r="K313">
        <v>506.22</v>
      </c>
      <c r="L313" t="s">
        <v>33</v>
      </c>
      <c r="M313" t="s">
        <v>34</v>
      </c>
      <c r="N313" t="s">
        <v>76</v>
      </c>
      <c r="O313" s="5">
        <f t="shared" si="4"/>
        <v>0.26174631982254487</v>
      </c>
    </row>
    <row r="314" spans="1:15" x14ac:dyDescent="0.3">
      <c r="A314" t="s">
        <v>722</v>
      </c>
      <c r="B314" t="s">
        <v>723</v>
      </c>
      <c r="C314" t="s">
        <v>462</v>
      </c>
      <c r="D314" t="s">
        <v>55</v>
      </c>
      <c r="E314" t="s">
        <v>46</v>
      </c>
      <c r="F314" t="s">
        <v>47</v>
      </c>
      <c r="G314">
        <v>6</v>
      </c>
      <c r="H314">
        <v>41.99</v>
      </c>
      <c r="I314">
        <v>251.94</v>
      </c>
      <c r="J314">
        <v>10.76</v>
      </c>
      <c r="K314">
        <v>49.18</v>
      </c>
      <c r="L314" t="s">
        <v>24</v>
      </c>
      <c r="M314" t="s">
        <v>25</v>
      </c>
      <c r="N314" t="s">
        <v>98</v>
      </c>
      <c r="O314" s="5">
        <f t="shared" si="4"/>
        <v>0.19520520758910853</v>
      </c>
    </row>
    <row r="315" spans="1:15" x14ac:dyDescent="0.3">
      <c r="A315" t="s">
        <v>724</v>
      </c>
      <c r="B315" t="s">
        <v>243</v>
      </c>
      <c r="C315" t="s">
        <v>113</v>
      </c>
      <c r="D315" t="s">
        <v>116</v>
      </c>
      <c r="E315" t="s">
        <v>22</v>
      </c>
      <c r="F315" t="s">
        <v>23</v>
      </c>
      <c r="G315">
        <v>12</v>
      </c>
      <c r="H315">
        <v>47.4</v>
      </c>
      <c r="I315">
        <v>568.79999999999995</v>
      </c>
      <c r="J315">
        <v>23.31</v>
      </c>
      <c r="K315">
        <v>125.49</v>
      </c>
      <c r="L315" t="s">
        <v>48</v>
      </c>
      <c r="M315" t="s">
        <v>25</v>
      </c>
      <c r="N315" t="s">
        <v>76</v>
      </c>
      <c r="O315" s="5">
        <f t="shared" si="4"/>
        <v>0.22062236286919831</v>
      </c>
    </row>
    <row r="316" spans="1:15" x14ac:dyDescent="0.3">
      <c r="A316" t="s">
        <v>725</v>
      </c>
      <c r="B316" t="s">
        <v>726</v>
      </c>
      <c r="C316" t="s">
        <v>396</v>
      </c>
      <c r="D316" t="s">
        <v>123</v>
      </c>
      <c r="E316" t="s">
        <v>63</v>
      </c>
      <c r="F316" t="s">
        <v>47</v>
      </c>
      <c r="G316">
        <v>50</v>
      </c>
      <c r="H316">
        <v>34.28</v>
      </c>
      <c r="I316">
        <v>1714</v>
      </c>
      <c r="J316">
        <v>59.84</v>
      </c>
      <c r="K316">
        <v>654.16</v>
      </c>
      <c r="L316" t="s">
        <v>24</v>
      </c>
      <c r="M316" t="s">
        <v>25</v>
      </c>
      <c r="N316" t="s">
        <v>76</v>
      </c>
      <c r="O316" s="5">
        <f t="shared" si="4"/>
        <v>0.38165694282380397</v>
      </c>
    </row>
    <row r="317" spans="1:15" x14ac:dyDescent="0.3">
      <c r="A317" t="s">
        <v>727</v>
      </c>
      <c r="B317" t="s">
        <v>728</v>
      </c>
      <c r="C317" t="s">
        <v>323</v>
      </c>
      <c r="D317" t="s">
        <v>141</v>
      </c>
      <c r="E317" t="s">
        <v>32</v>
      </c>
      <c r="F317" t="s">
        <v>23</v>
      </c>
      <c r="G317">
        <v>50</v>
      </c>
      <c r="H317">
        <v>29.39</v>
      </c>
      <c r="I317">
        <v>1469.5</v>
      </c>
      <c r="J317">
        <v>101.51</v>
      </c>
      <c r="K317">
        <v>467.99</v>
      </c>
      <c r="L317" t="s">
        <v>48</v>
      </c>
      <c r="M317" t="s">
        <v>41</v>
      </c>
      <c r="N317" t="s">
        <v>142</v>
      </c>
      <c r="O317" s="5">
        <f t="shared" si="4"/>
        <v>0.31846886696155158</v>
      </c>
    </row>
    <row r="318" spans="1:15" x14ac:dyDescent="0.3">
      <c r="A318" t="s">
        <v>729</v>
      </c>
      <c r="B318" t="s">
        <v>423</v>
      </c>
      <c r="C318" t="s">
        <v>182</v>
      </c>
      <c r="D318" t="s">
        <v>45</v>
      </c>
      <c r="E318" t="s">
        <v>32</v>
      </c>
      <c r="F318" t="s">
        <v>23</v>
      </c>
      <c r="G318">
        <v>46</v>
      </c>
      <c r="H318">
        <v>30.34</v>
      </c>
      <c r="I318">
        <v>1395.64</v>
      </c>
      <c r="J318">
        <v>104.2</v>
      </c>
      <c r="K318">
        <v>463.44</v>
      </c>
      <c r="L318" t="s">
        <v>24</v>
      </c>
      <c r="M318" t="s">
        <v>34</v>
      </c>
      <c r="N318" t="s">
        <v>49</v>
      </c>
      <c r="O318" s="5">
        <f t="shared" si="4"/>
        <v>0.33206270958126732</v>
      </c>
    </row>
    <row r="319" spans="1:15" x14ac:dyDescent="0.3">
      <c r="A319" t="s">
        <v>730</v>
      </c>
      <c r="B319" t="s">
        <v>731</v>
      </c>
      <c r="C319" t="s">
        <v>732</v>
      </c>
      <c r="D319" t="s">
        <v>116</v>
      </c>
      <c r="E319" t="s">
        <v>86</v>
      </c>
      <c r="F319" t="s">
        <v>47</v>
      </c>
      <c r="G319">
        <v>50</v>
      </c>
      <c r="H319">
        <v>18.809999999999999</v>
      </c>
      <c r="I319">
        <v>940.5</v>
      </c>
      <c r="J319">
        <v>40.25</v>
      </c>
      <c r="K319">
        <v>262.75</v>
      </c>
      <c r="L319" t="s">
        <v>33</v>
      </c>
      <c r="M319" t="s">
        <v>34</v>
      </c>
      <c r="N319" t="s">
        <v>76</v>
      </c>
      <c r="O319" s="5">
        <f t="shared" si="4"/>
        <v>0.27937267410951622</v>
      </c>
    </row>
    <row r="320" spans="1:15" x14ac:dyDescent="0.3">
      <c r="A320" t="s">
        <v>733</v>
      </c>
      <c r="B320" t="s">
        <v>734</v>
      </c>
      <c r="C320" t="s">
        <v>323</v>
      </c>
      <c r="D320" t="s">
        <v>206</v>
      </c>
      <c r="E320" t="s">
        <v>67</v>
      </c>
      <c r="F320" t="s">
        <v>68</v>
      </c>
      <c r="G320">
        <v>2</v>
      </c>
      <c r="H320">
        <v>29.64</v>
      </c>
      <c r="I320">
        <v>59.28</v>
      </c>
      <c r="J320">
        <v>4.59</v>
      </c>
      <c r="K320">
        <v>9.69</v>
      </c>
      <c r="L320" t="s">
        <v>33</v>
      </c>
      <c r="M320" t="s">
        <v>41</v>
      </c>
      <c r="N320" t="s">
        <v>207</v>
      </c>
      <c r="O320" s="5">
        <f t="shared" si="4"/>
        <v>0.16346153846153846</v>
      </c>
    </row>
    <row r="321" spans="1:15" x14ac:dyDescent="0.3">
      <c r="A321" t="s">
        <v>735</v>
      </c>
      <c r="B321" t="s">
        <v>736</v>
      </c>
      <c r="C321" t="s">
        <v>574</v>
      </c>
      <c r="D321" t="s">
        <v>116</v>
      </c>
      <c r="E321" t="s">
        <v>67</v>
      </c>
      <c r="F321" t="s">
        <v>68</v>
      </c>
      <c r="G321">
        <v>48</v>
      </c>
      <c r="H321">
        <v>27.9</v>
      </c>
      <c r="I321">
        <v>1339.2</v>
      </c>
      <c r="J321">
        <v>66.31</v>
      </c>
      <c r="K321">
        <v>192.89</v>
      </c>
      <c r="L321" t="s">
        <v>33</v>
      </c>
      <c r="M321" t="s">
        <v>41</v>
      </c>
      <c r="N321" t="s">
        <v>76</v>
      </c>
      <c r="O321" s="5">
        <f t="shared" si="4"/>
        <v>0.1440337514934289</v>
      </c>
    </row>
    <row r="322" spans="1:15" x14ac:dyDescent="0.3">
      <c r="A322" t="s">
        <v>737</v>
      </c>
      <c r="B322" t="s">
        <v>527</v>
      </c>
      <c r="C322" t="s">
        <v>465</v>
      </c>
      <c r="D322" t="s">
        <v>171</v>
      </c>
      <c r="E322" t="s">
        <v>74</v>
      </c>
      <c r="F322" t="s">
        <v>75</v>
      </c>
      <c r="G322">
        <v>28</v>
      </c>
      <c r="H322">
        <v>38.520000000000003</v>
      </c>
      <c r="I322">
        <v>1078.56</v>
      </c>
      <c r="J322">
        <v>64.510000000000005</v>
      </c>
      <c r="K322">
        <v>314.05</v>
      </c>
      <c r="L322" t="s">
        <v>24</v>
      </c>
      <c r="M322" t="s">
        <v>34</v>
      </c>
      <c r="N322" t="s">
        <v>35</v>
      </c>
      <c r="O322" s="5">
        <f t="shared" si="4"/>
        <v>0.29117527073134553</v>
      </c>
    </row>
    <row r="323" spans="1:15" x14ac:dyDescent="0.3">
      <c r="A323" t="s">
        <v>738</v>
      </c>
      <c r="B323" t="s">
        <v>449</v>
      </c>
      <c r="C323" t="s">
        <v>288</v>
      </c>
      <c r="D323" t="s">
        <v>31</v>
      </c>
      <c r="E323" t="s">
        <v>67</v>
      </c>
      <c r="F323" t="s">
        <v>68</v>
      </c>
      <c r="G323">
        <v>11</v>
      </c>
      <c r="H323">
        <v>31.08</v>
      </c>
      <c r="I323">
        <v>341.88</v>
      </c>
      <c r="J323">
        <v>17.18</v>
      </c>
      <c r="K323">
        <v>77.2</v>
      </c>
      <c r="L323" t="s">
        <v>48</v>
      </c>
      <c r="M323" t="s">
        <v>41</v>
      </c>
      <c r="N323" t="s">
        <v>35</v>
      </c>
      <c r="O323" s="5">
        <f t="shared" si="4"/>
        <v>0.22581022581022583</v>
      </c>
    </row>
    <row r="324" spans="1:15" x14ac:dyDescent="0.3">
      <c r="A324" t="s">
        <v>739</v>
      </c>
      <c r="B324" t="s">
        <v>740</v>
      </c>
      <c r="C324" t="s">
        <v>391</v>
      </c>
      <c r="D324" t="s">
        <v>62</v>
      </c>
      <c r="E324" t="s">
        <v>63</v>
      </c>
      <c r="F324" t="s">
        <v>47</v>
      </c>
      <c r="G324">
        <v>42</v>
      </c>
      <c r="H324">
        <v>25.95</v>
      </c>
      <c r="I324">
        <v>1089.9000000000001</v>
      </c>
      <c r="J324">
        <v>27.5</v>
      </c>
      <c r="K324">
        <v>222.4</v>
      </c>
      <c r="L324" t="s">
        <v>48</v>
      </c>
      <c r="M324" t="s">
        <v>41</v>
      </c>
      <c r="N324" t="s">
        <v>98</v>
      </c>
      <c r="O324" s="5">
        <f t="shared" si="4"/>
        <v>0.2040554179282503</v>
      </c>
    </row>
    <row r="325" spans="1:15" x14ac:dyDescent="0.3">
      <c r="A325" t="s">
        <v>741</v>
      </c>
      <c r="B325" t="s">
        <v>393</v>
      </c>
      <c r="C325" t="s">
        <v>630</v>
      </c>
      <c r="D325" t="s">
        <v>116</v>
      </c>
      <c r="E325" t="s">
        <v>74</v>
      </c>
      <c r="F325" t="s">
        <v>75</v>
      </c>
      <c r="G325">
        <v>30</v>
      </c>
      <c r="H325">
        <v>30.16</v>
      </c>
      <c r="I325">
        <v>904.8</v>
      </c>
      <c r="J325">
        <v>70.13</v>
      </c>
      <c r="K325">
        <v>84.67</v>
      </c>
      <c r="L325" t="s">
        <v>33</v>
      </c>
      <c r="M325" t="s">
        <v>25</v>
      </c>
      <c r="N325" t="s">
        <v>76</v>
      </c>
      <c r="O325" s="5">
        <f t="shared" si="4"/>
        <v>9.3578691423519017E-2</v>
      </c>
    </row>
    <row r="326" spans="1:15" x14ac:dyDescent="0.3">
      <c r="A326" t="s">
        <v>742</v>
      </c>
      <c r="B326" t="s">
        <v>464</v>
      </c>
      <c r="C326" t="s">
        <v>743</v>
      </c>
      <c r="D326" t="s">
        <v>45</v>
      </c>
      <c r="E326" t="s">
        <v>63</v>
      </c>
      <c r="F326" t="s">
        <v>47</v>
      </c>
      <c r="G326">
        <v>40</v>
      </c>
      <c r="H326">
        <v>30.03</v>
      </c>
      <c r="I326">
        <v>1201.2</v>
      </c>
      <c r="J326">
        <v>71.97</v>
      </c>
      <c r="K326">
        <v>329.23</v>
      </c>
      <c r="L326" t="s">
        <v>33</v>
      </c>
      <c r="M326" t="s">
        <v>25</v>
      </c>
      <c r="N326" t="s">
        <v>49</v>
      </c>
      <c r="O326" s="5">
        <f t="shared" si="4"/>
        <v>0.27408424908424911</v>
      </c>
    </row>
    <row r="327" spans="1:15" x14ac:dyDescent="0.3">
      <c r="A327" t="s">
        <v>744</v>
      </c>
      <c r="B327" t="s">
        <v>745</v>
      </c>
      <c r="C327" t="s">
        <v>162</v>
      </c>
      <c r="D327" t="s">
        <v>141</v>
      </c>
      <c r="E327" t="s">
        <v>63</v>
      </c>
      <c r="F327" t="s">
        <v>47</v>
      </c>
      <c r="G327">
        <v>15</v>
      </c>
      <c r="H327">
        <v>27.12</v>
      </c>
      <c r="I327">
        <v>406.8</v>
      </c>
      <c r="J327">
        <v>24.28</v>
      </c>
      <c r="K327">
        <v>82.52</v>
      </c>
      <c r="L327" t="s">
        <v>33</v>
      </c>
      <c r="M327" t="s">
        <v>34</v>
      </c>
      <c r="N327" t="s">
        <v>142</v>
      </c>
      <c r="O327" s="5">
        <f t="shared" ref="O327:O390" si="5">K327/I327</f>
        <v>0.20285152409046212</v>
      </c>
    </row>
    <row r="328" spans="1:15" x14ac:dyDescent="0.3">
      <c r="A328" t="s">
        <v>746</v>
      </c>
      <c r="B328" t="s">
        <v>567</v>
      </c>
      <c r="C328" t="s">
        <v>257</v>
      </c>
      <c r="D328" t="s">
        <v>171</v>
      </c>
      <c r="E328" t="s">
        <v>86</v>
      </c>
      <c r="F328" t="s">
        <v>47</v>
      </c>
      <c r="G328">
        <v>35</v>
      </c>
      <c r="H328">
        <v>18.350000000000001</v>
      </c>
      <c r="I328">
        <v>642.25</v>
      </c>
      <c r="J328">
        <v>29.35</v>
      </c>
      <c r="K328">
        <v>166.65</v>
      </c>
      <c r="L328" t="s">
        <v>24</v>
      </c>
      <c r="M328" t="s">
        <v>34</v>
      </c>
      <c r="N328" t="s">
        <v>35</v>
      </c>
      <c r="O328" s="5">
        <f t="shared" si="5"/>
        <v>0.2594783962631374</v>
      </c>
    </row>
    <row r="329" spans="1:15" x14ac:dyDescent="0.3">
      <c r="A329" t="s">
        <v>747</v>
      </c>
      <c r="B329" t="s">
        <v>696</v>
      </c>
      <c r="C329" t="s">
        <v>646</v>
      </c>
      <c r="D329" t="s">
        <v>141</v>
      </c>
      <c r="E329" t="s">
        <v>22</v>
      </c>
      <c r="F329" t="s">
        <v>23</v>
      </c>
      <c r="G329">
        <v>21</v>
      </c>
      <c r="H329">
        <v>52.59</v>
      </c>
      <c r="I329">
        <v>1104.3900000000001</v>
      </c>
      <c r="J329">
        <v>57.06</v>
      </c>
      <c r="K329">
        <v>312.33</v>
      </c>
      <c r="L329" t="s">
        <v>33</v>
      </c>
      <c r="M329" t="s">
        <v>34</v>
      </c>
      <c r="N329" t="s">
        <v>142</v>
      </c>
      <c r="O329" s="5">
        <f t="shared" si="5"/>
        <v>0.28280770380028791</v>
      </c>
    </row>
    <row r="330" spans="1:15" x14ac:dyDescent="0.3">
      <c r="A330" t="s">
        <v>748</v>
      </c>
      <c r="B330" t="s">
        <v>749</v>
      </c>
      <c r="C330" t="s">
        <v>574</v>
      </c>
      <c r="D330" t="s">
        <v>51</v>
      </c>
      <c r="E330" t="s">
        <v>137</v>
      </c>
      <c r="F330" t="s">
        <v>68</v>
      </c>
      <c r="G330">
        <v>10</v>
      </c>
      <c r="H330">
        <v>44.2</v>
      </c>
      <c r="I330">
        <v>442</v>
      </c>
      <c r="J330">
        <v>18.45</v>
      </c>
      <c r="K330">
        <v>143.55000000000001</v>
      </c>
      <c r="L330" t="s">
        <v>24</v>
      </c>
      <c r="M330" t="s">
        <v>25</v>
      </c>
      <c r="N330" t="s">
        <v>76</v>
      </c>
      <c r="O330" s="5">
        <f t="shared" si="5"/>
        <v>0.32477375565610861</v>
      </c>
    </row>
    <row r="331" spans="1:15" x14ac:dyDescent="0.3">
      <c r="A331" t="s">
        <v>750</v>
      </c>
      <c r="B331" t="s">
        <v>532</v>
      </c>
      <c r="C331" t="s">
        <v>331</v>
      </c>
      <c r="D331" t="s">
        <v>51</v>
      </c>
      <c r="E331" t="s">
        <v>22</v>
      </c>
      <c r="F331" t="s">
        <v>23</v>
      </c>
      <c r="G331">
        <v>11</v>
      </c>
      <c r="H331">
        <v>60.9</v>
      </c>
      <c r="I331">
        <v>669.9</v>
      </c>
      <c r="J331">
        <v>26.28</v>
      </c>
      <c r="K331">
        <v>258.62</v>
      </c>
      <c r="L331" t="s">
        <v>33</v>
      </c>
      <c r="M331" t="s">
        <v>34</v>
      </c>
      <c r="N331" t="s">
        <v>76</v>
      </c>
      <c r="O331" s="5">
        <f t="shared" si="5"/>
        <v>0.38605762054037918</v>
      </c>
    </row>
    <row r="332" spans="1:15" x14ac:dyDescent="0.3">
      <c r="A332" t="s">
        <v>751</v>
      </c>
      <c r="B332" t="s">
        <v>752</v>
      </c>
      <c r="C332" t="s">
        <v>73</v>
      </c>
      <c r="D332" t="s">
        <v>123</v>
      </c>
      <c r="E332" t="s">
        <v>86</v>
      </c>
      <c r="F332" t="s">
        <v>47</v>
      </c>
      <c r="G332">
        <v>26</v>
      </c>
      <c r="H332">
        <v>22.32</v>
      </c>
      <c r="I332">
        <v>580.32000000000005</v>
      </c>
      <c r="J332">
        <v>45.08</v>
      </c>
      <c r="K332">
        <v>203.74</v>
      </c>
      <c r="L332" t="s">
        <v>33</v>
      </c>
      <c r="M332" t="s">
        <v>34</v>
      </c>
      <c r="N332" t="s">
        <v>76</v>
      </c>
      <c r="O332" s="5">
        <f t="shared" si="5"/>
        <v>0.3510821615660325</v>
      </c>
    </row>
    <row r="333" spans="1:15" x14ac:dyDescent="0.3">
      <c r="A333" t="s">
        <v>753</v>
      </c>
      <c r="B333" t="s">
        <v>754</v>
      </c>
      <c r="C333" t="s">
        <v>417</v>
      </c>
      <c r="D333" t="s">
        <v>51</v>
      </c>
      <c r="E333" t="s">
        <v>137</v>
      </c>
      <c r="F333" t="s">
        <v>68</v>
      </c>
      <c r="G333">
        <v>46</v>
      </c>
      <c r="H333">
        <v>41.89</v>
      </c>
      <c r="I333">
        <v>1926.94</v>
      </c>
      <c r="J333">
        <v>97.39</v>
      </c>
      <c r="K333">
        <v>541.54999999999995</v>
      </c>
      <c r="L333" t="s">
        <v>24</v>
      </c>
      <c r="M333" t="s">
        <v>41</v>
      </c>
      <c r="N333" t="s">
        <v>76</v>
      </c>
      <c r="O333" s="5">
        <f t="shared" si="5"/>
        <v>0.28104144394739844</v>
      </c>
    </row>
    <row r="334" spans="1:15" x14ac:dyDescent="0.3">
      <c r="A334" t="s">
        <v>755</v>
      </c>
      <c r="B334" t="s">
        <v>495</v>
      </c>
      <c r="C334" t="s">
        <v>277</v>
      </c>
      <c r="D334" t="s">
        <v>31</v>
      </c>
      <c r="E334" t="s">
        <v>86</v>
      </c>
      <c r="F334" t="s">
        <v>47</v>
      </c>
      <c r="G334">
        <v>43</v>
      </c>
      <c r="H334">
        <v>21.24</v>
      </c>
      <c r="I334">
        <v>913.32</v>
      </c>
      <c r="J334">
        <v>50.32</v>
      </c>
      <c r="K334">
        <v>314.75</v>
      </c>
      <c r="L334" t="s">
        <v>33</v>
      </c>
      <c r="M334" t="s">
        <v>25</v>
      </c>
      <c r="N334" t="s">
        <v>35</v>
      </c>
      <c r="O334" s="5">
        <f t="shared" si="5"/>
        <v>0.34462181929663205</v>
      </c>
    </row>
    <row r="335" spans="1:15" x14ac:dyDescent="0.3">
      <c r="A335" t="s">
        <v>756</v>
      </c>
      <c r="B335" t="s">
        <v>658</v>
      </c>
      <c r="C335" t="s">
        <v>757</v>
      </c>
      <c r="D335" t="s">
        <v>241</v>
      </c>
      <c r="E335" t="s">
        <v>67</v>
      </c>
      <c r="F335" t="s">
        <v>68</v>
      </c>
      <c r="G335">
        <v>28</v>
      </c>
      <c r="H335">
        <v>33.700000000000003</v>
      </c>
      <c r="I335">
        <v>943.6</v>
      </c>
      <c r="J335">
        <v>20.170000000000002</v>
      </c>
      <c r="K335">
        <v>293.43</v>
      </c>
      <c r="L335" t="s">
        <v>24</v>
      </c>
      <c r="M335" t="s">
        <v>34</v>
      </c>
      <c r="N335" t="s">
        <v>35</v>
      </c>
      <c r="O335" s="5">
        <f t="shared" si="5"/>
        <v>0.31096863077575243</v>
      </c>
    </row>
    <row r="336" spans="1:15" x14ac:dyDescent="0.3">
      <c r="A336" t="s">
        <v>758</v>
      </c>
      <c r="B336" t="s">
        <v>759</v>
      </c>
      <c r="C336" t="s">
        <v>334</v>
      </c>
      <c r="D336" t="s">
        <v>70</v>
      </c>
      <c r="E336" t="s">
        <v>22</v>
      </c>
      <c r="F336" t="s">
        <v>23</v>
      </c>
      <c r="G336">
        <v>41</v>
      </c>
      <c r="H336">
        <v>42.74</v>
      </c>
      <c r="I336">
        <v>1752.34</v>
      </c>
      <c r="J336">
        <v>92.09</v>
      </c>
      <c r="K336">
        <v>225.25</v>
      </c>
      <c r="L336" t="s">
        <v>48</v>
      </c>
      <c r="M336" t="s">
        <v>25</v>
      </c>
      <c r="N336" t="s">
        <v>76</v>
      </c>
      <c r="O336" s="5">
        <f t="shared" si="5"/>
        <v>0.12854240615405688</v>
      </c>
    </row>
    <row r="337" spans="1:15" x14ac:dyDescent="0.3">
      <c r="A337" t="s">
        <v>760</v>
      </c>
      <c r="B337" t="s">
        <v>761</v>
      </c>
      <c r="C337" t="s">
        <v>646</v>
      </c>
      <c r="D337" t="s">
        <v>31</v>
      </c>
      <c r="E337" t="s">
        <v>63</v>
      </c>
      <c r="F337" t="s">
        <v>47</v>
      </c>
      <c r="G337">
        <v>24</v>
      </c>
      <c r="H337">
        <v>30.18</v>
      </c>
      <c r="I337">
        <v>724.32</v>
      </c>
      <c r="J337">
        <v>44.97</v>
      </c>
      <c r="K337">
        <v>199.35</v>
      </c>
      <c r="L337" t="s">
        <v>24</v>
      </c>
      <c r="M337" t="s">
        <v>25</v>
      </c>
      <c r="N337" t="s">
        <v>35</v>
      </c>
      <c r="O337" s="5">
        <f t="shared" si="5"/>
        <v>0.27522365805168986</v>
      </c>
    </row>
    <row r="338" spans="1:15" x14ac:dyDescent="0.3">
      <c r="A338" t="s">
        <v>762</v>
      </c>
      <c r="B338" t="s">
        <v>354</v>
      </c>
      <c r="C338" t="s">
        <v>177</v>
      </c>
      <c r="D338" t="s">
        <v>127</v>
      </c>
      <c r="E338" t="s">
        <v>81</v>
      </c>
      <c r="F338" t="s">
        <v>68</v>
      </c>
      <c r="G338">
        <v>44</v>
      </c>
      <c r="H338">
        <v>20.02</v>
      </c>
      <c r="I338">
        <v>880.88</v>
      </c>
      <c r="J338">
        <v>60.27</v>
      </c>
      <c r="K338">
        <v>138.61000000000001</v>
      </c>
      <c r="L338" t="s">
        <v>33</v>
      </c>
      <c r="M338" t="s">
        <v>34</v>
      </c>
      <c r="N338" t="s">
        <v>76</v>
      </c>
      <c r="O338" s="5">
        <f t="shared" si="5"/>
        <v>0.15735400962673693</v>
      </c>
    </row>
    <row r="339" spans="1:15" x14ac:dyDescent="0.3">
      <c r="A339" t="s">
        <v>763</v>
      </c>
      <c r="B339" t="s">
        <v>585</v>
      </c>
      <c r="C339" t="s">
        <v>174</v>
      </c>
      <c r="D339" t="s">
        <v>31</v>
      </c>
      <c r="E339" t="s">
        <v>63</v>
      </c>
      <c r="F339" t="s">
        <v>47</v>
      </c>
      <c r="G339">
        <v>12</v>
      </c>
      <c r="H339">
        <v>27.45</v>
      </c>
      <c r="I339">
        <v>329.4</v>
      </c>
      <c r="J339">
        <v>13.22</v>
      </c>
      <c r="K339">
        <v>76.180000000000007</v>
      </c>
      <c r="L339" t="s">
        <v>48</v>
      </c>
      <c r="M339" t="s">
        <v>41</v>
      </c>
      <c r="N339" t="s">
        <v>35</v>
      </c>
      <c r="O339" s="5">
        <f t="shared" si="5"/>
        <v>0.23126897389192475</v>
      </c>
    </row>
    <row r="340" spans="1:15" x14ac:dyDescent="0.3">
      <c r="A340" t="s">
        <v>764</v>
      </c>
      <c r="B340" t="s">
        <v>306</v>
      </c>
      <c r="C340" t="s">
        <v>145</v>
      </c>
      <c r="D340" t="s">
        <v>141</v>
      </c>
      <c r="E340" t="s">
        <v>63</v>
      </c>
      <c r="F340" t="s">
        <v>47</v>
      </c>
      <c r="G340">
        <v>26</v>
      </c>
      <c r="H340">
        <v>30.57</v>
      </c>
      <c r="I340">
        <v>794.82</v>
      </c>
      <c r="J340">
        <v>19.45</v>
      </c>
      <c r="K340">
        <v>255.37</v>
      </c>
      <c r="L340" t="s">
        <v>48</v>
      </c>
      <c r="M340" t="s">
        <v>34</v>
      </c>
      <c r="N340" t="s">
        <v>142</v>
      </c>
      <c r="O340" s="5">
        <f t="shared" si="5"/>
        <v>0.32129287134193907</v>
      </c>
    </row>
    <row r="341" spans="1:15" x14ac:dyDescent="0.3">
      <c r="A341" t="s">
        <v>765</v>
      </c>
      <c r="B341" t="s">
        <v>766</v>
      </c>
      <c r="C341" t="s">
        <v>185</v>
      </c>
      <c r="D341" t="s">
        <v>127</v>
      </c>
      <c r="E341" t="s">
        <v>74</v>
      </c>
      <c r="F341" t="s">
        <v>75</v>
      </c>
      <c r="G341">
        <v>46</v>
      </c>
      <c r="H341">
        <v>32.19</v>
      </c>
      <c r="I341">
        <v>1480.74</v>
      </c>
      <c r="J341">
        <v>111.13</v>
      </c>
      <c r="K341">
        <v>219.61</v>
      </c>
      <c r="L341" t="s">
        <v>48</v>
      </c>
      <c r="M341" t="s">
        <v>34</v>
      </c>
      <c r="N341" t="s">
        <v>76</v>
      </c>
      <c r="O341" s="5">
        <f t="shared" si="5"/>
        <v>0.14831097964531248</v>
      </c>
    </row>
    <row r="342" spans="1:15" x14ac:dyDescent="0.3">
      <c r="A342" t="s">
        <v>767</v>
      </c>
      <c r="B342" t="s">
        <v>768</v>
      </c>
      <c r="C342" t="s">
        <v>140</v>
      </c>
      <c r="D342" t="s">
        <v>116</v>
      </c>
      <c r="E342" t="s">
        <v>32</v>
      </c>
      <c r="F342" t="s">
        <v>23</v>
      </c>
      <c r="G342">
        <v>20</v>
      </c>
      <c r="H342">
        <v>31.79</v>
      </c>
      <c r="I342">
        <v>635.79999999999995</v>
      </c>
      <c r="J342">
        <v>38.43</v>
      </c>
      <c r="K342">
        <v>237.37</v>
      </c>
      <c r="L342" t="s">
        <v>24</v>
      </c>
      <c r="M342" t="s">
        <v>34</v>
      </c>
      <c r="N342" t="s">
        <v>76</v>
      </c>
      <c r="O342" s="5">
        <f t="shared" si="5"/>
        <v>0.37334067316766284</v>
      </c>
    </row>
    <row r="343" spans="1:15" x14ac:dyDescent="0.3">
      <c r="A343" t="s">
        <v>769</v>
      </c>
      <c r="B343" t="s">
        <v>770</v>
      </c>
      <c r="C343" t="s">
        <v>20</v>
      </c>
      <c r="D343" t="s">
        <v>206</v>
      </c>
      <c r="E343" t="s">
        <v>32</v>
      </c>
      <c r="F343" t="s">
        <v>23</v>
      </c>
      <c r="G343">
        <v>8</v>
      </c>
      <c r="H343">
        <v>28.94</v>
      </c>
      <c r="I343">
        <v>231.52</v>
      </c>
      <c r="J343">
        <v>7</v>
      </c>
      <c r="K343">
        <v>80.52</v>
      </c>
      <c r="L343" t="s">
        <v>48</v>
      </c>
      <c r="M343" t="s">
        <v>34</v>
      </c>
      <c r="N343" t="s">
        <v>207</v>
      </c>
      <c r="O343" s="5">
        <f t="shared" si="5"/>
        <v>0.34778852798894261</v>
      </c>
    </row>
    <row r="344" spans="1:15" x14ac:dyDescent="0.3">
      <c r="A344" t="s">
        <v>771</v>
      </c>
      <c r="B344" t="s">
        <v>772</v>
      </c>
      <c r="C344" t="s">
        <v>334</v>
      </c>
      <c r="D344" t="s">
        <v>171</v>
      </c>
      <c r="E344" t="s">
        <v>32</v>
      </c>
      <c r="F344" t="s">
        <v>23</v>
      </c>
      <c r="G344">
        <v>40</v>
      </c>
      <c r="H344">
        <v>30.66</v>
      </c>
      <c r="I344">
        <v>1226.4000000000001</v>
      </c>
      <c r="J344">
        <v>85.24</v>
      </c>
      <c r="K344">
        <v>421.16</v>
      </c>
      <c r="L344" t="s">
        <v>24</v>
      </c>
      <c r="M344" t="s">
        <v>25</v>
      </c>
      <c r="N344" t="s">
        <v>35</v>
      </c>
      <c r="O344" s="5">
        <f t="shared" si="5"/>
        <v>0.34341161121983038</v>
      </c>
    </row>
    <row r="345" spans="1:15" x14ac:dyDescent="0.3">
      <c r="A345" t="s">
        <v>773</v>
      </c>
      <c r="B345" t="s">
        <v>316</v>
      </c>
      <c r="C345" t="s">
        <v>539</v>
      </c>
      <c r="D345" t="s">
        <v>206</v>
      </c>
      <c r="E345" t="s">
        <v>46</v>
      </c>
      <c r="F345" t="s">
        <v>47</v>
      </c>
      <c r="G345">
        <v>44</v>
      </c>
      <c r="H345">
        <v>54.09</v>
      </c>
      <c r="I345">
        <v>2379.96</v>
      </c>
      <c r="J345">
        <v>106.39</v>
      </c>
      <c r="K345">
        <v>865.57</v>
      </c>
      <c r="L345" t="s">
        <v>24</v>
      </c>
      <c r="M345" t="s">
        <v>34</v>
      </c>
      <c r="N345" t="s">
        <v>207</v>
      </c>
      <c r="O345" s="5">
        <f t="shared" si="5"/>
        <v>0.36369098640313285</v>
      </c>
    </row>
    <row r="346" spans="1:15" x14ac:dyDescent="0.3">
      <c r="A346" t="s">
        <v>774</v>
      </c>
      <c r="B346" t="s">
        <v>615</v>
      </c>
      <c r="C346" t="s">
        <v>177</v>
      </c>
      <c r="D346" t="s">
        <v>116</v>
      </c>
      <c r="E346" t="s">
        <v>56</v>
      </c>
      <c r="F346" t="s">
        <v>57</v>
      </c>
      <c r="G346">
        <v>32</v>
      </c>
      <c r="H346">
        <v>68.89</v>
      </c>
      <c r="I346">
        <v>2204.48</v>
      </c>
      <c r="J346">
        <v>152.05000000000001</v>
      </c>
      <c r="K346">
        <v>772.43</v>
      </c>
      <c r="L346" t="s">
        <v>24</v>
      </c>
      <c r="M346" t="s">
        <v>34</v>
      </c>
      <c r="N346" t="s">
        <v>76</v>
      </c>
      <c r="O346" s="5">
        <f t="shared" si="5"/>
        <v>0.35039102191900129</v>
      </c>
    </row>
    <row r="347" spans="1:15" x14ac:dyDescent="0.3">
      <c r="A347" t="s">
        <v>775</v>
      </c>
      <c r="B347" t="s">
        <v>776</v>
      </c>
      <c r="C347" t="s">
        <v>732</v>
      </c>
      <c r="D347" t="s">
        <v>70</v>
      </c>
      <c r="E347" t="s">
        <v>22</v>
      </c>
      <c r="F347" t="s">
        <v>23</v>
      </c>
      <c r="G347">
        <v>44</v>
      </c>
      <c r="H347">
        <v>43.35</v>
      </c>
      <c r="I347">
        <v>1907.4</v>
      </c>
      <c r="J347">
        <v>99.05</v>
      </c>
      <c r="K347">
        <v>268.35000000000002</v>
      </c>
      <c r="L347" t="s">
        <v>48</v>
      </c>
      <c r="M347" t="s">
        <v>34</v>
      </c>
      <c r="N347" t="s">
        <v>76</v>
      </c>
      <c r="O347" s="5">
        <f t="shared" si="5"/>
        <v>0.1406888958792073</v>
      </c>
    </row>
    <row r="348" spans="1:15" x14ac:dyDescent="0.3">
      <c r="A348" t="s">
        <v>777</v>
      </c>
      <c r="B348" t="s">
        <v>778</v>
      </c>
      <c r="C348" t="s">
        <v>30</v>
      </c>
      <c r="D348" t="s">
        <v>62</v>
      </c>
      <c r="E348" t="s">
        <v>137</v>
      </c>
      <c r="F348" t="s">
        <v>68</v>
      </c>
      <c r="G348">
        <v>24</v>
      </c>
      <c r="H348">
        <v>34</v>
      </c>
      <c r="I348">
        <v>816</v>
      </c>
      <c r="J348">
        <v>42.15</v>
      </c>
      <c r="K348">
        <v>101.85</v>
      </c>
      <c r="L348" t="s">
        <v>48</v>
      </c>
      <c r="M348" t="s">
        <v>25</v>
      </c>
      <c r="N348" t="s">
        <v>98</v>
      </c>
      <c r="O348" s="5">
        <f t="shared" si="5"/>
        <v>0.12481617647058822</v>
      </c>
    </row>
    <row r="349" spans="1:15" x14ac:dyDescent="0.3">
      <c r="A349" t="s">
        <v>779</v>
      </c>
      <c r="B349" t="s">
        <v>633</v>
      </c>
      <c r="C349" t="s">
        <v>238</v>
      </c>
      <c r="D349" t="s">
        <v>51</v>
      </c>
      <c r="E349" t="s">
        <v>32</v>
      </c>
      <c r="F349" t="s">
        <v>23</v>
      </c>
      <c r="G349">
        <v>41</v>
      </c>
      <c r="H349">
        <v>30.25</v>
      </c>
      <c r="I349">
        <v>1240.25</v>
      </c>
      <c r="J349">
        <v>92.86</v>
      </c>
      <c r="K349">
        <v>409.39</v>
      </c>
      <c r="L349" t="s">
        <v>24</v>
      </c>
      <c r="M349" t="s">
        <v>25</v>
      </c>
      <c r="N349" t="s">
        <v>76</v>
      </c>
      <c r="O349" s="5">
        <f t="shared" si="5"/>
        <v>0.33008667607337228</v>
      </c>
    </row>
    <row r="350" spans="1:15" x14ac:dyDescent="0.3">
      <c r="A350" t="s">
        <v>780</v>
      </c>
      <c r="B350" t="s">
        <v>781</v>
      </c>
      <c r="C350" t="s">
        <v>20</v>
      </c>
      <c r="D350" t="s">
        <v>141</v>
      </c>
      <c r="E350" t="s">
        <v>81</v>
      </c>
      <c r="F350" t="s">
        <v>68</v>
      </c>
      <c r="G350">
        <v>15</v>
      </c>
      <c r="H350">
        <v>23.71</v>
      </c>
      <c r="I350">
        <v>355.65</v>
      </c>
      <c r="J350">
        <v>7.22</v>
      </c>
      <c r="K350">
        <v>115.93</v>
      </c>
      <c r="L350" t="s">
        <v>33</v>
      </c>
      <c r="M350" t="s">
        <v>34</v>
      </c>
      <c r="N350" t="s">
        <v>142</v>
      </c>
      <c r="O350" s="5">
        <f t="shared" si="5"/>
        <v>0.32596654013777593</v>
      </c>
    </row>
    <row r="351" spans="1:15" x14ac:dyDescent="0.3">
      <c r="A351" t="s">
        <v>782</v>
      </c>
      <c r="B351" t="s">
        <v>276</v>
      </c>
      <c r="C351" t="s">
        <v>197</v>
      </c>
      <c r="D351" t="s">
        <v>116</v>
      </c>
      <c r="E351" t="s">
        <v>46</v>
      </c>
      <c r="F351" t="s">
        <v>47</v>
      </c>
      <c r="G351">
        <v>33</v>
      </c>
      <c r="H351">
        <v>48.64</v>
      </c>
      <c r="I351">
        <v>1605.12</v>
      </c>
      <c r="J351">
        <v>98.71</v>
      </c>
      <c r="K351">
        <v>450.41</v>
      </c>
      <c r="L351" t="s">
        <v>24</v>
      </c>
      <c r="M351" t="s">
        <v>34</v>
      </c>
      <c r="N351" t="s">
        <v>76</v>
      </c>
      <c r="O351" s="5">
        <f t="shared" si="5"/>
        <v>0.28060830342902715</v>
      </c>
    </row>
    <row r="352" spans="1:15" x14ac:dyDescent="0.3">
      <c r="A352" t="s">
        <v>783</v>
      </c>
      <c r="B352" t="s">
        <v>784</v>
      </c>
      <c r="C352" t="s">
        <v>44</v>
      </c>
      <c r="D352" t="s">
        <v>241</v>
      </c>
      <c r="E352" t="s">
        <v>22</v>
      </c>
      <c r="F352" t="s">
        <v>23</v>
      </c>
      <c r="G352">
        <v>7</v>
      </c>
      <c r="H352">
        <v>50.94</v>
      </c>
      <c r="I352">
        <v>356.58</v>
      </c>
      <c r="J352">
        <v>11.19</v>
      </c>
      <c r="K352">
        <v>100.39</v>
      </c>
      <c r="L352" t="s">
        <v>33</v>
      </c>
      <c r="M352" t="s">
        <v>25</v>
      </c>
      <c r="N352" t="s">
        <v>35</v>
      </c>
      <c r="O352" s="5">
        <f t="shared" si="5"/>
        <v>0.28153570026361546</v>
      </c>
    </row>
    <row r="353" spans="1:15" x14ac:dyDescent="0.3">
      <c r="A353" t="s">
        <v>785</v>
      </c>
      <c r="B353" t="s">
        <v>786</v>
      </c>
      <c r="C353" t="s">
        <v>323</v>
      </c>
      <c r="D353" t="s">
        <v>206</v>
      </c>
      <c r="E353" t="s">
        <v>63</v>
      </c>
      <c r="F353" t="s">
        <v>47</v>
      </c>
      <c r="G353">
        <v>1</v>
      </c>
      <c r="H353">
        <v>31.4</v>
      </c>
      <c r="I353">
        <v>31.4</v>
      </c>
      <c r="J353">
        <v>1.1399999999999999</v>
      </c>
      <c r="K353">
        <v>10.26</v>
      </c>
      <c r="L353" t="s">
        <v>48</v>
      </c>
      <c r="M353" t="s">
        <v>34</v>
      </c>
      <c r="N353" t="s">
        <v>207</v>
      </c>
      <c r="O353" s="5">
        <f t="shared" si="5"/>
        <v>0.32675159235668788</v>
      </c>
    </row>
    <row r="354" spans="1:15" x14ac:dyDescent="0.3">
      <c r="A354" t="s">
        <v>787</v>
      </c>
      <c r="B354" t="s">
        <v>408</v>
      </c>
      <c r="C354" t="s">
        <v>317</v>
      </c>
      <c r="D354" t="s">
        <v>37</v>
      </c>
      <c r="E354" t="s">
        <v>86</v>
      </c>
      <c r="F354" t="s">
        <v>47</v>
      </c>
      <c r="G354">
        <v>28</v>
      </c>
      <c r="H354">
        <v>18.59</v>
      </c>
      <c r="I354">
        <v>520.52</v>
      </c>
      <c r="J354">
        <v>14.08</v>
      </c>
      <c r="K354">
        <v>149.44</v>
      </c>
      <c r="L354" t="s">
        <v>24</v>
      </c>
      <c r="M354" t="s">
        <v>25</v>
      </c>
      <c r="N354" t="s">
        <v>35</v>
      </c>
      <c r="O354" s="5">
        <f t="shared" si="5"/>
        <v>0.28709751786674864</v>
      </c>
    </row>
    <row r="355" spans="1:15" x14ac:dyDescent="0.3">
      <c r="A355" t="s">
        <v>788</v>
      </c>
      <c r="B355" t="s">
        <v>789</v>
      </c>
      <c r="C355" t="s">
        <v>790</v>
      </c>
      <c r="D355" t="s">
        <v>171</v>
      </c>
      <c r="E355" t="s">
        <v>81</v>
      </c>
      <c r="F355" t="s">
        <v>68</v>
      </c>
      <c r="G355">
        <v>50</v>
      </c>
      <c r="H355">
        <v>20.66</v>
      </c>
      <c r="I355">
        <v>1033</v>
      </c>
      <c r="J355">
        <v>34.130000000000003</v>
      </c>
      <c r="K355">
        <v>223.87</v>
      </c>
      <c r="L355" t="s">
        <v>48</v>
      </c>
      <c r="M355" t="s">
        <v>34</v>
      </c>
      <c r="N355" t="s">
        <v>35</v>
      </c>
      <c r="O355" s="5">
        <f t="shared" si="5"/>
        <v>0.21671829622458857</v>
      </c>
    </row>
    <row r="356" spans="1:15" x14ac:dyDescent="0.3">
      <c r="A356" t="s">
        <v>791</v>
      </c>
      <c r="B356" t="s">
        <v>547</v>
      </c>
      <c r="C356" t="s">
        <v>249</v>
      </c>
      <c r="D356" t="s">
        <v>51</v>
      </c>
      <c r="E356" t="s">
        <v>22</v>
      </c>
      <c r="F356" t="s">
        <v>23</v>
      </c>
      <c r="G356">
        <v>4</v>
      </c>
      <c r="H356">
        <v>46.62</v>
      </c>
      <c r="I356">
        <v>186.48</v>
      </c>
      <c r="J356">
        <v>13.29</v>
      </c>
      <c r="K356">
        <v>33.19</v>
      </c>
      <c r="L356" t="s">
        <v>33</v>
      </c>
      <c r="M356" t="s">
        <v>25</v>
      </c>
      <c r="N356" t="s">
        <v>76</v>
      </c>
      <c r="O356" s="5">
        <f t="shared" si="5"/>
        <v>0.17798155298155299</v>
      </c>
    </row>
    <row r="357" spans="1:15" x14ac:dyDescent="0.3">
      <c r="A357" t="s">
        <v>792</v>
      </c>
      <c r="B357" t="s">
        <v>547</v>
      </c>
      <c r="C357" t="s">
        <v>732</v>
      </c>
      <c r="D357" t="s">
        <v>141</v>
      </c>
      <c r="E357" t="s">
        <v>81</v>
      </c>
      <c r="F357" t="s">
        <v>68</v>
      </c>
      <c r="G357">
        <v>37</v>
      </c>
      <c r="H357">
        <v>21.81</v>
      </c>
      <c r="I357">
        <v>806.97</v>
      </c>
      <c r="J357">
        <v>19.63</v>
      </c>
      <c r="K357">
        <v>213.84</v>
      </c>
      <c r="L357" t="s">
        <v>48</v>
      </c>
      <c r="M357" t="s">
        <v>41</v>
      </c>
      <c r="N357" t="s">
        <v>142</v>
      </c>
      <c r="O357" s="5">
        <f t="shared" si="5"/>
        <v>0.26499126361574782</v>
      </c>
    </row>
    <row r="358" spans="1:15" x14ac:dyDescent="0.3">
      <c r="A358" t="s">
        <v>793</v>
      </c>
      <c r="B358" t="s">
        <v>100</v>
      </c>
      <c r="C358" t="s">
        <v>216</v>
      </c>
      <c r="D358" t="s">
        <v>51</v>
      </c>
      <c r="E358" t="s">
        <v>81</v>
      </c>
      <c r="F358" t="s">
        <v>68</v>
      </c>
      <c r="G358">
        <v>48</v>
      </c>
      <c r="H358">
        <v>26.68</v>
      </c>
      <c r="I358">
        <v>1280.6400000000001</v>
      </c>
      <c r="J358">
        <v>55.36</v>
      </c>
      <c r="K358">
        <v>481.28</v>
      </c>
      <c r="L358" t="s">
        <v>24</v>
      </c>
      <c r="M358" t="s">
        <v>34</v>
      </c>
      <c r="N358" t="s">
        <v>76</v>
      </c>
      <c r="O358" s="5">
        <f t="shared" si="5"/>
        <v>0.37581209395302345</v>
      </c>
    </row>
    <row r="359" spans="1:15" x14ac:dyDescent="0.3">
      <c r="A359" t="s">
        <v>794</v>
      </c>
      <c r="B359" t="s">
        <v>795</v>
      </c>
      <c r="C359" t="s">
        <v>191</v>
      </c>
      <c r="D359" t="s">
        <v>45</v>
      </c>
      <c r="E359" t="s">
        <v>74</v>
      </c>
      <c r="F359" t="s">
        <v>75</v>
      </c>
      <c r="G359">
        <v>24</v>
      </c>
      <c r="H359">
        <v>42.82</v>
      </c>
      <c r="I359">
        <v>1027.68</v>
      </c>
      <c r="J359">
        <v>69.95</v>
      </c>
      <c r="K359">
        <v>357.73</v>
      </c>
      <c r="L359" t="s">
        <v>24</v>
      </c>
      <c r="M359" t="s">
        <v>25</v>
      </c>
      <c r="N359" t="s">
        <v>49</v>
      </c>
      <c r="O359" s="5">
        <f t="shared" si="5"/>
        <v>0.34809473766152887</v>
      </c>
    </row>
    <row r="360" spans="1:15" x14ac:dyDescent="0.3">
      <c r="A360" t="s">
        <v>796</v>
      </c>
      <c r="B360" t="s">
        <v>179</v>
      </c>
      <c r="C360" t="s">
        <v>194</v>
      </c>
      <c r="D360" t="s">
        <v>206</v>
      </c>
      <c r="E360" t="s">
        <v>67</v>
      </c>
      <c r="F360" t="s">
        <v>68</v>
      </c>
      <c r="G360">
        <v>26</v>
      </c>
      <c r="H360">
        <v>34.4</v>
      </c>
      <c r="I360">
        <v>894.4</v>
      </c>
      <c r="J360">
        <v>40.42</v>
      </c>
      <c r="K360">
        <v>268.98</v>
      </c>
      <c r="L360" t="s">
        <v>24</v>
      </c>
      <c r="M360" t="s">
        <v>25</v>
      </c>
      <c r="N360" t="s">
        <v>207</v>
      </c>
      <c r="O360" s="5">
        <f t="shared" si="5"/>
        <v>0.3007379248658319</v>
      </c>
    </row>
    <row r="361" spans="1:15" x14ac:dyDescent="0.3">
      <c r="A361" t="s">
        <v>797</v>
      </c>
      <c r="B361" t="s">
        <v>798</v>
      </c>
      <c r="C361" t="s">
        <v>321</v>
      </c>
      <c r="D361" t="s">
        <v>37</v>
      </c>
      <c r="E361" t="s">
        <v>22</v>
      </c>
      <c r="F361" t="s">
        <v>23</v>
      </c>
      <c r="G361">
        <v>47</v>
      </c>
      <c r="H361">
        <v>44.89</v>
      </c>
      <c r="I361">
        <v>2109.83</v>
      </c>
      <c r="J361">
        <v>45.91</v>
      </c>
      <c r="K361">
        <v>418.92</v>
      </c>
      <c r="L361" t="s">
        <v>24</v>
      </c>
      <c r="M361" t="s">
        <v>34</v>
      </c>
      <c r="N361" t="s">
        <v>35</v>
      </c>
      <c r="O361" s="5">
        <f t="shared" si="5"/>
        <v>0.19855628178573631</v>
      </c>
    </row>
    <row r="362" spans="1:15" x14ac:dyDescent="0.3">
      <c r="A362" t="s">
        <v>799</v>
      </c>
      <c r="B362" t="s">
        <v>688</v>
      </c>
      <c r="C362" t="s">
        <v>285</v>
      </c>
      <c r="D362" t="s">
        <v>51</v>
      </c>
      <c r="E362" t="s">
        <v>81</v>
      </c>
      <c r="F362" t="s">
        <v>68</v>
      </c>
      <c r="G362">
        <v>1</v>
      </c>
      <c r="H362">
        <v>18.739999999999998</v>
      </c>
      <c r="I362">
        <v>18.739999999999998</v>
      </c>
      <c r="J362">
        <v>0.5</v>
      </c>
      <c r="K362">
        <v>2.74</v>
      </c>
      <c r="L362" t="s">
        <v>48</v>
      </c>
      <c r="M362" t="s">
        <v>34</v>
      </c>
      <c r="N362" t="s">
        <v>76</v>
      </c>
      <c r="O362" s="5">
        <f t="shared" si="5"/>
        <v>0.14621131270010676</v>
      </c>
    </row>
    <row r="363" spans="1:15" x14ac:dyDescent="0.3">
      <c r="A363" t="s">
        <v>800</v>
      </c>
      <c r="B363" t="s">
        <v>156</v>
      </c>
      <c r="C363" t="s">
        <v>272</v>
      </c>
      <c r="D363" t="s">
        <v>116</v>
      </c>
      <c r="E363" t="s">
        <v>67</v>
      </c>
      <c r="F363" t="s">
        <v>68</v>
      </c>
      <c r="G363">
        <v>27</v>
      </c>
      <c r="H363">
        <v>36.270000000000003</v>
      </c>
      <c r="I363">
        <v>979.29</v>
      </c>
      <c r="J363">
        <v>54.58</v>
      </c>
      <c r="K363">
        <v>317.20999999999998</v>
      </c>
      <c r="L363" t="s">
        <v>33</v>
      </c>
      <c r="M363" t="s">
        <v>34</v>
      </c>
      <c r="N363" t="s">
        <v>76</v>
      </c>
      <c r="O363" s="5">
        <f t="shared" si="5"/>
        <v>0.32391834900795474</v>
      </c>
    </row>
    <row r="364" spans="1:15" x14ac:dyDescent="0.3">
      <c r="A364" t="s">
        <v>801</v>
      </c>
      <c r="B364" t="s">
        <v>261</v>
      </c>
      <c r="C364" t="s">
        <v>151</v>
      </c>
      <c r="D364" t="s">
        <v>241</v>
      </c>
      <c r="E364" t="s">
        <v>86</v>
      </c>
      <c r="F364" t="s">
        <v>47</v>
      </c>
      <c r="G364">
        <v>13</v>
      </c>
      <c r="H364">
        <v>18.82</v>
      </c>
      <c r="I364">
        <v>244.66</v>
      </c>
      <c r="J364">
        <v>6.49</v>
      </c>
      <c r="K364">
        <v>72.42</v>
      </c>
      <c r="L364" t="s">
        <v>48</v>
      </c>
      <c r="M364" t="s">
        <v>34</v>
      </c>
      <c r="N364" t="s">
        <v>35</v>
      </c>
      <c r="O364" s="5">
        <f t="shared" si="5"/>
        <v>0.29600261587509197</v>
      </c>
    </row>
    <row r="365" spans="1:15" x14ac:dyDescent="0.3">
      <c r="A365" t="s">
        <v>802</v>
      </c>
      <c r="B365" t="s">
        <v>139</v>
      </c>
      <c r="C365" t="s">
        <v>539</v>
      </c>
      <c r="D365" t="s">
        <v>206</v>
      </c>
      <c r="E365" t="s">
        <v>137</v>
      </c>
      <c r="F365" t="s">
        <v>68</v>
      </c>
      <c r="G365">
        <v>41</v>
      </c>
      <c r="H365">
        <v>43.19</v>
      </c>
      <c r="I365">
        <v>1770.79</v>
      </c>
      <c r="J365">
        <v>83.28</v>
      </c>
      <c r="K365">
        <v>539.51</v>
      </c>
      <c r="L365" t="s">
        <v>33</v>
      </c>
      <c r="M365" t="s">
        <v>25</v>
      </c>
      <c r="N365" t="s">
        <v>207</v>
      </c>
      <c r="O365" s="5">
        <f t="shared" si="5"/>
        <v>0.30467192608948551</v>
      </c>
    </row>
    <row r="366" spans="1:15" x14ac:dyDescent="0.3">
      <c r="A366" t="s">
        <v>803</v>
      </c>
      <c r="B366" t="s">
        <v>804</v>
      </c>
      <c r="C366" t="s">
        <v>110</v>
      </c>
      <c r="D366" t="s">
        <v>51</v>
      </c>
      <c r="E366" t="s">
        <v>137</v>
      </c>
      <c r="F366" t="s">
        <v>68</v>
      </c>
      <c r="G366">
        <v>40</v>
      </c>
      <c r="H366">
        <v>42.31</v>
      </c>
      <c r="I366">
        <v>1692.4</v>
      </c>
      <c r="J366">
        <v>118.59</v>
      </c>
      <c r="K366">
        <v>453.81</v>
      </c>
      <c r="L366" t="s">
        <v>33</v>
      </c>
      <c r="M366" t="s">
        <v>41</v>
      </c>
      <c r="N366" t="s">
        <v>76</v>
      </c>
      <c r="O366" s="5">
        <f t="shared" si="5"/>
        <v>0.26814582840935947</v>
      </c>
    </row>
    <row r="367" spans="1:15" x14ac:dyDescent="0.3">
      <c r="A367" t="s">
        <v>805</v>
      </c>
      <c r="B367" t="s">
        <v>536</v>
      </c>
      <c r="C367" t="s">
        <v>440</v>
      </c>
      <c r="D367" t="s">
        <v>70</v>
      </c>
      <c r="E367" t="s">
        <v>46</v>
      </c>
      <c r="F367" t="s">
        <v>47</v>
      </c>
      <c r="G367">
        <v>1</v>
      </c>
      <c r="H367">
        <v>57.15</v>
      </c>
      <c r="I367">
        <v>57.15</v>
      </c>
      <c r="J367">
        <v>4.1100000000000003</v>
      </c>
      <c r="K367">
        <v>21.04</v>
      </c>
      <c r="L367" t="s">
        <v>33</v>
      </c>
      <c r="M367" t="s">
        <v>25</v>
      </c>
      <c r="N367" t="s">
        <v>76</v>
      </c>
      <c r="O367" s="5">
        <f t="shared" si="5"/>
        <v>0.36815398075240596</v>
      </c>
    </row>
    <row r="368" spans="1:15" x14ac:dyDescent="0.3">
      <c r="A368" t="s">
        <v>806</v>
      </c>
      <c r="B368" t="s">
        <v>196</v>
      </c>
      <c r="C368" t="s">
        <v>269</v>
      </c>
      <c r="D368" t="s">
        <v>55</v>
      </c>
      <c r="E368" t="s">
        <v>63</v>
      </c>
      <c r="F368" t="s">
        <v>47</v>
      </c>
      <c r="G368">
        <v>15</v>
      </c>
      <c r="H368">
        <v>30.03</v>
      </c>
      <c r="I368">
        <v>450.45</v>
      </c>
      <c r="J368">
        <v>29.99</v>
      </c>
      <c r="K368">
        <v>120.46</v>
      </c>
      <c r="L368" t="s">
        <v>48</v>
      </c>
      <c r="M368" t="s">
        <v>34</v>
      </c>
      <c r="N368" t="s">
        <v>98</v>
      </c>
      <c r="O368" s="5">
        <f t="shared" si="5"/>
        <v>0.26742146742146744</v>
      </c>
    </row>
    <row r="369" spans="1:15" x14ac:dyDescent="0.3">
      <c r="A369" t="s">
        <v>807</v>
      </c>
      <c r="B369" t="s">
        <v>808</v>
      </c>
      <c r="C369" t="s">
        <v>257</v>
      </c>
      <c r="D369" t="s">
        <v>45</v>
      </c>
      <c r="E369" t="s">
        <v>63</v>
      </c>
      <c r="F369" t="s">
        <v>47</v>
      </c>
      <c r="G369">
        <v>48</v>
      </c>
      <c r="H369">
        <v>30.91</v>
      </c>
      <c r="I369">
        <v>1483.68</v>
      </c>
      <c r="J369">
        <v>85.5</v>
      </c>
      <c r="K369">
        <v>438.18</v>
      </c>
      <c r="L369" t="s">
        <v>24</v>
      </c>
      <c r="M369" t="s">
        <v>34</v>
      </c>
      <c r="N369" t="s">
        <v>49</v>
      </c>
      <c r="O369" s="5">
        <f t="shared" si="5"/>
        <v>0.29533322549336782</v>
      </c>
    </row>
    <row r="370" spans="1:15" x14ac:dyDescent="0.3">
      <c r="A370" t="s">
        <v>809</v>
      </c>
      <c r="B370" t="s">
        <v>810</v>
      </c>
      <c r="C370" t="s">
        <v>511</v>
      </c>
      <c r="D370" t="s">
        <v>62</v>
      </c>
      <c r="E370" t="s">
        <v>67</v>
      </c>
      <c r="F370" t="s">
        <v>68</v>
      </c>
      <c r="G370">
        <v>8</v>
      </c>
      <c r="H370">
        <v>32.19</v>
      </c>
      <c r="I370">
        <v>257.52</v>
      </c>
      <c r="J370">
        <v>11.85</v>
      </c>
      <c r="K370">
        <v>65.67</v>
      </c>
      <c r="L370" t="s">
        <v>24</v>
      </c>
      <c r="M370" t="s">
        <v>25</v>
      </c>
      <c r="N370" t="s">
        <v>98</v>
      </c>
      <c r="O370" s="5">
        <f t="shared" si="5"/>
        <v>0.25500931966449208</v>
      </c>
    </row>
    <row r="371" spans="1:15" x14ac:dyDescent="0.3">
      <c r="A371" t="s">
        <v>811</v>
      </c>
      <c r="B371" t="s">
        <v>812</v>
      </c>
      <c r="C371" t="s">
        <v>235</v>
      </c>
      <c r="D371" t="s">
        <v>123</v>
      </c>
      <c r="E371" t="s">
        <v>56</v>
      </c>
      <c r="F371" t="s">
        <v>57</v>
      </c>
      <c r="G371">
        <v>22</v>
      </c>
      <c r="H371">
        <v>60.75</v>
      </c>
      <c r="I371">
        <v>1336.5</v>
      </c>
      <c r="J371">
        <v>38.340000000000003</v>
      </c>
      <c r="K371">
        <v>418.16</v>
      </c>
      <c r="L371" t="s">
        <v>24</v>
      </c>
      <c r="M371" t="s">
        <v>34</v>
      </c>
      <c r="N371" t="s">
        <v>76</v>
      </c>
      <c r="O371" s="5">
        <f t="shared" si="5"/>
        <v>0.3128769173213618</v>
      </c>
    </row>
    <row r="372" spans="1:15" x14ac:dyDescent="0.3">
      <c r="A372" t="s">
        <v>813</v>
      </c>
      <c r="B372" t="s">
        <v>319</v>
      </c>
      <c r="C372" t="s">
        <v>191</v>
      </c>
      <c r="D372" t="s">
        <v>37</v>
      </c>
      <c r="E372" t="s">
        <v>56</v>
      </c>
      <c r="F372" t="s">
        <v>57</v>
      </c>
      <c r="G372">
        <v>38</v>
      </c>
      <c r="H372">
        <v>66.06</v>
      </c>
      <c r="I372">
        <v>2510.2800000000002</v>
      </c>
      <c r="J372">
        <v>50.37</v>
      </c>
      <c r="K372">
        <v>939.91</v>
      </c>
      <c r="L372" t="s">
        <v>24</v>
      </c>
      <c r="M372" t="s">
        <v>25</v>
      </c>
      <c r="N372" t="s">
        <v>35</v>
      </c>
      <c r="O372" s="5">
        <f t="shared" si="5"/>
        <v>0.37442436700288412</v>
      </c>
    </row>
    <row r="373" spans="1:15" x14ac:dyDescent="0.3">
      <c r="A373" t="s">
        <v>814</v>
      </c>
      <c r="B373" t="s">
        <v>502</v>
      </c>
      <c r="C373" t="s">
        <v>157</v>
      </c>
      <c r="D373" t="s">
        <v>21</v>
      </c>
      <c r="E373" t="s">
        <v>22</v>
      </c>
      <c r="F373" t="s">
        <v>23</v>
      </c>
      <c r="G373">
        <v>33</v>
      </c>
      <c r="H373">
        <v>50.88</v>
      </c>
      <c r="I373">
        <v>1679.04</v>
      </c>
      <c r="J373">
        <v>61.48</v>
      </c>
      <c r="K373">
        <v>462.56</v>
      </c>
      <c r="L373" t="s">
        <v>24</v>
      </c>
      <c r="M373" t="s">
        <v>34</v>
      </c>
      <c r="N373" t="s">
        <v>98</v>
      </c>
      <c r="O373" s="5">
        <f t="shared" si="5"/>
        <v>0.27549075662283212</v>
      </c>
    </row>
    <row r="374" spans="1:15" x14ac:dyDescent="0.3">
      <c r="A374" t="s">
        <v>815</v>
      </c>
      <c r="B374" t="s">
        <v>816</v>
      </c>
      <c r="C374" t="s">
        <v>417</v>
      </c>
      <c r="D374" t="s">
        <v>51</v>
      </c>
      <c r="E374" t="s">
        <v>137</v>
      </c>
      <c r="F374" t="s">
        <v>68</v>
      </c>
      <c r="G374">
        <v>49</v>
      </c>
      <c r="H374">
        <v>34.479999999999997</v>
      </c>
      <c r="I374">
        <v>1689.52</v>
      </c>
      <c r="J374">
        <v>53.06</v>
      </c>
      <c r="K374">
        <v>264.45999999999998</v>
      </c>
      <c r="L374" t="s">
        <v>48</v>
      </c>
      <c r="M374" t="s">
        <v>41</v>
      </c>
      <c r="N374" t="s">
        <v>76</v>
      </c>
      <c r="O374" s="5">
        <f t="shared" si="5"/>
        <v>0.15652966523036127</v>
      </c>
    </row>
    <row r="375" spans="1:15" x14ac:dyDescent="0.3">
      <c r="A375" t="s">
        <v>817</v>
      </c>
      <c r="B375" t="s">
        <v>736</v>
      </c>
      <c r="C375" t="s">
        <v>269</v>
      </c>
      <c r="D375" t="s">
        <v>127</v>
      </c>
      <c r="E375" t="s">
        <v>63</v>
      </c>
      <c r="F375" t="s">
        <v>47</v>
      </c>
      <c r="G375">
        <v>31</v>
      </c>
      <c r="H375">
        <v>25.43</v>
      </c>
      <c r="I375">
        <v>788.33</v>
      </c>
      <c r="J375">
        <v>57.81</v>
      </c>
      <c r="K375">
        <v>110.52</v>
      </c>
      <c r="L375" t="s">
        <v>24</v>
      </c>
      <c r="M375" t="s">
        <v>34</v>
      </c>
      <c r="N375" t="s">
        <v>76</v>
      </c>
      <c r="O375" s="5">
        <f t="shared" si="5"/>
        <v>0.14019509596235077</v>
      </c>
    </row>
    <row r="376" spans="1:15" x14ac:dyDescent="0.3">
      <c r="A376" t="s">
        <v>818</v>
      </c>
      <c r="B376" t="s">
        <v>467</v>
      </c>
      <c r="C376" t="s">
        <v>360</v>
      </c>
      <c r="D376" t="s">
        <v>241</v>
      </c>
      <c r="E376" t="s">
        <v>63</v>
      </c>
      <c r="F376" t="s">
        <v>47</v>
      </c>
      <c r="G376">
        <v>29</v>
      </c>
      <c r="H376">
        <v>31.68</v>
      </c>
      <c r="I376">
        <v>918.72</v>
      </c>
      <c r="J376">
        <v>22.22</v>
      </c>
      <c r="K376">
        <v>316.5</v>
      </c>
      <c r="L376" t="s">
        <v>48</v>
      </c>
      <c r="M376" t="s">
        <v>25</v>
      </c>
      <c r="N376" t="s">
        <v>35</v>
      </c>
      <c r="O376" s="5">
        <f t="shared" si="5"/>
        <v>0.34450104493207939</v>
      </c>
    </row>
    <row r="377" spans="1:15" x14ac:dyDescent="0.3">
      <c r="A377" t="s">
        <v>819</v>
      </c>
      <c r="B377" t="s">
        <v>590</v>
      </c>
      <c r="C377" t="s">
        <v>559</v>
      </c>
      <c r="D377" t="s">
        <v>116</v>
      </c>
      <c r="E377" t="s">
        <v>137</v>
      </c>
      <c r="F377" t="s">
        <v>68</v>
      </c>
      <c r="G377">
        <v>42</v>
      </c>
      <c r="H377">
        <v>33.89</v>
      </c>
      <c r="I377">
        <v>1423.38</v>
      </c>
      <c r="J377">
        <v>85.4</v>
      </c>
      <c r="K377">
        <v>161.97999999999999</v>
      </c>
      <c r="L377" t="s">
        <v>48</v>
      </c>
      <c r="M377" t="s">
        <v>25</v>
      </c>
      <c r="N377" t="s">
        <v>76</v>
      </c>
      <c r="O377" s="5">
        <f t="shared" si="5"/>
        <v>0.11379954755581782</v>
      </c>
    </row>
    <row r="378" spans="1:15" x14ac:dyDescent="0.3">
      <c r="A378" t="s">
        <v>820</v>
      </c>
      <c r="B378" t="s">
        <v>821</v>
      </c>
      <c r="C378" t="s">
        <v>66</v>
      </c>
      <c r="D378" t="s">
        <v>116</v>
      </c>
      <c r="E378" t="s">
        <v>32</v>
      </c>
      <c r="F378" t="s">
        <v>23</v>
      </c>
      <c r="G378">
        <v>13</v>
      </c>
      <c r="H378">
        <v>21.75</v>
      </c>
      <c r="I378">
        <v>282.75</v>
      </c>
      <c r="J378">
        <v>12.5</v>
      </c>
      <c r="K378">
        <v>36.25</v>
      </c>
      <c r="L378" t="s">
        <v>48</v>
      </c>
      <c r="M378" t="s">
        <v>34</v>
      </c>
      <c r="N378" t="s">
        <v>76</v>
      </c>
      <c r="O378" s="5">
        <f t="shared" si="5"/>
        <v>0.12820512820512819</v>
      </c>
    </row>
    <row r="379" spans="1:15" x14ac:dyDescent="0.3">
      <c r="A379" t="s">
        <v>822</v>
      </c>
      <c r="B379" t="s">
        <v>823</v>
      </c>
      <c r="C379" t="s">
        <v>162</v>
      </c>
      <c r="D379" t="s">
        <v>127</v>
      </c>
      <c r="E379" t="s">
        <v>67</v>
      </c>
      <c r="F379" t="s">
        <v>68</v>
      </c>
      <c r="G379">
        <v>25</v>
      </c>
      <c r="H379">
        <v>37.58</v>
      </c>
      <c r="I379">
        <v>939.5</v>
      </c>
      <c r="J379">
        <v>48.44</v>
      </c>
      <c r="K379">
        <v>328.56</v>
      </c>
      <c r="L379" t="s">
        <v>48</v>
      </c>
      <c r="M379" t="s">
        <v>41</v>
      </c>
      <c r="N379" t="s">
        <v>76</v>
      </c>
      <c r="O379" s="5">
        <f t="shared" si="5"/>
        <v>0.34971793507184673</v>
      </c>
    </row>
    <row r="380" spans="1:15" x14ac:dyDescent="0.3">
      <c r="A380" t="s">
        <v>824</v>
      </c>
      <c r="B380" t="s">
        <v>825</v>
      </c>
      <c r="C380" t="s">
        <v>480</v>
      </c>
      <c r="D380" t="s">
        <v>241</v>
      </c>
      <c r="E380" t="s">
        <v>63</v>
      </c>
      <c r="F380" t="s">
        <v>47</v>
      </c>
      <c r="G380">
        <v>16</v>
      </c>
      <c r="H380">
        <v>25.25</v>
      </c>
      <c r="I380">
        <v>404</v>
      </c>
      <c r="J380">
        <v>18.75</v>
      </c>
      <c r="K380">
        <v>65.25</v>
      </c>
      <c r="L380" t="s">
        <v>33</v>
      </c>
      <c r="M380" t="s">
        <v>41</v>
      </c>
      <c r="N380" t="s">
        <v>35</v>
      </c>
      <c r="O380" s="5">
        <f t="shared" si="5"/>
        <v>0.16150990099009901</v>
      </c>
    </row>
    <row r="381" spans="1:15" x14ac:dyDescent="0.3">
      <c r="A381" t="s">
        <v>826</v>
      </c>
      <c r="B381" t="s">
        <v>131</v>
      </c>
      <c r="C381" t="s">
        <v>381</v>
      </c>
      <c r="D381" t="s">
        <v>127</v>
      </c>
      <c r="E381" t="s">
        <v>81</v>
      </c>
      <c r="F381" t="s">
        <v>68</v>
      </c>
      <c r="G381">
        <v>37</v>
      </c>
      <c r="H381">
        <v>25.85</v>
      </c>
      <c r="I381">
        <v>956.45</v>
      </c>
      <c r="J381">
        <v>31.7</v>
      </c>
      <c r="K381">
        <v>351.25</v>
      </c>
      <c r="L381" t="s">
        <v>48</v>
      </c>
      <c r="M381" t="s">
        <v>41</v>
      </c>
      <c r="N381" t="s">
        <v>76</v>
      </c>
      <c r="O381" s="5">
        <f t="shared" si="5"/>
        <v>0.3672434523498353</v>
      </c>
    </row>
    <row r="382" spans="1:15" x14ac:dyDescent="0.3">
      <c r="A382" t="s">
        <v>827</v>
      </c>
      <c r="B382" t="s">
        <v>421</v>
      </c>
      <c r="C382" t="s">
        <v>73</v>
      </c>
      <c r="D382" t="s">
        <v>116</v>
      </c>
      <c r="E382" t="s">
        <v>63</v>
      </c>
      <c r="F382" t="s">
        <v>47</v>
      </c>
      <c r="G382">
        <v>1</v>
      </c>
      <c r="H382">
        <v>25.72</v>
      </c>
      <c r="I382">
        <v>25.72</v>
      </c>
      <c r="J382">
        <v>2.04</v>
      </c>
      <c r="K382">
        <v>3.68</v>
      </c>
      <c r="L382" t="s">
        <v>48</v>
      </c>
      <c r="M382" t="s">
        <v>41</v>
      </c>
      <c r="N382" t="s">
        <v>76</v>
      </c>
      <c r="O382" s="5">
        <f t="shared" si="5"/>
        <v>0.14307931570762053</v>
      </c>
    </row>
    <row r="383" spans="1:15" x14ac:dyDescent="0.3">
      <c r="A383" t="s">
        <v>828</v>
      </c>
      <c r="B383" t="s">
        <v>229</v>
      </c>
      <c r="C383" t="s">
        <v>539</v>
      </c>
      <c r="D383" t="s">
        <v>116</v>
      </c>
      <c r="E383" t="s">
        <v>137</v>
      </c>
      <c r="F383" t="s">
        <v>68</v>
      </c>
      <c r="G383">
        <v>48</v>
      </c>
      <c r="H383">
        <v>47.05</v>
      </c>
      <c r="I383">
        <v>2258.4</v>
      </c>
      <c r="J383">
        <v>179.44</v>
      </c>
      <c r="K383">
        <v>734.96</v>
      </c>
      <c r="L383" t="s">
        <v>33</v>
      </c>
      <c r="M383" t="s">
        <v>34</v>
      </c>
      <c r="N383" t="s">
        <v>76</v>
      </c>
      <c r="O383" s="5">
        <f t="shared" si="5"/>
        <v>0.32543393552957844</v>
      </c>
    </row>
    <row r="384" spans="1:15" x14ac:dyDescent="0.3">
      <c r="A384" t="s">
        <v>829</v>
      </c>
      <c r="B384" t="s">
        <v>830</v>
      </c>
      <c r="C384" t="s">
        <v>197</v>
      </c>
      <c r="D384" t="s">
        <v>45</v>
      </c>
      <c r="E384" t="s">
        <v>63</v>
      </c>
      <c r="F384" t="s">
        <v>47</v>
      </c>
      <c r="G384">
        <v>48</v>
      </c>
      <c r="H384">
        <v>29.94</v>
      </c>
      <c r="I384">
        <v>1437.12</v>
      </c>
      <c r="J384">
        <v>30.14</v>
      </c>
      <c r="K384">
        <v>446.98</v>
      </c>
      <c r="L384" t="s">
        <v>33</v>
      </c>
      <c r="M384" t="s">
        <v>34</v>
      </c>
      <c r="N384" t="s">
        <v>49</v>
      </c>
      <c r="O384" s="5">
        <f t="shared" si="5"/>
        <v>0.31102482743264309</v>
      </c>
    </row>
    <row r="385" spans="1:15" x14ac:dyDescent="0.3">
      <c r="A385" t="s">
        <v>831</v>
      </c>
      <c r="B385" t="s">
        <v>832</v>
      </c>
      <c r="C385" t="s">
        <v>586</v>
      </c>
      <c r="D385" t="s">
        <v>37</v>
      </c>
      <c r="E385" t="s">
        <v>67</v>
      </c>
      <c r="F385" t="s">
        <v>68</v>
      </c>
      <c r="G385">
        <v>12</v>
      </c>
      <c r="H385">
        <v>35.68</v>
      </c>
      <c r="I385">
        <v>428.16</v>
      </c>
      <c r="J385">
        <v>13.07</v>
      </c>
      <c r="K385">
        <v>145.09</v>
      </c>
      <c r="L385" t="s">
        <v>33</v>
      </c>
      <c r="M385" t="s">
        <v>41</v>
      </c>
      <c r="N385" t="s">
        <v>35</v>
      </c>
      <c r="O385" s="5">
        <f t="shared" si="5"/>
        <v>0.33886864723467863</v>
      </c>
    </row>
    <row r="386" spans="1:15" x14ac:dyDescent="0.3">
      <c r="A386" t="s">
        <v>833</v>
      </c>
      <c r="B386" t="s">
        <v>706</v>
      </c>
      <c r="C386" t="s">
        <v>455</v>
      </c>
      <c r="D386" t="s">
        <v>21</v>
      </c>
      <c r="E386" t="s">
        <v>46</v>
      </c>
      <c r="F386" t="s">
        <v>47</v>
      </c>
      <c r="G386">
        <v>30</v>
      </c>
      <c r="H386">
        <v>49.32</v>
      </c>
      <c r="I386">
        <v>1479.6</v>
      </c>
      <c r="J386">
        <v>105.97</v>
      </c>
      <c r="K386">
        <v>413.63</v>
      </c>
      <c r="L386" t="s">
        <v>33</v>
      </c>
      <c r="M386" t="s">
        <v>34</v>
      </c>
      <c r="N386" t="s">
        <v>98</v>
      </c>
      <c r="O386" s="5">
        <f t="shared" si="5"/>
        <v>0.27955528521221951</v>
      </c>
    </row>
    <row r="387" spans="1:15" x14ac:dyDescent="0.3">
      <c r="A387" t="s">
        <v>834</v>
      </c>
      <c r="B387" t="s">
        <v>623</v>
      </c>
      <c r="C387" t="s">
        <v>475</v>
      </c>
      <c r="D387" t="s">
        <v>171</v>
      </c>
      <c r="E387" t="s">
        <v>137</v>
      </c>
      <c r="F387" t="s">
        <v>68</v>
      </c>
      <c r="G387">
        <v>27</v>
      </c>
      <c r="H387">
        <v>37.68</v>
      </c>
      <c r="I387">
        <v>1017.36</v>
      </c>
      <c r="J387">
        <v>80.739999999999995</v>
      </c>
      <c r="K387">
        <v>180.62</v>
      </c>
      <c r="L387" t="s">
        <v>48</v>
      </c>
      <c r="M387" t="s">
        <v>25</v>
      </c>
      <c r="N387" t="s">
        <v>35</v>
      </c>
      <c r="O387" s="5">
        <f t="shared" si="5"/>
        <v>0.17753794133836598</v>
      </c>
    </row>
    <row r="388" spans="1:15" x14ac:dyDescent="0.3">
      <c r="A388" t="s">
        <v>835</v>
      </c>
      <c r="B388" t="s">
        <v>836</v>
      </c>
      <c r="C388" t="s">
        <v>277</v>
      </c>
      <c r="D388" t="s">
        <v>37</v>
      </c>
      <c r="E388" t="s">
        <v>74</v>
      </c>
      <c r="F388" t="s">
        <v>75</v>
      </c>
      <c r="G388">
        <v>39</v>
      </c>
      <c r="H388">
        <v>36.340000000000003</v>
      </c>
      <c r="I388">
        <v>1417.26</v>
      </c>
      <c r="J388">
        <v>67</v>
      </c>
      <c r="K388">
        <v>375.26</v>
      </c>
      <c r="L388" t="s">
        <v>48</v>
      </c>
      <c r="M388" t="s">
        <v>34</v>
      </c>
      <c r="N388" t="s">
        <v>35</v>
      </c>
      <c r="O388" s="5">
        <f t="shared" si="5"/>
        <v>0.26477851629200005</v>
      </c>
    </row>
    <row r="389" spans="1:15" x14ac:dyDescent="0.3">
      <c r="A389" t="s">
        <v>837</v>
      </c>
      <c r="B389" t="s">
        <v>838</v>
      </c>
      <c r="C389" t="s">
        <v>73</v>
      </c>
      <c r="D389" t="s">
        <v>51</v>
      </c>
      <c r="E389" t="s">
        <v>81</v>
      </c>
      <c r="F389" t="s">
        <v>68</v>
      </c>
      <c r="G389">
        <v>16</v>
      </c>
      <c r="H389">
        <v>24.33</v>
      </c>
      <c r="I389">
        <v>389.28</v>
      </c>
      <c r="J389">
        <v>22.33</v>
      </c>
      <c r="K389">
        <v>118.95</v>
      </c>
      <c r="L389" t="s">
        <v>24</v>
      </c>
      <c r="M389" t="s">
        <v>41</v>
      </c>
      <c r="N389" t="s">
        <v>76</v>
      </c>
      <c r="O389" s="5">
        <f t="shared" si="5"/>
        <v>0.30556411837237979</v>
      </c>
    </row>
    <row r="390" spans="1:15" x14ac:dyDescent="0.3">
      <c r="A390" t="s">
        <v>839</v>
      </c>
      <c r="B390" t="s">
        <v>547</v>
      </c>
      <c r="C390" t="s">
        <v>475</v>
      </c>
      <c r="D390" t="s">
        <v>123</v>
      </c>
      <c r="E390" t="s">
        <v>81</v>
      </c>
      <c r="F390" t="s">
        <v>68</v>
      </c>
      <c r="G390">
        <v>40</v>
      </c>
      <c r="H390">
        <v>22.28</v>
      </c>
      <c r="I390">
        <v>891.2</v>
      </c>
      <c r="J390">
        <v>32.729999999999997</v>
      </c>
      <c r="K390">
        <v>238.47</v>
      </c>
      <c r="L390" t="s">
        <v>24</v>
      </c>
      <c r="M390" t="s">
        <v>34</v>
      </c>
      <c r="N390" t="s">
        <v>76</v>
      </c>
      <c r="O390" s="5">
        <f t="shared" si="5"/>
        <v>0.26758303411131057</v>
      </c>
    </row>
    <row r="391" spans="1:15" x14ac:dyDescent="0.3">
      <c r="A391" t="s">
        <v>840</v>
      </c>
      <c r="B391" t="s">
        <v>129</v>
      </c>
      <c r="C391" t="s">
        <v>170</v>
      </c>
      <c r="D391" t="s">
        <v>127</v>
      </c>
      <c r="E391" t="s">
        <v>86</v>
      </c>
      <c r="F391" t="s">
        <v>47</v>
      </c>
      <c r="G391">
        <v>45</v>
      </c>
      <c r="H391">
        <v>21.71</v>
      </c>
      <c r="I391">
        <v>976.95</v>
      </c>
      <c r="J391">
        <v>51.6</v>
      </c>
      <c r="K391">
        <v>351.6</v>
      </c>
      <c r="L391" t="s">
        <v>24</v>
      </c>
      <c r="M391" t="s">
        <v>25</v>
      </c>
      <c r="N391" t="s">
        <v>76</v>
      </c>
      <c r="O391" s="5">
        <f t="shared" ref="O391:O454" si="6">K391/I391</f>
        <v>0.35989559342852756</v>
      </c>
    </row>
    <row r="392" spans="1:15" x14ac:dyDescent="0.3">
      <c r="A392" t="s">
        <v>841</v>
      </c>
      <c r="B392" t="s">
        <v>477</v>
      </c>
      <c r="C392" t="s">
        <v>288</v>
      </c>
      <c r="D392" t="s">
        <v>241</v>
      </c>
      <c r="E392" t="s">
        <v>74</v>
      </c>
      <c r="F392" t="s">
        <v>75</v>
      </c>
      <c r="G392">
        <v>8</v>
      </c>
      <c r="H392">
        <v>31.07</v>
      </c>
      <c r="I392">
        <v>248.56</v>
      </c>
      <c r="J392">
        <v>10.97</v>
      </c>
      <c r="K392">
        <v>37.590000000000003</v>
      </c>
      <c r="L392" t="s">
        <v>24</v>
      </c>
      <c r="M392" t="s">
        <v>34</v>
      </c>
      <c r="N392" t="s">
        <v>35</v>
      </c>
      <c r="O392" s="5">
        <f t="shared" si="6"/>
        <v>0.15123109108464758</v>
      </c>
    </row>
    <row r="393" spans="1:15" x14ac:dyDescent="0.3">
      <c r="A393" t="s">
        <v>842</v>
      </c>
      <c r="B393" t="s">
        <v>843</v>
      </c>
      <c r="C393" t="s">
        <v>369</v>
      </c>
      <c r="D393" t="s">
        <v>171</v>
      </c>
      <c r="E393" t="s">
        <v>86</v>
      </c>
      <c r="F393" t="s">
        <v>47</v>
      </c>
      <c r="G393">
        <v>47</v>
      </c>
      <c r="H393">
        <v>21.93</v>
      </c>
      <c r="I393">
        <v>1030.71</v>
      </c>
      <c r="J393">
        <v>70.989999999999995</v>
      </c>
      <c r="K393">
        <v>360.47</v>
      </c>
      <c r="L393" t="s">
        <v>48</v>
      </c>
      <c r="M393" t="s">
        <v>25</v>
      </c>
      <c r="N393" t="s">
        <v>35</v>
      </c>
      <c r="O393" s="5">
        <f t="shared" si="6"/>
        <v>0.3497297979062976</v>
      </c>
    </row>
    <row r="394" spans="1:15" x14ac:dyDescent="0.3">
      <c r="A394" t="s">
        <v>844</v>
      </c>
      <c r="B394" t="s">
        <v>845</v>
      </c>
      <c r="C394" t="s">
        <v>165</v>
      </c>
      <c r="D394" t="s">
        <v>171</v>
      </c>
      <c r="E394" t="s">
        <v>86</v>
      </c>
      <c r="F394" t="s">
        <v>47</v>
      </c>
      <c r="G394">
        <v>46</v>
      </c>
      <c r="H394">
        <v>21.46</v>
      </c>
      <c r="I394">
        <v>987.16</v>
      </c>
      <c r="J394">
        <v>21.64</v>
      </c>
      <c r="K394">
        <v>379.02</v>
      </c>
      <c r="L394" t="s">
        <v>33</v>
      </c>
      <c r="M394" t="s">
        <v>25</v>
      </c>
      <c r="N394" t="s">
        <v>35</v>
      </c>
      <c r="O394" s="5">
        <f t="shared" si="6"/>
        <v>0.38394991693342517</v>
      </c>
    </row>
    <row r="395" spans="1:15" x14ac:dyDescent="0.3">
      <c r="A395" t="s">
        <v>846</v>
      </c>
      <c r="B395" t="s">
        <v>847</v>
      </c>
      <c r="C395" t="s">
        <v>126</v>
      </c>
      <c r="D395" t="s">
        <v>21</v>
      </c>
      <c r="E395" t="s">
        <v>137</v>
      </c>
      <c r="F395" t="s">
        <v>68</v>
      </c>
      <c r="G395">
        <v>45</v>
      </c>
      <c r="H395">
        <v>47.1</v>
      </c>
      <c r="I395">
        <v>2119.5</v>
      </c>
      <c r="J395">
        <v>120.16</v>
      </c>
      <c r="K395">
        <v>739.34</v>
      </c>
      <c r="L395" t="s">
        <v>33</v>
      </c>
      <c r="M395" t="s">
        <v>34</v>
      </c>
      <c r="N395" t="s">
        <v>98</v>
      </c>
      <c r="O395" s="5">
        <f t="shared" si="6"/>
        <v>0.34882755366831802</v>
      </c>
    </row>
    <row r="396" spans="1:15" x14ac:dyDescent="0.3">
      <c r="A396" t="s">
        <v>848</v>
      </c>
      <c r="B396" t="s">
        <v>319</v>
      </c>
      <c r="C396" t="s">
        <v>20</v>
      </c>
      <c r="D396" t="s">
        <v>70</v>
      </c>
      <c r="E396" t="s">
        <v>22</v>
      </c>
      <c r="F396" t="s">
        <v>23</v>
      </c>
      <c r="G396">
        <v>2</v>
      </c>
      <c r="H396">
        <v>58.32</v>
      </c>
      <c r="I396">
        <v>116.64</v>
      </c>
      <c r="J396">
        <v>8.99</v>
      </c>
      <c r="K396">
        <v>37.65</v>
      </c>
      <c r="L396" t="s">
        <v>24</v>
      </c>
      <c r="M396" t="s">
        <v>34</v>
      </c>
      <c r="N396" t="s">
        <v>76</v>
      </c>
      <c r="O396" s="5">
        <f t="shared" si="6"/>
        <v>0.32278806584362141</v>
      </c>
    </row>
    <row r="397" spans="1:15" x14ac:dyDescent="0.3">
      <c r="A397" t="s">
        <v>849</v>
      </c>
      <c r="B397" t="s">
        <v>850</v>
      </c>
      <c r="C397" t="s">
        <v>475</v>
      </c>
      <c r="D397" t="s">
        <v>171</v>
      </c>
      <c r="E397" t="s">
        <v>22</v>
      </c>
      <c r="F397" t="s">
        <v>23</v>
      </c>
      <c r="G397">
        <v>31</v>
      </c>
      <c r="H397">
        <v>61.34</v>
      </c>
      <c r="I397">
        <v>1901.54</v>
      </c>
      <c r="J397">
        <v>147.43</v>
      </c>
      <c r="K397">
        <v>669.11</v>
      </c>
      <c r="L397" t="s">
        <v>33</v>
      </c>
      <c r="M397" t="s">
        <v>25</v>
      </c>
      <c r="N397" t="s">
        <v>35</v>
      </c>
      <c r="O397" s="5">
        <f t="shared" si="6"/>
        <v>0.35187795155505541</v>
      </c>
    </row>
    <row r="398" spans="1:15" x14ac:dyDescent="0.3">
      <c r="A398" t="s">
        <v>851</v>
      </c>
      <c r="B398" t="s">
        <v>852</v>
      </c>
      <c r="C398" t="s">
        <v>266</v>
      </c>
      <c r="D398" t="s">
        <v>55</v>
      </c>
      <c r="E398" t="s">
        <v>74</v>
      </c>
      <c r="F398" t="s">
        <v>75</v>
      </c>
      <c r="G398">
        <v>15</v>
      </c>
      <c r="H398">
        <v>43.9</v>
      </c>
      <c r="I398">
        <v>658.5</v>
      </c>
      <c r="J398">
        <v>36.479999999999997</v>
      </c>
      <c r="K398">
        <v>247.02</v>
      </c>
      <c r="L398" t="s">
        <v>48</v>
      </c>
      <c r="M398" t="s">
        <v>34</v>
      </c>
      <c r="N398" t="s">
        <v>98</v>
      </c>
      <c r="O398" s="5">
        <f t="shared" si="6"/>
        <v>0.37512528473804102</v>
      </c>
    </row>
    <row r="399" spans="1:15" x14ac:dyDescent="0.3">
      <c r="A399" t="s">
        <v>853</v>
      </c>
      <c r="B399" t="s">
        <v>854</v>
      </c>
      <c r="C399" t="s">
        <v>266</v>
      </c>
      <c r="D399" t="s">
        <v>37</v>
      </c>
      <c r="E399" t="s">
        <v>86</v>
      </c>
      <c r="F399" t="s">
        <v>47</v>
      </c>
      <c r="G399">
        <v>4</v>
      </c>
      <c r="H399">
        <v>20.53</v>
      </c>
      <c r="I399">
        <v>82.12</v>
      </c>
      <c r="J399">
        <v>4.05</v>
      </c>
      <c r="K399">
        <v>27.07</v>
      </c>
      <c r="L399" t="s">
        <v>24</v>
      </c>
      <c r="M399" t="s">
        <v>41</v>
      </c>
      <c r="N399" t="s">
        <v>35</v>
      </c>
      <c r="O399" s="5">
        <f t="shared" si="6"/>
        <v>0.32963955187530442</v>
      </c>
    </row>
    <row r="400" spans="1:15" x14ac:dyDescent="0.3">
      <c r="A400" t="s">
        <v>855</v>
      </c>
      <c r="B400" t="s">
        <v>433</v>
      </c>
      <c r="C400" t="s">
        <v>238</v>
      </c>
      <c r="D400" t="s">
        <v>206</v>
      </c>
      <c r="E400" t="s">
        <v>63</v>
      </c>
      <c r="F400" t="s">
        <v>47</v>
      </c>
      <c r="G400">
        <v>6</v>
      </c>
      <c r="H400">
        <v>24.7</v>
      </c>
      <c r="I400">
        <v>148.19999999999999</v>
      </c>
      <c r="J400">
        <v>3.76</v>
      </c>
      <c r="K400">
        <v>24.44</v>
      </c>
      <c r="L400" t="s">
        <v>48</v>
      </c>
      <c r="M400" t="s">
        <v>25</v>
      </c>
      <c r="N400" t="s">
        <v>207</v>
      </c>
      <c r="O400" s="5">
        <f t="shared" si="6"/>
        <v>0.1649122807017544</v>
      </c>
    </row>
    <row r="401" spans="1:15" x14ac:dyDescent="0.3">
      <c r="A401" t="s">
        <v>856</v>
      </c>
      <c r="B401" t="s">
        <v>857</v>
      </c>
      <c r="C401" t="s">
        <v>521</v>
      </c>
      <c r="D401" t="s">
        <v>45</v>
      </c>
      <c r="E401" t="s">
        <v>86</v>
      </c>
      <c r="F401" t="s">
        <v>47</v>
      </c>
      <c r="G401">
        <v>19</v>
      </c>
      <c r="H401">
        <v>19.170000000000002</v>
      </c>
      <c r="I401">
        <v>364.23</v>
      </c>
      <c r="J401">
        <v>15.16</v>
      </c>
      <c r="K401">
        <v>106.82</v>
      </c>
      <c r="L401" t="s">
        <v>33</v>
      </c>
      <c r="M401" t="s">
        <v>34</v>
      </c>
      <c r="N401" t="s">
        <v>49</v>
      </c>
      <c r="O401" s="5">
        <f t="shared" si="6"/>
        <v>0.29327622656014052</v>
      </c>
    </row>
    <row r="402" spans="1:15" x14ac:dyDescent="0.3">
      <c r="A402" t="s">
        <v>858</v>
      </c>
      <c r="B402" t="s">
        <v>243</v>
      </c>
      <c r="C402" t="s">
        <v>630</v>
      </c>
      <c r="D402" t="s">
        <v>51</v>
      </c>
      <c r="E402" t="s">
        <v>56</v>
      </c>
      <c r="F402" t="s">
        <v>57</v>
      </c>
      <c r="G402">
        <v>2</v>
      </c>
      <c r="H402">
        <v>55.28</v>
      </c>
      <c r="I402">
        <v>110.56</v>
      </c>
      <c r="J402">
        <v>5.37</v>
      </c>
      <c r="K402">
        <v>25.19</v>
      </c>
      <c r="L402" t="s">
        <v>48</v>
      </c>
      <c r="M402" t="s">
        <v>34</v>
      </c>
      <c r="N402" t="s">
        <v>76</v>
      </c>
      <c r="O402" s="5">
        <f t="shared" si="6"/>
        <v>0.22784008683068019</v>
      </c>
    </row>
    <row r="403" spans="1:15" x14ac:dyDescent="0.3">
      <c r="A403" t="s">
        <v>859</v>
      </c>
      <c r="B403" t="s">
        <v>860</v>
      </c>
      <c r="C403" t="s">
        <v>334</v>
      </c>
      <c r="D403" t="s">
        <v>45</v>
      </c>
      <c r="E403" t="s">
        <v>74</v>
      </c>
      <c r="F403" t="s">
        <v>75</v>
      </c>
      <c r="G403">
        <v>49</v>
      </c>
      <c r="H403">
        <v>43.91</v>
      </c>
      <c r="I403">
        <v>2151.59</v>
      </c>
      <c r="J403">
        <v>63.55</v>
      </c>
      <c r="K403">
        <v>863.04</v>
      </c>
      <c r="L403" t="s">
        <v>24</v>
      </c>
      <c r="M403" t="s">
        <v>34</v>
      </c>
      <c r="N403" t="s">
        <v>49</v>
      </c>
      <c r="O403" s="5">
        <f t="shared" si="6"/>
        <v>0.40111731324276462</v>
      </c>
    </row>
    <row r="404" spans="1:15" x14ac:dyDescent="0.3">
      <c r="A404" t="s">
        <v>861</v>
      </c>
      <c r="B404" t="s">
        <v>862</v>
      </c>
      <c r="C404" t="s">
        <v>307</v>
      </c>
      <c r="D404" t="s">
        <v>45</v>
      </c>
      <c r="E404" t="s">
        <v>74</v>
      </c>
      <c r="F404" t="s">
        <v>75</v>
      </c>
      <c r="G404">
        <v>29</v>
      </c>
      <c r="H404">
        <v>41.84</v>
      </c>
      <c r="I404">
        <v>1213.3599999999999</v>
      </c>
      <c r="J404">
        <v>56.83</v>
      </c>
      <c r="K404">
        <v>431.53</v>
      </c>
      <c r="L404" t="s">
        <v>48</v>
      </c>
      <c r="M404" t="s">
        <v>41</v>
      </c>
      <c r="N404" t="s">
        <v>49</v>
      </c>
      <c r="O404" s="5">
        <f t="shared" si="6"/>
        <v>0.35564877694995717</v>
      </c>
    </row>
    <row r="405" spans="1:15" x14ac:dyDescent="0.3">
      <c r="A405" t="s">
        <v>863</v>
      </c>
      <c r="B405" t="s">
        <v>798</v>
      </c>
      <c r="C405" t="s">
        <v>282</v>
      </c>
      <c r="D405" t="s">
        <v>141</v>
      </c>
      <c r="E405" t="s">
        <v>81</v>
      </c>
      <c r="F405" t="s">
        <v>68</v>
      </c>
      <c r="G405">
        <v>43</v>
      </c>
      <c r="H405">
        <v>27.41</v>
      </c>
      <c r="I405">
        <v>1178.6300000000001</v>
      </c>
      <c r="J405">
        <v>55.82</v>
      </c>
      <c r="K405">
        <v>456.31</v>
      </c>
      <c r="L405" t="s">
        <v>48</v>
      </c>
      <c r="M405" t="s">
        <v>34</v>
      </c>
      <c r="N405" t="s">
        <v>142</v>
      </c>
      <c r="O405" s="5">
        <f t="shared" si="6"/>
        <v>0.38715288088713162</v>
      </c>
    </row>
    <row r="406" spans="1:15" x14ac:dyDescent="0.3">
      <c r="A406" t="s">
        <v>864</v>
      </c>
      <c r="B406" t="s">
        <v>271</v>
      </c>
      <c r="C406" t="s">
        <v>743</v>
      </c>
      <c r="D406" t="s">
        <v>62</v>
      </c>
      <c r="E406" t="s">
        <v>63</v>
      </c>
      <c r="F406" t="s">
        <v>47</v>
      </c>
      <c r="G406">
        <v>28</v>
      </c>
      <c r="H406">
        <v>31.84</v>
      </c>
      <c r="I406">
        <v>891.52</v>
      </c>
      <c r="J406">
        <v>54.24</v>
      </c>
      <c r="K406">
        <v>277.27999999999997</v>
      </c>
      <c r="L406" t="s">
        <v>24</v>
      </c>
      <c r="M406" t="s">
        <v>34</v>
      </c>
      <c r="N406" t="s">
        <v>98</v>
      </c>
      <c r="O406" s="5">
        <f t="shared" si="6"/>
        <v>0.31101938262742279</v>
      </c>
    </row>
    <row r="407" spans="1:15" x14ac:dyDescent="0.3">
      <c r="A407" t="s">
        <v>865</v>
      </c>
      <c r="B407" t="s">
        <v>419</v>
      </c>
      <c r="C407" t="s">
        <v>462</v>
      </c>
      <c r="D407" t="s">
        <v>51</v>
      </c>
      <c r="E407" t="s">
        <v>74</v>
      </c>
      <c r="F407" t="s">
        <v>75</v>
      </c>
      <c r="G407">
        <v>42</v>
      </c>
      <c r="H407">
        <v>35.840000000000003</v>
      </c>
      <c r="I407">
        <v>1505.28</v>
      </c>
      <c r="J407">
        <v>60.65</v>
      </c>
      <c r="K407">
        <v>394.63</v>
      </c>
      <c r="L407" t="s">
        <v>48</v>
      </c>
      <c r="M407" t="s">
        <v>34</v>
      </c>
      <c r="N407" t="s">
        <v>76</v>
      </c>
      <c r="O407" s="5">
        <f t="shared" si="6"/>
        <v>0.262163849914966</v>
      </c>
    </row>
    <row r="408" spans="1:15" x14ac:dyDescent="0.3">
      <c r="A408" t="s">
        <v>866</v>
      </c>
      <c r="B408" t="s">
        <v>581</v>
      </c>
      <c r="C408" t="s">
        <v>85</v>
      </c>
      <c r="D408" t="s">
        <v>116</v>
      </c>
      <c r="E408" t="s">
        <v>67</v>
      </c>
      <c r="F408" t="s">
        <v>68</v>
      </c>
      <c r="G408">
        <v>22</v>
      </c>
      <c r="H408">
        <v>30.55</v>
      </c>
      <c r="I408">
        <v>672.1</v>
      </c>
      <c r="J408">
        <v>46.8</v>
      </c>
      <c r="K408">
        <v>130.30000000000001</v>
      </c>
      <c r="L408" t="s">
        <v>33</v>
      </c>
      <c r="M408" t="s">
        <v>41</v>
      </c>
      <c r="N408" t="s">
        <v>76</v>
      </c>
      <c r="O408" s="5">
        <f t="shared" si="6"/>
        <v>0.19386995982740665</v>
      </c>
    </row>
    <row r="409" spans="1:15" x14ac:dyDescent="0.3">
      <c r="A409" t="s">
        <v>867</v>
      </c>
      <c r="B409" t="s">
        <v>248</v>
      </c>
      <c r="C409" t="s">
        <v>352</v>
      </c>
      <c r="D409" t="s">
        <v>127</v>
      </c>
      <c r="E409" t="s">
        <v>137</v>
      </c>
      <c r="F409" t="s">
        <v>68</v>
      </c>
      <c r="G409">
        <v>13</v>
      </c>
      <c r="H409">
        <v>45.16</v>
      </c>
      <c r="I409">
        <v>587.08000000000004</v>
      </c>
      <c r="J409">
        <v>29.68</v>
      </c>
      <c r="K409">
        <v>193.4</v>
      </c>
      <c r="L409" t="s">
        <v>33</v>
      </c>
      <c r="M409" t="s">
        <v>34</v>
      </c>
      <c r="N409" t="s">
        <v>76</v>
      </c>
      <c r="O409" s="5">
        <f t="shared" si="6"/>
        <v>0.32942699461742864</v>
      </c>
    </row>
    <row r="410" spans="1:15" x14ac:dyDescent="0.3">
      <c r="A410" t="s">
        <v>868</v>
      </c>
      <c r="B410" t="s">
        <v>617</v>
      </c>
      <c r="C410" t="s">
        <v>227</v>
      </c>
      <c r="D410" t="s">
        <v>206</v>
      </c>
      <c r="E410" t="s">
        <v>22</v>
      </c>
      <c r="F410" t="s">
        <v>23</v>
      </c>
      <c r="G410">
        <v>40</v>
      </c>
      <c r="H410">
        <v>45.23</v>
      </c>
      <c r="I410">
        <v>1809.2</v>
      </c>
      <c r="J410">
        <v>136.25</v>
      </c>
      <c r="K410">
        <v>272.95</v>
      </c>
      <c r="L410" t="s">
        <v>48</v>
      </c>
      <c r="M410" t="s">
        <v>41</v>
      </c>
      <c r="N410" t="s">
        <v>207</v>
      </c>
      <c r="O410" s="5">
        <f t="shared" si="6"/>
        <v>0.15086778686712357</v>
      </c>
    </row>
    <row r="411" spans="1:15" x14ac:dyDescent="0.3">
      <c r="A411" t="s">
        <v>869</v>
      </c>
      <c r="B411" t="s">
        <v>629</v>
      </c>
      <c r="C411" t="s">
        <v>410</v>
      </c>
      <c r="D411" t="s">
        <v>127</v>
      </c>
      <c r="E411" t="s">
        <v>32</v>
      </c>
      <c r="F411" t="s">
        <v>23</v>
      </c>
      <c r="G411">
        <v>41</v>
      </c>
      <c r="H411">
        <v>22.78</v>
      </c>
      <c r="I411">
        <v>933.98</v>
      </c>
      <c r="J411">
        <v>38.369999999999997</v>
      </c>
      <c r="K411">
        <v>157.61000000000001</v>
      </c>
      <c r="L411" t="s">
        <v>33</v>
      </c>
      <c r="M411" t="s">
        <v>25</v>
      </c>
      <c r="N411" t="s">
        <v>76</v>
      </c>
      <c r="O411" s="5">
        <f t="shared" si="6"/>
        <v>0.16875093685089618</v>
      </c>
    </row>
    <row r="412" spans="1:15" x14ac:dyDescent="0.3">
      <c r="A412" t="s">
        <v>870</v>
      </c>
      <c r="B412" t="s">
        <v>871</v>
      </c>
      <c r="C412" t="s">
        <v>165</v>
      </c>
      <c r="D412" t="s">
        <v>171</v>
      </c>
      <c r="E412" t="s">
        <v>81</v>
      </c>
      <c r="F412" t="s">
        <v>68</v>
      </c>
      <c r="G412">
        <v>34</v>
      </c>
      <c r="H412">
        <v>24.21</v>
      </c>
      <c r="I412">
        <v>823.14</v>
      </c>
      <c r="J412">
        <v>58.25</v>
      </c>
      <c r="K412">
        <v>237.89</v>
      </c>
      <c r="L412" t="s">
        <v>24</v>
      </c>
      <c r="M412" t="s">
        <v>25</v>
      </c>
      <c r="N412" t="s">
        <v>35</v>
      </c>
      <c r="O412" s="5">
        <f t="shared" si="6"/>
        <v>0.28900308574483075</v>
      </c>
    </row>
    <row r="413" spans="1:15" x14ac:dyDescent="0.3">
      <c r="A413" t="s">
        <v>872</v>
      </c>
      <c r="B413" t="s">
        <v>199</v>
      </c>
      <c r="C413" t="s">
        <v>185</v>
      </c>
      <c r="D413" t="s">
        <v>31</v>
      </c>
      <c r="E413" t="s">
        <v>63</v>
      </c>
      <c r="F413" t="s">
        <v>47</v>
      </c>
      <c r="G413">
        <v>46</v>
      </c>
      <c r="H413">
        <v>34.64</v>
      </c>
      <c r="I413">
        <v>1593.44</v>
      </c>
      <c r="J413">
        <v>45.93</v>
      </c>
      <c r="K413">
        <v>627.51</v>
      </c>
      <c r="L413" t="s">
        <v>48</v>
      </c>
      <c r="M413" t="s">
        <v>25</v>
      </c>
      <c r="N413" t="s">
        <v>35</v>
      </c>
      <c r="O413" s="5">
        <f t="shared" si="6"/>
        <v>0.39380836429360377</v>
      </c>
    </row>
    <row r="414" spans="1:15" x14ac:dyDescent="0.3">
      <c r="A414" t="s">
        <v>873</v>
      </c>
      <c r="B414" t="s">
        <v>874</v>
      </c>
      <c r="C414" t="s">
        <v>227</v>
      </c>
      <c r="D414" t="s">
        <v>55</v>
      </c>
      <c r="E414" t="s">
        <v>63</v>
      </c>
      <c r="F414" t="s">
        <v>47</v>
      </c>
      <c r="G414">
        <v>10</v>
      </c>
      <c r="H414">
        <v>27.06</v>
      </c>
      <c r="I414">
        <v>270.60000000000002</v>
      </c>
      <c r="J414">
        <v>15.35</v>
      </c>
      <c r="K414">
        <v>55.25</v>
      </c>
      <c r="L414" t="s">
        <v>24</v>
      </c>
      <c r="M414" t="s">
        <v>41</v>
      </c>
      <c r="N414" t="s">
        <v>98</v>
      </c>
      <c r="O414" s="5">
        <f t="shared" si="6"/>
        <v>0.20417590539541758</v>
      </c>
    </row>
    <row r="415" spans="1:15" x14ac:dyDescent="0.3">
      <c r="A415" t="s">
        <v>875</v>
      </c>
      <c r="B415" t="s">
        <v>642</v>
      </c>
      <c r="C415" t="s">
        <v>222</v>
      </c>
      <c r="D415" t="s">
        <v>31</v>
      </c>
      <c r="E415" t="s">
        <v>32</v>
      </c>
      <c r="F415" t="s">
        <v>23</v>
      </c>
      <c r="G415">
        <v>11</v>
      </c>
      <c r="H415">
        <v>27.74</v>
      </c>
      <c r="I415">
        <v>305.14</v>
      </c>
      <c r="J415">
        <v>10.81</v>
      </c>
      <c r="K415">
        <v>96.33</v>
      </c>
      <c r="L415" t="s">
        <v>33</v>
      </c>
      <c r="M415" t="s">
        <v>41</v>
      </c>
      <c r="N415" t="s">
        <v>35</v>
      </c>
      <c r="O415" s="5">
        <f t="shared" si="6"/>
        <v>0.31569115815691157</v>
      </c>
    </row>
    <row r="416" spans="1:15" x14ac:dyDescent="0.3">
      <c r="A416" t="s">
        <v>876</v>
      </c>
      <c r="B416" t="s">
        <v>877</v>
      </c>
      <c r="C416" t="s">
        <v>157</v>
      </c>
      <c r="D416" t="s">
        <v>55</v>
      </c>
      <c r="E416" t="s">
        <v>137</v>
      </c>
      <c r="F416" t="s">
        <v>68</v>
      </c>
      <c r="G416">
        <v>29</v>
      </c>
      <c r="H416">
        <v>38.08</v>
      </c>
      <c r="I416">
        <v>1104.32</v>
      </c>
      <c r="J416">
        <v>25.63</v>
      </c>
      <c r="K416">
        <v>266.69</v>
      </c>
      <c r="L416" t="s">
        <v>33</v>
      </c>
      <c r="M416" t="s">
        <v>41</v>
      </c>
      <c r="N416" t="s">
        <v>98</v>
      </c>
      <c r="O416" s="5">
        <f t="shared" si="6"/>
        <v>0.24149702984642135</v>
      </c>
    </row>
    <row r="417" spans="1:15" x14ac:dyDescent="0.3">
      <c r="A417" t="s">
        <v>878</v>
      </c>
      <c r="B417" t="s">
        <v>340</v>
      </c>
      <c r="C417" t="s">
        <v>191</v>
      </c>
      <c r="D417" t="s">
        <v>55</v>
      </c>
      <c r="E417" t="s">
        <v>137</v>
      </c>
      <c r="F417" t="s">
        <v>68</v>
      </c>
      <c r="G417">
        <v>18</v>
      </c>
      <c r="H417">
        <v>43.65</v>
      </c>
      <c r="I417">
        <v>785.7</v>
      </c>
      <c r="J417">
        <v>54.52</v>
      </c>
      <c r="K417">
        <v>227.18</v>
      </c>
      <c r="L417" t="s">
        <v>33</v>
      </c>
      <c r="M417" t="s">
        <v>25</v>
      </c>
      <c r="N417" t="s">
        <v>98</v>
      </c>
      <c r="O417" s="5">
        <f t="shared" si="6"/>
        <v>0.28914343897161765</v>
      </c>
    </row>
    <row r="418" spans="1:15" x14ac:dyDescent="0.3">
      <c r="A418" t="s">
        <v>879</v>
      </c>
      <c r="B418" t="s">
        <v>488</v>
      </c>
      <c r="C418" t="s">
        <v>559</v>
      </c>
      <c r="D418" t="s">
        <v>171</v>
      </c>
      <c r="E418" t="s">
        <v>22</v>
      </c>
      <c r="F418" t="s">
        <v>23</v>
      </c>
      <c r="G418">
        <v>49</v>
      </c>
      <c r="H418">
        <v>51.97</v>
      </c>
      <c r="I418">
        <v>2546.5300000000002</v>
      </c>
      <c r="J418">
        <v>112.26</v>
      </c>
      <c r="K418">
        <v>719.27</v>
      </c>
      <c r="L418" t="s">
        <v>33</v>
      </c>
      <c r="M418" t="s">
        <v>34</v>
      </c>
      <c r="N418" t="s">
        <v>35</v>
      </c>
      <c r="O418" s="5">
        <f t="shared" si="6"/>
        <v>0.28245102158623692</v>
      </c>
    </row>
    <row r="419" spans="1:15" x14ac:dyDescent="0.3">
      <c r="A419" t="s">
        <v>880</v>
      </c>
      <c r="B419" t="s">
        <v>754</v>
      </c>
      <c r="C419" t="s">
        <v>197</v>
      </c>
      <c r="D419" t="s">
        <v>116</v>
      </c>
      <c r="E419" t="s">
        <v>74</v>
      </c>
      <c r="F419" t="s">
        <v>75</v>
      </c>
      <c r="G419">
        <v>13</v>
      </c>
      <c r="H419">
        <v>36.85</v>
      </c>
      <c r="I419">
        <v>479.05</v>
      </c>
      <c r="J419">
        <v>10.15</v>
      </c>
      <c r="K419">
        <v>143.9</v>
      </c>
      <c r="L419" t="s">
        <v>24</v>
      </c>
      <c r="M419" t="s">
        <v>41</v>
      </c>
      <c r="N419" t="s">
        <v>76</v>
      </c>
      <c r="O419" s="5">
        <f t="shared" si="6"/>
        <v>0.30038618098319592</v>
      </c>
    </row>
    <row r="420" spans="1:15" x14ac:dyDescent="0.3">
      <c r="A420" t="s">
        <v>881</v>
      </c>
      <c r="B420" t="s">
        <v>882</v>
      </c>
      <c r="C420" t="s">
        <v>122</v>
      </c>
      <c r="D420" t="s">
        <v>55</v>
      </c>
      <c r="E420" t="s">
        <v>46</v>
      </c>
      <c r="F420" t="s">
        <v>47</v>
      </c>
      <c r="G420">
        <v>33</v>
      </c>
      <c r="H420">
        <v>38.520000000000003</v>
      </c>
      <c r="I420">
        <v>1271.1600000000001</v>
      </c>
      <c r="J420">
        <v>81.459999999999994</v>
      </c>
      <c r="K420">
        <v>133.69999999999999</v>
      </c>
      <c r="L420" t="s">
        <v>24</v>
      </c>
      <c r="M420" t="s">
        <v>25</v>
      </c>
      <c r="N420" t="s">
        <v>98</v>
      </c>
      <c r="O420" s="5">
        <f t="shared" si="6"/>
        <v>0.10517952106737152</v>
      </c>
    </row>
    <row r="421" spans="1:15" x14ac:dyDescent="0.3">
      <c r="A421" t="s">
        <v>883</v>
      </c>
      <c r="B421" t="s">
        <v>169</v>
      </c>
      <c r="C421" t="s">
        <v>381</v>
      </c>
      <c r="D421" t="s">
        <v>51</v>
      </c>
      <c r="E421" t="s">
        <v>81</v>
      </c>
      <c r="F421" t="s">
        <v>68</v>
      </c>
      <c r="G421">
        <v>41</v>
      </c>
      <c r="H421">
        <v>26.98</v>
      </c>
      <c r="I421">
        <v>1106.18</v>
      </c>
      <c r="J421">
        <v>51.77</v>
      </c>
      <c r="K421">
        <v>418.91</v>
      </c>
      <c r="L421" t="s">
        <v>48</v>
      </c>
      <c r="M421" t="s">
        <v>34</v>
      </c>
      <c r="N421" t="s">
        <v>76</v>
      </c>
      <c r="O421" s="5">
        <f t="shared" si="6"/>
        <v>0.37869966913160608</v>
      </c>
    </row>
    <row r="422" spans="1:15" x14ac:dyDescent="0.3">
      <c r="A422" t="s">
        <v>884</v>
      </c>
      <c r="B422" t="s">
        <v>633</v>
      </c>
      <c r="C422" t="s">
        <v>157</v>
      </c>
      <c r="D422" t="s">
        <v>171</v>
      </c>
      <c r="E422" t="s">
        <v>81</v>
      </c>
      <c r="F422" t="s">
        <v>68</v>
      </c>
      <c r="G422">
        <v>4</v>
      </c>
      <c r="H422">
        <v>23.56</v>
      </c>
      <c r="I422">
        <v>94.24</v>
      </c>
      <c r="J422">
        <v>7.03</v>
      </c>
      <c r="K422">
        <v>25.21</v>
      </c>
      <c r="L422" t="s">
        <v>48</v>
      </c>
      <c r="M422" t="s">
        <v>41</v>
      </c>
      <c r="N422" t="s">
        <v>35</v>
      </c>
      <c r="O422" s="5">
        <f t="shared" si="6"/>
        <v>0.26750848896434637</v>
      </c>
    </row>
    <row r="423" spans="1:15" x14ac:dyDescent="0.3">
      <c r="A423" t="s">
        <v>885</v>
      </c>
      <c r="B423" t="s">
        <v>699</v>
      </c>
      <c r="C423" t="s">
        <v>471</v>
      </c>
      <c r="D423" t="s">
        <v>70</v>
      </c>
      <c r="E423" t="s">
        <v>46</v>
      </c>
      <c r="F423" t="s">
        <v>47</v>
      </c>
      <c r="G423">
        <v>17</v>
      </c>
      <c r="H423">
        <v>57.14</v>
      </c>
      <c r="I423">
        <v>971.38</v>
      </c>
      <c r="J423">
        <v>70.010000000000005</v>
      </c>
      <c r="K423">
        <v>357.37</v>
      </c>
      <c r="L423" t="s">
        <v>48</v>
      </c>
      <c r="M423" t="s">
        <v>34</v>
      </c>
      <c r="N423" t="s">
        <v>76</v>
      </c>
      <c r="O423" s="5">
        <f t="shared" si="6"/>
        <v>0.36789927731680705</v>
      </c>
    </row>
    <row r="424" spans="1:15" x14ac:dyDescent="0.3">
      <c r="A424" t="s">
        <v>886</v>
      </c>
      <c r="B424" t="s">
        <v>887</v>
      </c>
      <c r="C424" t="s">
        <v>182</v>
      </c>
      <c r="D424" t="s">
        <v>206</v>
      </c>
      <c r="E424" t="s">
        <v>74</v>
      </c>
      <c r="F424" t="s">
        <v>75</v>
      </c>
      <c r="G424">
        <v>44</v>
      </c>
      <c r="H424">
        <v>38.14</v>
      </c>
      <c r="I424">
        <v>1678.16</v>
      </c>
      <c r="J424">
        <v>124.49</v>
      </c>
      <c r="K424">
        <v>453.67</v>
      </c>
      <c r="L424" t="s">
        <v>48</v>
      </c>
      <c r="M424" t="s">
        <v>25</v>
      </c>
      <c r="N424" t="s">
        <v>207</v>
      </c>
      <c r="O424" s="5">
        <f t="shared" si="6"/>
        <v>0.27033775087000045</v>
      </c>
    </row>
    <row r="425" spans="1:15" x14ac:dyDescent="0.3">
      <c r="A425" t="s">
        <v>888</v>
      </c>
      <c r="B425" t="s">
        <v>726</v>
      </c>
      <c r="C425" t="s">
        <v>165</v>
      </c>
      <c r="D425" t="s">
        <v>141</v>
      </c>
      <c r="E425" t="s">
        <v>32</v>
      </c>
      <c r="F425" t="s">
        <v>23</v>
      </c>
      <c r="G425">
        <v>14</v>
      </c>
      <c r="H425">
        <v>24</v>
      </c>
      <c r="I425">
        <v>336</v>
      </c>
      <c r="J425">
        <v>22.88</v>
      </c>
      <c r="K425">
        <v>61.12</v>
      </c>
      <c r="L425" t="s">
        <v>33</v>
      </c>
      <c r="M425" t="s">
        <v>34</v>
      </c>
      <c r="N425" t="s">
        <v>142</v>
      </c>
      <c r="O425" s="5">
        <f t="shared" si="6"/>
        <v>0.1819047619047619</v>
      </c>
    </row>
    <row r="426" spans="1:15" x14ac:dyDescent="0.3">
      <c r="A426" t="s">
        <v>889</v>
      </c>
      <c r="B426" t="s">
        <v>890</v>
      </c>
      <c r="C426" t="s">
        <v>126</v>
      </c>
      <c r="D426" t="s">
        <v>51</v>
      </c>
      <c r="E426" t="s">
        <v>81</v>
      </c>
      <c r="F426" t="s">
        <v>68</v>
      </c>
      <c r="G426">
        <v>50</v>
      </c>
      <c r="H426">
        <v>26.91</v>
      </c>
      <c r="I426">
        <v>1345.5</v>
      </c>
      <c r="J426">
        <v>91.7</v>
      </c>
      <c r="K426">
        <v>478.8</v>
      </c>
      <c r="L426" t="s">
        <v>48</v>
      </c>
      <c r="M426" t="s">
        <v>25</v>
      </c>
      <c r="N426" t="s">
        <v>76</v>
      </c>
      <c r="O426" s="5">
        <f t="shared" si="6"/>
        <v>0.35585284280936458</v>
      </c>
    </row>
    <row r="427" spans="1:15" x14ac:dyDescent="0.3">
      <c r="A427" t="s">
        <v>891</v>
      </c>
      <c r="B427" t="s">
        <v>892</v>
      </c>
      <c r="C427" t="s">
        <v>455</v>
      </c>
      <c r="D427" t="s">
        <v>37</v>
      </c>
      <c r="E427" t="s">
        <v>56</v>
      </c>
      <c r="F427" t="s">
        <v>57</v>
      </c>
      <c r="G427">
        <v>7</v>
      </c>
      <c r="H427">
        <v>59.41</v>
      </c>
      <c r="I427">
        <v>415.87</v>
      </c>
      <c r="J427">
        <v>25.51</v>
      </c>
      <c r="K427">
        <v>110.36</v>
      </c>
      <c r="L427" t="s">
        <v>24</v>
      </c>
      <c r="M427" t="s">
        <v>41</v>
      </c>
      <c r="N427" t="s">
        <v>35</v>
      </c>
      <c r="O427" s="5">
        <f t="shared" si="6"/>
        <v>0.26537139009786714</v>
      </c>
    </row>
    <row r="428" spans="1:15" x14ac:dyDescent="0.3">
      <c r="A428" t="s">
        <v>893</v>
      </c>
      <c r="B428" t="s">
        <v>416</v>
      </c>
      <c r="C428" t="s">
        <v>396</v>
      </c>
      <c r="D428" t="s">
        <v>127</v>
      </c>
      <c r="E428" t="s">
        <v>74</v>
      </c>
      <c r="F428" t="s">
        <v>75</v>
      </c>
      <c r="G428">
        <v>48</v>
      </c>
      <c r="H428">
        <v>37.31</v>
      </c>
      <c r="I428">
        <v>1790.88</v>
      </c>
      <c r="J428">
        <v>67.45</v>
      </c>
      <c r="K428">
        <v>523.42999999999995</v>
      </c>
      <c r="L428" t="s">
        <v>24</v>
      </c>
      <c r="M428" t="s">
        <v>34</v>
      </c>
      <c r="N428" t="s">
        <v>76</v>
      </c>
      <c r="O428" s="5">
        <f t="shared" si="6"/>
        <v>0.29227530599481816</v>
      </c>
    </row>
    <row r="429" spans="1:15" x14ac:dyDescent="0.3">
      <c r="A429" t="s">
        <v>894</v>
      </c>
      <c r="B429" t="s">
        <v>133</v>
      </c>
      <c r="C429" t="s">
        <v>285</v>
      </c>
      <c r="D429" t="s">
        <v>123</v>
      </c>
      <c r="E429" t="s">
        <v>56</v>
      </c>
      <c r="F429" t="s">
        <v>57</v>
      </c>
      <c r="G429">
        <v>38</v>
      </c>
      <c r="H429">
        <v>52.91</v>
      </c>
      <c r="I429">
        <v>2010.58</v>
      </c>
      <c r="J429">
        <v>94.22</v>
      </c>
      <c r="K429">
        <v>396.36</v>
      </c>
      <c r="L429" t="s">
        <v>24</v>
      </c>
      <c r="M429" t="s">
        <v>25</v>
      </c>
      <c r="N429" t="s">
        <v>76</v>
      </c>
      <c r="O429" s="5">
        <f t="shared" si="6"/>
        <v>0.19713714450556558</v>
      </c>
    </row>
    <row r="430" spans="1:15" x14ac:dyDescent="0.3">
      <c r="A430" t="s">
        <v>895</v>
      </c>
      <c r="B430" t="s">
        <v>896</v>
      </c>
      <c r="C430" t="s">
        <v>113</v>
      </c>
      <c r="D430" t="s">
        <v>31</v>
      </c>
      <c r="E430" t="s">
        <v>32</v>
      </c>
      <c r="F430" t="s">
        <v>23</v>
      </c>
      <c r="G430">
        <v>14</v>
      </c>
      <c r="H430">
        <v>27.09</v>
      </c>
      <c r="I430">
        <v>379.26</v>
      </c>
      <c r="J430">
        <v>14.42</v>
      </c>
      <c r="K430">
        <v>112.84</v>
      </c>
      <c r="L430" t="s">
        <v>48</v>
      </c>
      <c r="M430" t="s">
        <v>41</v>
      </c>
      <c r="N430" t="s">
        <v>35</v>
      </c>
      <c r="O430" s="5">
        <f t="shared" si="6"/>
        <v>0.29752676264304173</v>
      </c>
    </row>
    <row r="431" spans="1:15" x14ac:dyDescent="0.3">
      <c r="A431" t="s">
        <v>897</v>
      </c>
      <c r="B431" t="s">
        <v>118</v>
      </c>
      <c r="C431" t="s">
        <v>182</v>
      </c>
      <c r="D431" t="s">
        <v>127</v>
      </c>
      <c r="E431" t="s">
        <v>67</v>
      </c>
      <c r="F431" t="s">
        <v>68</v>
      </c>
      <c r="G431">
        <v>41</v>
      </c>
      <c r="H431">
        <v>30.52</v>
      </c>
      <c r="I431">
        <v>1251.32</v>
      </c>
      <c r="J431">
        <v>56.88</v>
      </c>
      <c r="K431">
        <v>271.94</v>
      </c>
      <c r="L431" t="s">
        <v>24</v>
      </c>
      <c r="M431" t="s">
        <v>41</v>
      </c>
      <c r="N431" t="s">
        <v>76</v>
      </c>
      <c r="O431" s="5">
        <f t="shared" si="6"/>
        <v>0.21732250743215165</v>
      </c>
    </row>
    <row r="432" spans="1:15" x14ac:dyDescent="0.3">
      <c r="A432" t="s">
        <v>898</v>
      </c>
      <c r="B432" t="s">
        <v>899</v>
      </c>
      <c r="C432" t="s">
        <v>369</v>
      </c>
      <c r="D432" t="s">
        <v>55</v>
      </c>
      <c r="E432" t="s">
        <v>137</v>
      </c>
      <c r="F432" t="s">
        <v>68</v>
      </c>
      <c r="G432">
        <v>23</v>
      </c>
      <c r="H432">
        <v>40.94</v>
      </c>
      <c r="I432">
        <v>941.62</v>
      </c>
      <c r="J432">
        <v>71.66</v>
      </c>
      <c r="K432">
        <v>225.96</v>
      </c>
      <c r="L432" t="s">
        <v>33</v>
      </c>
      <c r="M432" t="s">
        <v>41</v>
      </c>
      <c r="N432" t="s">
        <v>98</v>
      </c>
      <c r="O432" s="5">
        <f t="shared" si="6"/>
        <v>0.23996941441345768</v>
      </c>
    </row>
    <row r="433" spans="1:15" x14ac:dyDescent="0.3">
      <c r="A433" t="s">
        <v>900</v>
      </c>
      <c r="B433" t="s">
        <v>612</v>
      </c>
      <c r="C433" t="s">
        <v>471</v>
      </c>
      <c r="D433" t="s">
        <v>241</v>
      </c>
      <c r="E433" t="s">
        <v>137</v>
      </c>
      <c r="F433" t="s">
        <v>68</v>
      </c>
      <c r="G433">
        <v>34</v>
      </c>
      <c r="H433">
        <v>41.77</v>
      </c>
      <c r="I433">
        <v>1420.18</v>
      </c>
      <c r="J433">
        <v>112.45</v>
      </c>
      <c r="K433">
        <v>355.73</v>
      </c>
      <c r="L433" t="s">
        <v>33</v>
      </c>
      <c r="M433" t="s">
        <v>41</v>
      </c>
      <c r="N433" t="s">
        <v>35</v>
      </c>
      <c r="O433" s="5">
        <f t="shared" si="6"/>
        <v>0.25048233322536578</v>
      </c>
    </row>
    <row r="434" spans="1:15" x14ac:dyDescent="0.3">
      <c r="A434" t="s">
        <v>901</v>
      </c>
      <c r="B434" t="s">
        <v>902</v>
      </c>
      <c r="C434" t="s">
        <v>165</v>
      </c>
      <c r="D434" t="s">
        <v>70</v>
      </c>
      <c r="E434" t="s">
        <v>56</v>
      </c>
      <c r="F434" t="s">
        <v>57</v>
      </c>
      <c r="G434">
        <v>32</v>
      </c>
      <c r="H434">
        <v>69.98</v>
      </c>
      <c r="I434">
        <v>2239.36</v>
      </c>
      <c r="J434">
        <v>133.51</v>
      </c>
      <c r="K434">
        <v>825.85</v>
      </c>
      <c r="L434" t="s">
        <v>48</v>
      </c>
      <c r="M434" t="s">
        <v>25</v>
      </c>
      <c r="N434" t="s">
        <v>76</v>
      </c>
      <c r="O434" s="5">
        <f t="shared" si="6"/>
        <v>0.3687884038296656</v>
      </c>
    </row>
    <row r="435" spans="1:15" x14ac:dyDescent="0.3">
      <c r="A435" t="s">
        <v>903</v>
      </c>
      <c r="B435" t="s">
        <v>810</v>
      </c>
      <c r="C435" t="s">
        <v>266</v>
      </c>
      <c r="D435" t="s">
        <v>31</v>
      </c>
      <c r="E435" t="s">
        <v>22</v>
      </c>
      <c r="F435" t="s">
        <v>23</v>
      </c>
      <c r="G435">
        <v>25</v>
      </c>
      <c r="H435">
        <v>42.91</v>
      </c>
      <c r="I435">
        <v>1072.75</v>
      </c>
      <c r="J435">
        <v>80.02</v>
      </c>
      <c r="K435">
        <v>117.73</v>
      </c>
      <c r="L435" t="s">
        <v>33</v>
      </c>
      <c r="M435" t="s">
        <v>34</v>
      </c>
      <c r="N435" t="s">
        <v>35</v>
      </c>
      <c r="O435" s="5">
        <f t="shared" si="6"/>
        <v>0.10974597995805174</v>
      </c>
    </row>
    <row r="436" spans="1:15" x14ac:dyDescent="0.3">
      <c r="A436" t="s">
        <v>904</v>
      </c>
      <c r="B436" t="s">
        <v>527</v>
      </c>
      <c r="C436" t="s">
        <v>643</v>
      </c>
      <c r="D436" t="s">
        <v>55</v>
      </c>
      <c r="E436" t="s">
        <v>86</v>
      </c>
      <c r="F436" t="s">
        <v>47</v>
      </c>
      <c r="G436">
        <v>7</v>
      </c>
      <c r="H436">
        <v>22.6</v>
      </c>
      <c r="I436">
        <v>158.19999999999999</v>
      </c>
      <c r="J436">
        <v>7.04</v>
      </c>
      <c r="K436">
        <v>61.91</v>
      </c>
      <c r="L436" t="s">
        <v>48</v>
      </c>
      <c r="M436" t="s">
        <v>25</v>
      </c>
      <c r="N436" t="s">
        <v>98</v>
      </c>
      <c r="O436" s="5">
        <f t="shared" si="6"/>
        <v>0.39134007585335018</v>
      </c>
    </row>
    <row r="437" spans="1:15" x14ac:dyDescent="0.3">
      <c r="A437" t="s">
        <v>905</v>
      </c>
      <c r="B437" t="s">
        <v>906</v>
      </c>
      <c r="C437" t="s">
        <v>145</v>
      </c>
      <c r="D437" t="s">
        <v>21</v>
      </c>
      <c r="E437" t="s">
        <v>86</v>
      </c>
      <c r="F437" t="s">
        <v>47</v>
      </c>
      <c r="G437">
        <v>48</v>
      </c>
      <c r="H437">
        <v>19.5</v>
      </c>
      <c r="I437">
        <v>936</v>
      </c>
      <c r="J437">
        <v>70.069999999999993</v>
      </c>
      <c r="K437">
        <v>253.93</v>
      </c>
      <c r="L437" t="s">
        <v>24</v>
      </c>
      <c r="M437" t="s">
        <v>34</v>
      </c>
      <c r="N437" t="s">
        <v>98</v>
      </c>
      <c r="O437" s="5">
        <f t="shared" si="6"/>
        <v>0.27129273504273504</v>
      </c>
    </row>
    <row r="438" spans="1:15" x14ac:dyDescent="0.3">
      <c r="A438" t="s">
        <v>907</v>
      </c>
      <c r="B438" t="s">
        <v>351</v>
      </c>
      <c r="C438" t="s">
        <v>40</v>
      </c>
      <c r="D438" t="s">
        <v>206</v>
      </c>
      <c r="E438" t="s">
        <v>56</v>
      </c>
      <c r="F438" t="s">
        <v>57</v>
      </c>
      <c r="G438">
        <v>32</v>
      </c>
      <c r="H438">
        <v>49.97</v>
      </c>
      <c r="I438">
        <v>1599.04</v>
      </c>
      <c r="J438">
        <v>43.1</v>
      </c>
      <c r="K438">
        <v>275.94</v>
      </c>
      <c r="L438" t="s">
        <v>33</v>
      </c>
      <c r="M438" t="s">
        <v>41</v>
      </c>
      <c r="N438" t="s">
        <v>207</v>
      </c>
      <c r="O438" s="5">
        <f t="shared" si="6"/>
        <v>0.17256603962377426</v>
      </c>
    </row>
    <row r="439" spans="1:15" x14ac:dyDescent="0.3">
      <c r="A439" t="s">
        <v>908</v>
      </c>
      <c r="B439" t="s">
        <v>386</v>
      </c>
      <c r="C439" t="s">
        <v>20</v>
      </c>
      <c r="D439" t="s">
        <v>171</v>
      </c>
      <c r="E439" t="s">
        <v>81</v>
      </c>
      <c r="F439" t="s">
        <v>68</v>
      </c>
      <c r="G439">
        <v>41</v>
      </c>
      <c r="H439">
        <v>25.62</v>
      </c>
      <c r="I439">
        <v>1050.42</v>
      </c>
      <c r="J439">
        <v>79.2</v>
      </c>
      <c r="K439">
        <v>335.72</v>
      </c>
      <c r="L439" t="s">
        <v>24</v>
      </c>
      <c r="M439" t="s">
        <v>34</v>
      </c>
      <c r="N439" t="s">
        <v>35</v>
      </c>
      <c r="O439" s="5">
        <f t="shared" si="6"/>
        <v>0.31960549113687858</v>
      </c>
    </row>
    <row r="440" spans="1:15" x14ac:dyDescent="0.3">
      <c r="A440" t="s">
        <v>909</v>
      </c>
      <c r="B440" t="s">
        <v>843</v>
      </c>
      <c r="C440" t="s">
        <v>465</v>
      </c>
      <c r="D440" t="s">
        <v>21</v>
      </c>
      <c r="E440" t="s">
        <v>86</v>
      </c>
      <c r="F440" t="s">
        <v>47</v>
      </c>
      <c r="G440">
        <v>46</v>
      </c>
      <c r="H440">
        <v>16.78</v>
      </c>
      <c r="I440">
        <v>771.88</v>
      </c>
      <c r="J440">
        <v>18.04</v>
      </c>
      <c r="K440">
        <v>167.34</v>
      </c>
      <c r="L440" t="s">
        <v>48</v>
      </c>
      <c r="M440" t="s">
        <v>41</v>
      </c>
      <c r="N440" t="s">
        <v>98</v>
      </c>
      <c r="O440" s="5">
        <f t="shared" si="6"/>
        <v>0.21679535679121106</v>
      </c>
    </row>
    <row r="441" spans="1:15" x14ac:dyDescent="0.3">
      <c r="A441" t="s">
        <v>910</v>
      </c>
      <c r="B441" t="s">
        <v>911</v>
      </c>
      <c r="C441" t="s">
        <v>505</v>
      </c>
      <c r="D441" t="s">
        <v>37</v>
      </c>
      <c r="E441" t="s">
        <v>46</v>
      </c>
      <c r="F441" t="s">
        <v>47</v>
      </c>
      <c r="G441">
        <v>16</v>
      </c>
      <c r="H441">
        <v>42.18</v>
      </c>
      <c r="I441">
        <v>674.88</v>
      </c>
      <c r="J441">
        <v>19.100000000000001</v>
      </c>
      <c r="K441">
        <v>143.78</v>
      </c>
      <c r="L441" t="s">
        <v>24</v>
      </c>
      <c r="M441" t="s">
        <v>41</v>
      </c>
      <c r="N441" t="s">
        <v>35</v>
      </c>
      <c r="O441" s="5">
        <f t="shared" si="6"/>
        <v>0.21304528212422949</v>
      </c>
    </row>
    <row r="442" spans="1:15" x14ac:dyDescent="0.3">
      <c r="A442" t="s">
        <v>912</v>
      </c>
      <c r="B442" t="s">
        <v>276</v>
      </c>
      <c r="C442" t="s">
        <v>113</v>
      </c>
      <c r="D442" t="s">
        <v>171</v>
      </c>
      <c r="E442" t="s">
        <v>74</v>
      </c>
      <c r="F442" t="s">
        <v>75</v>
      </c>
      <c r="G442">
        <v>12</v>
      </c>
      <c r="H442">
        <v>34.97</v>
      </c>
      <c r="I442">
        <v>419.64</v>
      </c>
      <c r="J442">
        <v>28.48</v>
      </c>
      <c r="K442">
        <v>91.16</v>
      </c>
      <c r="L442" t="s">
        <v>24</v>
      </c>
      <c r="M442" t="s">
        <v>25</v>
      </c>
      <c r="N442" t="s">
        <v>35</v>
      </c>
      <c r="O442" s="5">
        <f t="shared" si="6"/>
        <v>0.21723381946430273</v>
      </c>
    </row>
    <row r="443" spans="1:15" x14ac:dyDescent="0.3">
      <c r="A443" t="s">
        <v>913</v>
      </c>
      <c r="B443" t="s">
        <v>218</v>
      </c>
      <c r="C443" t="s">
        <v>219</v>
      </c>
      <c r="D443" t="s">
        <v>45</v>
      </c>
      <c r="E443" t="s">
        <v>63</v>
      </c>
      <c r="F443" t="s">
        <v>47</v>
      </c>
      <c r="G443">
        <v>31</v>
      </c>
      <c r="H443">
        <v>33.619999999999997</v>
      </c>
      <c r="I443">
        <v>1042.22</v>
      </c>
      <c r="J443">
        <v>26.33</v>
      </c>
      <c r="K443">
        <v>395.89</v>
      </c>
      <c r="L443" t="s">
        <v>48</v>
      </c>
      <c r="M443" t="s">
        <v>41</v>
      </c>
      <c r="N443" t="s">
        <v>49</v>
      </c>
      <c r="O443" s="5">
        <f t="shared" si="6"/>
        <v>0.37985262228704109</v>
      </c>
    </row>
    <row r="444" spans="1:15" x14ac:dyDescent="0.3">
      <c r="A444" t="s">
        <v>914</v>
      </c>
      <c r="B444" t="s">
        <v>306</v>
      </c>
      <c r="C444" t="s">
        <v>666</v>
      </c>
      <c r="D444" t="s">
        <v>123</v>
      </c>
      <c r="E444" t="s">
        <v>67</v>
      </c>
      <c r="F444" t="s">
        <v>68</v>
      </c>
      <c r="G444">
        <v>40</v>
      </c>
      <c r="H444">
        <v>30.56</v>
      </c>
      <c r="I444">
        <v>1222.4000000000001</v>
      </c>
      <c r="J444">
        <v>26.42</v>
      </c>
      <c r="K444">
        <v>295.98</v>
      </c>
      <c r="L444" t="s">
        <v>24</v>
      </c>
      <c r="M444" t="s">
        <v>25</v>
      </c>
      <c r="N444" t="s">
        <v>76</v>
      </c>
      <c r="O444" s="5">
        <f t="shared" si="6"/>
        <v>0.24213023560209423</v>
      </c>
    </row>
    <row r="445" spans="1:15" x14ac:dyDescent="0.3">
      <c r="A445" t="s">
        <v>915</v>
      </c>
      <c r="B445" t="s">
        <v>916</v>
      </c>
      <c r="C445" t="s">
        <v>227</v>
      </c>
      <c r="D445" t="s">
        <v>241</v>
      </c>
      <c r="E445" t="s">
        <v>22</v>
      </c>
      <c r="F445" t="s">
        <v>23</v>
      </c>
      <c r="G445">
        <v>15</v>
      </c>
      <c r="H445">
        <v>61.93</v>
      </c>
      <c r="I445">
        <v>928.95</v>
      </c>
      <c r="J445">
        <v>25.68</v>
      </c>
      <c r="K445">
        <v>378.27</v>
      </c>
      <c r="L445" t="s">
        <v>33</v>
      </c>
      <c r="M445" t="s">
        <v>41</v>
      </c>
      <c r="N445" t="s">
        <v>35</v>
      </c>
      <c r="O445" s="5">
        <f t="shared" si="6"/>
        <v>0.407201679315356</v>
      </c>
    </row>
    <row r="446" spans="1:15" x14ac:dyDescent="0.3">
      <c r="A446" t="s">
        <v>917</v>
      </c>
      <c r="B446" t="s">
        <v>918</v>
      </c>
      <c r="C446" t="s">
        <v>194</v>
      </c>
      <c r="D446" t="s">
        <v>51</v>
      </c>
      <c r="E446" t="s">
        <v>63</v>
      </c>
      <c r="F446" t="s">
        <v>47</v>
      </c>
      <c r="G446">
        <v>20</v>
      </c>
      <c r="H446">
        <v>35.770000000000003</v>
      </c>
      <c r="I446">
        <v>715.4</v>
      </c>
      <c r="J446">
        <v>39.229999999999997</v>
      </c>
      <c r="K446">
        <v>276.17</v>
      </c>
      <c r="L446" t="s">
        <v>24</v>
      </c>
      <c r="M446" t="s">
        <v>25</v>
      </c>
      <c r="N446" t="s">
        <v>76</v>
      </c>
      <c r="O446" s="5">
        <f t="shared" si="6"/>
        <v>0.38603578417668438</v>
      </c>
    </row>
    <row r="447" spans="1:15" x14ac:dyDescent="0.3">
      <c r="A447" t="s">
        <v>919</v>
      </c>
      <c r="B447" t="s">
        <v>860</v>
      </c>
      <c r="C447" t="s">
        <v>391</v>
      </c>
      <c r="D447" t="s">
        <v>31</v>
      </c>
      <c r="E447" t="s">
        <v>86</v>
      </c>
      <c r="F447" t="s">
        <v>47</v>
      </c>
      <c r="G447">
        <v>21</v>
      </c>
      <c r="H447">
        <v>22.48</v>
      </c>
      <c r="I447">
        <v>472.08</v>
      </c>
      <c r="J447">
        <v>12.96</v>
      </c>
      <c r="K447">
        <v>191.37</v>
      </c>
      <c r="L447" t="s">
        <v>33</v>
      </c>
      <c r="M447" t="s">
        <v>25</v>
      </c>
      <c r="N447" t="s">
        <v>35</v>
      </c>
      <c r="O447" s="5">
        <f t="shared" si="6"/>
        <v>0.40537620742247077</v>
      </c>
    </row>
    <row r="448" spans="1:15" x14ac:dyDescent="0.3">
      <c r="A448" t="s">
        <v>920</v>
      </c>
      <c r="B448" t="s">
        <v>921</v>
      </c>
      <c r="C448" t="s">
        <v>437</v>
      </c>
      <c r="D448" t="s">
        <v>51</v>
      </c>
      <c r="E448" t="s">
        <v>32</v>
      </c>
      <c r="F448" t="s">
        <v>23</v>
      </c>
      <c r="G448">
        <v>8</v>
      </c>
      <c r="H448">
        <v>27.53</v>
      </c>
      <c r="I448">
        <v>220.24</v>
      </c>
      <c r="J448">
        <v>12.66</v>
      </c>
      <c r="K448">
        <v>63.58</v>
      </c>
      <c r="L448" t="s">
        <v>33</v>
      </c>
      <c r="M448" t="s">
        <v>34</v>
      </c>
      <c r="N448" t="s">
        <v>76</v>
      </c>
      <c r="O448" s="5">
        <f t="shared" si="6"/>
        <v>0.28868507083181982</v>
      </c>
    </row>
    <row r="449" spans="1:15" x14ac:dyDescent="0.3">
      <c r="A449" t="s">
        <v>922</v>
      </c>
      <c r="B449" t="s">
        <v>300</v>
      </c>
      <c r="C449" t="s">
        <v>360</v>
      </c>
      <c r="D449" t="s">
        <v>70</v>
      </c>
      <c r="E449" t="s">
        <v>67</v>
      </c>
      <c r="F449" t="s">
        <v>68</v>
      </c>
      <c r="G449">
        <v>35</v>
      </c>
      <c r="H449">
        <v>39.65</v>
      </c>
      <c r="I449">
        <v>1387.75</v>
      </c>
      <c r="J449">
        <v>60.95</v>
      </c>
      <c r="K449">
        <v>539.29999999999995</v>
      </c>
      <c r="L449" t="s">
        <v>48</v>
      </c>
      <c r="M449" t="s">
        <v>34</v>
      </c>
      <c r="N449" t="s">
        <v>76</v>
      </c>
      <c r="O449" s="5">
        <f t="shared" si="6"/>
        <v>0.38861466402450007</v>
      </c>
    </row>
    <row r="450" spans="1:15" x14ac:dyDescent="0.3">
      <c r="A450" t="s">
        <v>923</v>
      </c>
      <c r="B450" t="s">
        <v>924</v>
      </c>
      <c r="C450" t="s">
        <v>288</v>
      </c>
      <c r="D450" t="s">
        <v>141</v>
      </c>
      <c r="E450" t="s">
        <v>81</v>
      </c>
      <c r="F450" t="s">
        <v>68</v>
      </c>
      <c r="G450">
        <v>50</v>
      </c>
      <c r="H450">
        <v>23.68</v>
      </c>
      <c r="I450">
        <v>1184</v>
      </c>
      <c r="J450">
        <v>46.62</v>
      </c>
      <c r="K450">
        <v>362.38</v>
      </c>
      <c r="L450" t="s">
        <v>33</v>
      </c>
      <c r="M450" t="s">
        <v>34</v>
      </c>
      <c r="N450" t="s">
        <v>142</v>
      </c>
      <c r="O450" s="5">
        <f t="shared" si="6"/>
        <v>0.30606418918918921</v>
      </c>
    </row>
    <row r="451" spans="1:15" x14ac:dyDescent="0.3">
      <c r="A451" t="s">
        <v>925</v>
      </c>
      <c r="B451" t="s">
        <v>703</v>
      </c>
      <c r="C451" t="s">
        <v>290</v>
      </c>
      <c r="D451" t="s">
        <v>123</v>
      </c>
      <c r="E451" t="s">
        <v>86</v>
      </c>
      <c r="F451" t="s">
        <v>47</v>
      </c>
      <c r="G451">
        <v>5</v>
      </c>
      <c r="H451">
        <v>19.809999999999999</v>
      </c>
      <c r="I451">
        <v>99.05</v>
      </c>
      <c r="J451">
        <v>5.91</v>
      </c>
      <c r="K451">
        <v>29.39</v>
      </c>
      <c r="L451" t="s">
        <v>33</v>
      </c>
      <c r="M451" t="s">
        <v>41</v>
      </c>
      <c r="N451" t="s">
        <v>76</v>
      </c>
      <c r="O451" s="5">
        <f t="shared" si="6"/>
        <v>0.2967188288743059</v>
      </c>
    </row>
    <row r="452" spans="1:15" x14ac:dyDescent="0.3">
      <c r="A452" t="s">
        <v>926</v>
      </c>
      <c r="B452" t="s">
        <v>243</v>
      </c>
      <c r="C452" t="s">
        <v>126</v>
      </c>
      <c r="D452" t="s">
        <v>45</v>
      </c>
      <c r="E452" t="s">
        <v>86</v>
      </c>
      <c r="F452" t="s">
        <v>47</v>
      </c>
      <c r="G452">
        <v>27</v>
      </c>
      <c r="H452">
        <v>18.03</v>
      </c>
      <c r="I452">
        <v>486.81</v>
      </c>
      <c r="J452">
        <v>36.630000000000003</v>
      </c>
      <c r="K452">
        <v>105.93</v>
      </c>
      <c r="L452" t="s">
        <v>24</v>
      </c>
      <c r="M452" t="s">
        <v>41</v>
      </c>
      <c r="N452" t="s">
        <v>49</v>
      </c>
      <c r="O452" s="5">
        <f t="shared" si="6"/>
        <v>0.21760029580329082</v>
      </c>
    </row>
    <row r="453" spans="1:15" x14ac:dyDescent="0.3">
      <c r="A453" t="s">
        <v>927</v>
      </c>
      <c r="B453" t="s">
        <v>928</v>
      </c>
      <c r="C453" t="s">
        <v>417</v>
      </c>
      <c r="D453" t="s">
        <v>141</v>
      </c>
      <c r="E453" t="s">
        <v>32</v>
      </c>
      <c r="F453" t="s">
        <v>23</v>
      </c>
      <c r="G453">
        <v>45</v>
      </c>
      <c r="H453">
        <v>26.93</v>
      </c>
      <c r="I453">
        <v>1211.8499999999999</v>
      </c>
      <c r="J453">
        <v>62.85</v>
      </c>
      <c r="K453">
        <v>339</v>
      </c>
      <c r="L453" t="s">
        <v>33</v>
      </c>
      <c r="M453" t="s">
        <v>34</v>
      </c>
      <c r="N453" t="s">
        <v>142</v>
      </c>
      <c r="O453" s="5">
        <f t="shared" si="6"/>
        <v>0.2797375912860503</v>
      </c>
    </row>
    <row r="454" spans="1:15" x14ac:dyDescent="0.3">
      <c r="A454" t="s">
        <v>929</v>
      </c>
      <c r="B454" t="s">
        <v>930</v>
      </c>
      <c r="C454" t="s">
        <v>505</v>
      </c>
      <c r="D454" t="s">
        <v>37</v>
      </c>
      <c r="E454" t="s">
        <v>63</v>
      </c>
      <c r="F454" t="s">
        <v>47</v>
      </c>
      <c r="G454">
        <v>40</v>
      </c>
      <c r="H454">
        <v>32.54</v>
      </c>
      <c r="I454">
        <v>1301.5999999999999</v>
      </c>
      <c r="J454">
        <v>47.06</v>
      </c>
      <c r="K454">
        <v>454.54</v>
      </c>
      <c r="L454" t="s">
        <v>24</v>
      </c>
      <c r="M454" t="s">
        <v>34</v>
      </c>
      <c r="N454" t="s">
        <v>35</v>
      </c>
      <c r="O454" s="5">
        <f t="shared" si="6"/>
        <v>0.34921634910878924</v>
      </c>
    </row>
    <row r="455" spans="1:15" x14ac:dyDescent="0.3">
      <c r="A455" t="s">
        <v>931</v>
      </c>
      <c r="B455" t="s">
        <v>892</v>
      </c>
      <c r="C455" t="s">
        <v>140</v>
      </c>
      <c r="D455" t="s">
        <v>70</v>
      </c>
      <c r="E455" t="s">
        <v>67</v>
      </c>
      <c r="F455" t="s">
        <v>68</v>
      </c>
      <c r="G455">
        <v>26</v>
      </c>
      <c r="H455">
        <v>35.32</v>
      </c>
      <c r="I455">
        <v>918.32</v>
      </c>
      <c r="J455">
        <v>60.02</v>
      </c>
      <c r="K455">
        <v>273.3</v>
      </c>
      <c r="L455" t="s">
        <v>48</v>
      </c>
      <c r="M455" t="s">
        <v>25</v>
      </c>
      <c r="N455" t="s">
        <v>76</v>
      </c>
      <c r="O455" s="5">
        <f t="shared" ref="O455:O505" si="7">K455/I455</f>
        <v>0.29760867671399949</v>
      </c>
    </row>
    <row r="456" spans="1:15" x14ac:dyDescent="0.3">
      <c r="A456" t="s">
        <v>932</v>
      </c>
      <c r="B456" t="s">
        <v>921</v>
      </c>
      <c r="C456" t="s">
        <v>151</v>
      </c>
      <c r="D456" t="s">
        <v>45</v>
      </c>
      <c r="E456" t="s">
        <v>86</v>
      </c>
      <c r="F456" t="s">
        <v>47</v>
      </c>
      <c r="G456">
        <v>16</v>
      </c>
      <c r="H456">
        <v>16.440000000000001</v>
      </c>
      <c r="I456">
        <v>263.04000000000002</v>
      </c>
      <c r="J456">
        <v>17.64</v>
      </c>
      <c r="K456">
        <v>41.4</v>
      </c>
      <c r="L456" t="s">
        <v>24</v>
      </c>
      <c r="M456" t="s">
        <v>25</v>
      </c>
      <c r="N456" t="s">
        <v>49</v>
      </c>
      <c r="O456" s="5">
        <f t="shared" si="7"/>
        <v>0.1573905109489051</v>
      </c>
    </row>
    <row r="457" spans="1:15" x14ac:dyDescent="0.3">
      <c r="A457" t="s">
        <v>933</v>
      </c>
      <c r="B457" t="s">
        <v>319</v>
      </c>
      <c r="C457" t="s">
        <v>360</v>
      </c>
      <c r="D457" t="s">
        <v>171</v>
      </c>
      <c r="E457" t="s">
        <v>137</v>
      </c>
      <c r="F457" t="s">
        <v>68</v>
      </c>
      <c r="G457">
        <v>39</v>
      </c>
      <c r="H457">
        <v>46.27</v>
      </c>
      <c r="I457">
        <v>1804.53</v>
      </c>
      <c r="J457">
        <v>38.57</v>
      </c>
      <c r="K457">
        <v>673.96</v>
      </c>
      <c r="L457" t="s">
        <v>48</v>
      </c>
      <c r="M457" t="s">
        <v>41</v>
      </c>
      <c r="N457" t="s">
        <v>35</v>
      </c>
      <c r="O457" s="5">
        <f t="shared" si="7"/>
        <v>0.37348229178788939</v>
      </c>
    </row>
    <row r="458" spans="1:15" x14ac:dyDescent="0.3">
      <c r="A458" t="s">
        <v>934</v>
      </c>
      <c r="B458" t="s">
        <v>745</v>
      </c>
      <c r="C458" t="s">
        <v>246</v>
      </c>
      <c r="D458" t="s">
        <v>31</v>
      </c>
      <c r="E458" t="s">
        <v>74</v>
      </c>
      <c r="F458" t="s">
        <v>75</v>
      </c>
      <c r="G458">
        <v>15</v>
      </c>
      <c r="H458">
        <v>33.22</v>
      </c>
      <c r="I458">
        <v>498.3</v>
      </c>
      <c r="J458">
        <v>36.85</v>
      </c>
      <c r="K458">
        <v>86.45</v>
      </c>
      <c r="L458" t="s">
        <v>48</v>
      </c>
      <c r="M458" t="s">
        <v>41</v>
      </c>
      <c r="N458" t="s">
        <v>35</v>
      </c>
      <c r="O458" s="5">
        <f t="shared" si="7"/>
        <v>0.17348986554284568</v>
      </c>
    </row>
    <row r="459" spans="1:15" x14ac:dyDescent="0.3">
      <c r="A459" t="s">
        <v>935</v>
      </c>
      <c r="B459" t="s">
        <v>696</v>
      </c>
      <c r="C459" t="s">
        <v>328</v>
      </c>
      <c r="D459" t="s">
        <v>141</v>
      </c>
      <c r="E459" t="s">
        <v>56</v>
      </c>
      <c r="F459" t="s">
        <v>57</v>
      </c>
      <c r="G459">
        <v>35</v>
      </c>
      <c r="H459">
        <v>71.02</v>
      </c>
      <c r="I459">
        <v>2485.6999999999998</v>
      </c>
      <c r="J459">
        <v>137.22</v>
      </c>
      <c r="K459">
        <v>948.48</v>
      </c>
      <c r="L459" t="s">
        <v>33</v>
      </c>
      <c r="M459" t="s">
        <v>34</v>
      </c>
      <c r="N459" t="s">
        <v>142</v>
      </c>
      <c r="O459" s="5">
        <f t="shared" si="7"/>
        <v>0.38157460675061355</v>
      </c>
    </row>
    <row r="460" spans="1:15" x14ac:dyDescent="0.3">
      <c r="A460" t="s">
        <v>936</v>
      </c>
      <c r="B460" t="s">
        <v>561</v>
      </c>
      <c r="C460" t="s">
        <v>165</v>
      </c>
      <c r="D460" t="s">
        <v>123</v>
      </c>
      <c r="E460" t="s">
        <v>137</v>
      </c>
      <c r="F460" t="s">
        <v>68</v>
      </c>
      <c r="G460">
        <v>2</v>
      </c>
      <c r="H460">
        <v>42.31</v>
      </c>
      <c r="I460">
        <v>84.62</v>
      </c>
      <c r="J460">
        <v>4.28</v>
      </c>
      <c r="K460">
        <v>24.34</v>
      </c>
      <c r="L460" t="s">
        <v>33</v>
      </c>
      <c r="M460" t="s">
        <v>34</v>
      </c>
      <c r="N460" t="s">
        <v>76</v>
      </c>
      <c r="O460" s="5">
        <f t="shared" si="7"/>
        <v>0.28763885606239659</v>
      </c>
    </row>
    <row r="461" spans="1:15" x14ac:dyDescent="0.3">
      <c r="A461" t="s">
        <v>937</v>
      </c>
      <c r="B461" t="s">
        <v>153</v>
      </c>
      <c r="C461" t="s">
        <v>148</v>
      </c>
      <c r="D461" t="s">
        <v>116</v>
      </c>
      <c r="E461" t="s">
        <v>74</v>
      </c>
      <c r="F461" t="s">
        <v>75</v>
      </c>
      <c r="G461">
        <v>8</v>
      </c>
      <c r="H461">
        <v>41.36</v>
      </c>
      <c r="I461">
        <v>330.88</v>
      </c>
      <c r="J461">
        <v>11.78</v>
      </c>
      <c r="K461">
        <v>119.1</v>
      </c>
      <c r="L461" t="s">
        <v>24</v>
      </c>
      <c r="M461" t="s">
        <v>25</v>
      </c>
      <c r="N461" t="s">
        <v>76</v>
      </c>
      <c r="O461" s="5">
        <f t="shared" si="7"/>
        <v>0.35994922630560927</v>
      </c>
    </row>
    <row r="462" spans="1:15" x14ac:dyDescent="0.3">
      <c r="A462" t="s">
        <v>938</v>
      </c>
      <c r="B462" t="s">
        <v>939</v>
      </c>
      <c r="C462" t="s">
        <v>194</v>
      </c>
      <c r="D462" t="s">
        <v>55</v>
      </c>
      <c r="E462" t="s">
        <v>32</v>
      </c>
      <c r="F462" t="s">
        <v>23</v>
      </c>
      <c r="G462">
        <v>3</v>
      </c>
      <c r="H462">
        <v>31.39</v>
      </c>
      <c r="I462">
        <v>94.17</v>
      </c>
      <c r="J462">
        <v>2.52</v>
      </c>
      <c r="K462">
        <v>37.65</v>
      </c>
      <c r="L462" t="s">
        <v>48</v>
      </c>
      <c r="M462" t="s">
        <v>41</v>
      </c>
      <c r="N462" t="s">
        <v>98</v>
      </c>
      <c r="O462" s="5">
        <f t="shared" si="7"/>
        <v>0.39980885632366991</v>
      </c>
    </row>
    <row r="463" spans="1:15" x14ac:dyDescent="0.3">
      <c r="A463" t="s">
        <v>940</v>
      </c>
      <c r="B463" t="s">
        <v>941</v>
      </c>
      <c r="C463" t="s">
        <v>232</v>
      </c>
      <c r="D463" t="s">
        <v>171</v>
      </c>
      <c r="E463" t="s">
        <v>67</v>
      </c>
      <c r="F463" t="s">
        <v>68</v>
      </c>
      <c r="G463">
        <v>48</v>
      </c>
      <c r="H463">
        <v>33.61</v>
      </c>
      <c r="I463">
        <v>1613.28</v>
      </c>
      <c r="J463">
        <v>109.92</v>
      </c>
      <c r="K463">
        <v>423.36</v>
      </c>
      <c r="L463" t="s">
        <v>24</v>
      </c>
      <c r="M463" t="s">
        <v>41</v>
      </c>
      <c r="N463" t="s">
        <v>35</v>
      </c>
      <c r="O463" s="5">
        <f t="shared" si="7"/>
        <v>0.26242189824457007</v>
      </c>
    </row>
    <row r="464" spans="1:15" x14ac:dyDescent="0.3">
      <c r="A464" t="s">
        <v>942</v>
      </c>
      <c r="B464" t="s">
        <v>943</v>
      </c>
      <c r="C464" t="s">
        <v>277</v>
      </c>
      <c r="D464" t="s">
        <v>241</v>
      </c>
      <c r="E464" t="s">
        <v>46</v>
      </c>
      <c r="F464" t="s">
        <v>47</v>
      </c>
      <c r="G464">
        <v>9</v>
      </c>
      <c r="H464">
        <v>50.29</v>
      </c>
      <c r="I464">
        <v>452.61</v>
      </c>
      <c r="J464">
        <v>32.93</v>
      </c>
      <c r="K464">
        <v>131.68</v>
      </c>
      <c r="L464" t="s">
        <v>33</v>
      </c>
      <c r="M464" t="s">
        <v>41</v>
      </c>
      <c r="N464" t="s">
        <v>35</v>
      </c>
      <c r="O464" s="5">
        <f t="shared" si="7"/>
        <v>0.29093480038001812</v>
      </c>
    </row>
    <row r="465" spans="1:15" x14ac:dyDescent="0.3">
      <c r="A465" t="s">
        <v>944</v>
      </c>
      <c r="B465" t="s">
        <v>945</v>
      </c>
      <c r="C465" t="s">
        <v>232</v>
      </c>
      <c r="D465" t="s">
        <v>21</v>
      </c>
      <c r="E465" t="s">
        <v>67</v>
      </c>
      <c r="F465" t="s">
        <v>68</v>
      </c>
      <c r="G465">
        <v>12</v>
      </c>
      <c r="H465">
        <v>34.96</v>
      </c>
      <c r="I465">
        <v>419.52</v>
      </c>
      <c r="J465">
        <v>15.43</v>
      </c>
      <c r="K465">
        <v>134.09</v>
      </c>
      <c r="L465" t="s">
        <v>33</v>
      </c>
      <c r="M465" t="s">
        <v>41</v>
      </c>
      <c r="N465" t="s">
        <v>98</v>
      </c>
      <c r="O465" s="5">
        <f t="shared" si="7"/>
        <v>0.31962719298245618</v>
      </c>
    </row>
    <row r="466" spans="1:15" x14ac:dyDescent="0.3">
      <c r="A466" t="s">
        <v>946</v>
      </c>
      <c r="B466" t="s">
        <v>947</v>
      </c>
      <c r="C466" t="s">
        <v>586</v>
      </c>
      <c r="D466" t="s">
        <v>206</v>
      </c>
      <c r="E466" t="s">
        <v>22</v>
      </c>
      <c r="F466" t="s">
        <v>23</v>
      </c>
      <c r="G466">
        <v>29</v>
      </c>
      <c r="H466">
        <v>52.72</v>
      </c>
      <c r="I466">
        <v>1528.88</v>
      </c>
      <c r="J466">
        <v>96.91</v>
      </c>
      <c r="K466">
        <v>416.97</v>
      </c>
      <c r="L466" t="s">
        <v>33</v>
      </c>
      <c r="M466" t="s">
        <v>41</v>
      </c>
      <c r="N466" t="s">
        <v>207</v>
      </c>
      <c r="O466" s="5">
        <f t="shared" si="7"/>
        <v>0.27272905656428237</v>
      </c>
    </row>
    <row r="467" spans="1:15" x14ac:dyDescent="0.3">
      <c r="A467" t="s">
        <v>948</v>
      </c>
      <c r="B467" t="s">
        <v>354</v>
      </c>
      <c r="C467" t="s">
        <v>521</v>
      </c>
      <c r="D467" t="s">
        <v>55</v>
      </c>
      <c r="E467" t="s">
        <v>81</v>
      </c>
      <c r="F467" t="s">
        <v>68</v>
      </c>
      <c r="G467">
        <v>39</v>
      </c>
      <c r="H467">
        <v>22.18</v>
      </c>
      <c r="I467">
        <v>865.02</v>
      </c>
      <c r="J467">
        <v>26.23</v>
      </c>
      <c r="K467">
        <v>234.29</v>
      </c>
      <c r="L467" t="s">
        <v>24</v>
      </c>
      <c r="M467" t="s">
        <v>41</v>
      </c>
      <c r="N467" t="s">
        <v>98</v>
      </c>
      <c r="O467" s="5">
        <f t="shared" si="7"/>
        <v>0.27084922891956253</v>
      </c>
    </row>
    <row r="468" spans="1:15" x14ac:dyDescent="0.3">
      <c r="A468" t="s">
        <v>949</v>
      </c>
      <c r="B468" t="s">
        <v>303</v>
      </c>
      <c r="C468" t="s">
        <v>511</v>
      </c>
      <c r="D468" t="s">
        <v>116</v>
      </c>
      <c r="E468" t="s">
        <v>81</v>
      </c>
      <c r="F468" t="s">
        <v>68</v>
      </c>
      <c r="G468">
        <v>11</v>
      </c>
      <c r="H468">
        <v>21.4</v>
      </c>
      <c r="I468">
        <v>235.4</v>
      </c>
      <c r="J468">
        <v>11.64</v>
      </c>
      <c r="K468">
        <v>53.26</v>
      </c>
      <c r="L468" t="s">
        <v>24</v>
      </c>
      <c r="M468" t="s">
        <v>41</v>
      </c>
      <c r="N468" t="s">
        <v>76</v>
      </c>
      <c r="O468" s="5">
        <f t="shared" si="7"/>
        <v>0.22625318606627015</v>
      </c>
    </row>
    <row r="469" spans="1:15" x14ac:dyDescent="0.3">
      <c r="A469" t="s">
        <v>950</v>
      </c>
      <c r="B469" t="s">
        <v>951</v>
      </c>
      <c r="C469" t="s">
        <v>462</v>
      </c>
      <c r="D469" t="s">
        <v>116</v>
      </c>
      <c r="E469" t="s">
        <v>74</v>
      </c>
      <c r="F469" t="s">
        <v>75</v>
      </c>
      <c r="G469">
        <v>21</v>
      </c>
      <c r="H469">
        <v>36.26</v>
      </c>
      <c r="I469">
        <v>761.46</v>
      </c>
      <c r="J469">
        <v>56.99</v>
      </c>
      <c r="K469">
        <v>179.47</v>
      </c>
      <c r="L469" t="s">
        <v>33</v>
      </c>
      <c r="M469" t="s">
        <v>25</v>
      </c>
      <c r="N469" t="s">
        <v>76</v>
      </c>
      <c r="O469" s="5">
        <f t="shared" si="7"/>
        <v>0.23569196018175609</v>
      </c>
    </row>
    <row r="470" spans="1:15" x14ac:dyDescent="0.3">
      <c r="A470" t="s">
        <v>952</v>
      </c>
      <c r="B470" t="s">
        <v>457</v>
      </c>
      <c r="C470" t="s">
        <v>328</v>
      </c>
      <c r="D470" t="s">
        <v>51</v>
      </c>
      <c r="E470" t="s">
        <v>67</v>
      </c>
      <c r="F470" t="s">
        <v>68</v>
      </c>
      <c r="G470">
        <v>39</v>
      </c>
      <c r="H470">
        <v>35.409999999999997</v>
      </c>
      <c r="I470">
        <v>1380.99</v>
      </c>
      <c r="J470">
        <v>84.56</v>
      </c>
      <c r="K470">
        <v>418.93</v>
      </c>
      <c r="L470" t="s">
        <v>33</v>
      </c>
      <c r="M470" t="s">
        <v>25</v>
      </c>
      <c r="N470" t="s">
        <v>76</v>
      </c>
      <c r="O470" s="5">
        <f t="shared" si="7"/>
        <v>0.30335483964402349</v>
      </c>
    </row>
    <row r="471" spans="1:15" x14ac:dyDescent="0.3">
      <c r="A471" t="s">
        <v>953</v>
      </c>
      <c r="B471" t="s">
        <v>515</v>
      </c>
      <c r="C471" t="s">
        <v>177</v>
      </c>
      <c r="D471" t="s">
        <v>51</v>
      </c>
      <c r="E471" t="s">
        <v>32</v>
      </c>
      <c r="F471" t="s">
        <v>23</v>
      </c>
      <c r="G471">
        <v>13</v>
      </c>
      <c r="H471">
        <v>27.35</v>
      </c>
      <c r="I471">
        <v>355.55</v>
      </c>
      <c r="J471">
        <v>26.23</v>
      </c>
      <c r="K471">
        <v>95.32</v>
      </c>
      <c r="L471" t="s">
        <v>33</v>
      </c>
      <c r="M471" t="s">
        <v>41</v>
      </c>
      <c r="N471" t="s">
        <v>76</v>
      </c>
      <c r="O471" s="5">
        <f t="shared" si="7"/>
        <v>0.26809168893263957</v>
      </c>
    </row>
    <row r="472" spans="1:15" x14ac:dyDescent="0.3">
      <c r="A472" t="s">
        <v>954</v>
      </c>
      <c r="B472" t="s">
        <v>686</v>
      </c>
      <c r="C472" t="s">
        <v>148</v>
      </c>
      <c r="D472" t="s">
        <v>45</v>
      </c>
      <c r="E472" t="s">
        <v>86</v>
      </c>
      <c r="F472" t="s">
        <v>47</v>
      </c>
      <c r="G472">
        <v>40</v>
      </c>
      <c r="H472">
        <v>21.08</v>
      </c>
      <c r="I472">
        <v>843.2</v>
      </c>
      <c r="J472">
        <v>66.81</v>
      </c>
      <c r="K472">
        <v>266.39</v>
      </c>
      <c r="L472" t="s">
        <v>48</v>
      </c>
      <c r="M472" t="s">
        <v>34</v>
      </c>
      <c r="N472" t="s">
        <v>49</v>
      </c>
      <c r="O472" s="5">
        <f t="shared" si="7"/>
        <v>0.3159274193548387</v>
      </c>
    </row>
    <row r="473" spans="1:15" x14ac:dyDescent="0.3">
      <c r="A473" t="s">
        <v>955</v>
      </c>
      <c r="B473" t="s">
        <v>740</v>
      </c>
      <c r="C473" t="s">
        <v>586</v>
      </c>
      <c r="D473" t="s">
        <v>62</v>
      </c>
      <c r="E473" t="s">
        <v>81</v>
      </c>
      <c r="F473" t="s">
        <v>68</v>
      </c>
      <c r="G473">
        <v>47</v>
      </c>
      <c r="H473">
        <v>27.54</v>
      </c>
      <c r="I473">
        <v>1294.3800000000001</v>
      </c>
      <c r="J473">
        <v>62.78</v>
      </c>
      <c r="K473">
        <v>503.1</v>
      </c>
      <c r="L473" t="s">
        <v>24</v>
      </c>
      <c r="M473" t="s">
        <v>25</v>
      </c>
      <c r="N473" t="s">
        <v>98</v>
      </c>
      <c r="O473" s="5">
        <f t="shared" si="7"/>
        <v>0.38868029481296062</v>
      </c>
    </row>
    <row r="474" spans="1:15" x14ac:dyDescent="0.3">
      <c r="A474" t="s">
        <v>956</v>
      </c>
      <c r="B474" t="s">
        <v>957</v>
      </c>
      <c r="C474" t="s">
        <v>44</v>
      </c>
      <c r="D474" t="s">
        <v>70</v>
      </c>
      <c r="E474" t="s">
        <v>46</v>
      </c>
      <c r="F474" t="s">
        <v>47</v>
      </c>
      <c r="G474">
        <v>16</v>
      </c>
      <c r="H474">
        <v>45.08</v>
      </c>
      <c r="I474">
        <v>721.28</v>
      </c>
      <c r="J474">
        <v>21.61</v>
      </c>
      <c r="K474">
        <v>187.67</v>
      </c>
      <c r="L474" t="s">
        <v>33</v>
      </c>
      <c r="M474" t="s">
        <v>41</v>
      </c>
      <c r="N474" t="s">
        <v>76</v>
      </c>
      <c r="O474" s="5">
        <f t="shared" si="7"/>
        <v>0.26019021739130432</v>
      </c>
    </row>
    <row r="475" spans="1:15" x14ac:dyDescent="0.3">
      <c r="A475" t="s">
        <v>958</v>
      </c>
      <c r="B475" t="s">
        <v>723</v>
      </c>
      <c r="C475" t="s">
        <v>197</v>
      </c>
      <c r="D475" t="s">
        <v>123</v>
      </c>
      <c r="E475" t="s">
        <v>67</v>
      </c>
      <c r="F475" t="s">
        <v>68</v>
      </c>
      <c r="G475">
        <v>37</v>
      </c>
      <c r="H475">
        <v>33.200000000000003</v>
      </c>
      <c r="I475">
        <v>1228.4000000000001</v>
      </c>
      <c r="J475">
        <v>41.34</v>
      </c>
      <c r="K475">
        <v>354.56</v>
      </c>
      <c r="L475" t="s">
        <v>48</v>
      </c>
      <c r="M475" t="s">
        <v>34</v>
      </c>
      <c r="N475" t="s">
        <v>76</v>
      </c>
      <c r="O475" s="5">
        <f t="shared" si="7"/>
        <v>0.28863562357538258</v>
      </c>
    </row>
    <row r="476" spans="1:15" x14ac:dyDescent="0.3">
      <c r="A476" t="s">
        <v>959</v>
      </c>
      <c r="B476" t="s">
        <v>187</v>
      </c>
      <c r="C476" t="s">
        <v>20</v>
      </c>
      <c r="D476" t="s">
        <v>123</v>
      </c>
      <c r="E476" t="s">
        <v>32</v>
      </c>
      <c r="F476" t="s">
        <v>23</v>
      </c>
      <c r="G476">
        <v>8</v>
      </c>
      <c r="H476">
        <v>27.31</v>
      </c>
      <c r="I476">
        <v>218.48</v>
      </c>
      <c r="J476">
        <v>9.51</v>
      </c>
      <c r="K476">
        <v>64.97</v>
      </c>
      <c r="L476" t="s">
        <v>48</v>
      </c>
      <c r="M476" t="s">
        <v>25</v>
      </c>
      <c r="N476" t="s">
        <v>76</v>
      </c>
      <c r="O476" s="5">
        <f t="shared" si="7"/>
        <v>0.29737275723178325</v>
      </c>
    </row>
    <row r="477" spans="1:15" x14ac:dyDescent="0.3">
      <c r="A477" t="s">
        <v>960</v>
      </c>
      <c r="B477" t="s">
        <v>484</v>
      </c>
      <c r="C477" t="s">
        <v>157</v>
      </c>
      <c r="D477" t="s">
        <v>141</v>
      </c>
      <c r="E477" t="s">
        <v>32</v>
      </c>
      <c r="F477" t="s">
        <v>23</v>
      </c>
      <c r="G477">
        <v>19</v>
      </c>
      <c r="H477">
        <v>29.14</v>
      </c>
      <c r="I477">
        <v>553.66</v>
      </c>
      <c r="J477">
        <v>19.7</v>
      </c>
      <c r="K477">
        <v>191.96</v>
      </c>
      <c r="L477" t="s">
        <v>24</v>
      </c>
      <c r="M477" t="s">
        <v>34</v>
      </c>
      <c r="N477" t="s">
        <v>142</v>
      </c>
      <c r="O477" s="5">
        <f t="shared" si="7"/>
        <v>0.34671097785644622</v>
      </c>
    </row>
    <row r="478" spans="1:15" x14ac:dyDescent="0.3">
      <c r="A478" t="s">
        <v>961</v>
      </c>
      <c r="B478" t="s">
        <v>300</v>
      </c>
      <c r="C478" t="s">
        <v>331</v>
      </c>
      <c r="D478" t="s">
        <v>116</v>
      </c>
      <c r="E478" t="s">
        <v>22</v>
      </c>
      <c r="F478" t="s">
        <v>23</v>
      </c>
      <c r="G478">
        <v>6</v>
      </c>
      <c r="H478">
        <v>55.41</v>
      </c>
      <c r="I478">
        <v>332.46</v>
      </c>
      <c r="J478">
        <v>15.57</v>
      </c>
      <c r="K478">
        <v>106.89</v>
      </c>
      <c r="L478" t="s">
        <v>24</v>
      </c>
      <c r="M478" t="s">
        <v>25</v>
      </c>
      <c r="N478" t="s">
        <v>76</v>
      </c>
      <c r="O478" s="5">
        <f t="shared" si="7"/>
        <v>0.3215123623894604</v>
      </c>
    </row>
    <row r="479" spans="1:15" x14ac:dyDescent="0.3">
      <c r="A479" t="s">
        <v>962</v>
      </c>
      <c r="B479" t="s">
        <v>406</v>
      </c>
      <c r="C479" t="s">
        <v>307</v>
      </c>
      <c r="D479" t="s">
        <v>123</v>
      </c>
      <c r="E479" t="s">
        <v>32</v>
      </c>
      <c r="F479" t="s">
        <v>23</v>
      </c>
      <c r="G479">
        <v>48</v>
      </c>
      <c r="H479">
        <v>29.07</v>
      </c>
      <c r="I479">
        <v>1395.36</v>
      </c>
      <c r="J479">
        <v>70.38</v>
      </c>
      <c r="K479">
        <v>460.98</v>
      </c>
      <c r="L479" t="s">
        <v>33</v>
      </c>
      <c r="M479" t="s">
        <v>41</v>
      </c>
      <c r="N479" t="s">
        <v>76</v>
      </c>
      <c r="O479" s="5">
        <f t="shared" si="7"/>
        <v>0.33036635706914347</v>
      </c>
    </row>
    <row r="480" spans="1:15" x14ac:dyDescent="0.3">
      <c r="A480" t="s">
        <v>963</v>
      </c>
      <c r="B480" t="s">
        <v>964</v>
      </c>
      <c r="C480" t="s">
        <v>455</v>
      </c>
      <c r="D480" t="s">
        <v>45</v>
      </c>
      <c r="E480" t="s">
        <v>67</v>
      </c>
      <c r="F480" t="s">
        <v>68</v>
      </c>
      <c r="G480">
        <v>26</v>
      </c>
      <c r="H480">
        <v>27.17</v>
      </c>
      <c r="I480">
        <v>706.42</v>
      </c>
      <c r="J480">
        <v>33.94</v>
      </c>
      <c r="K480">
        <v>87.48</v>
      </c>
      <c r="L480" t="s">
        <v>48</v>
      </c>
      <c r="M480" t="s">
        <v>34</v>
      </c>
      <c r="N480" t="s">
        <v>49</v>
      </c>
      <c r="O480" s="5">
        <f t="shared" si="7"/>
        <v>0.12383567849154895</v>
      </c>
    </row>
    <row r="481" spans="1:15" x14ac:dyDescent="0.3">
      <c r="A481" t="s">
        <v>965</v>
      </c>
      <c r="B481" t="s">
        <v>243</v>
      </c>
      <c r="C481" t="s">
        <v>170</v>
      </c>
      <c r="D481" t="s">
        <v>127</v>
      </c>
      <c r="E481" t="s">
        <v>22</v>
      </c>
      <c r="F481" t="s">
        <v>23</v>
      </c>
      <c r="G481">
        <v>9</v>
      </c>
      <c r="H481">
        <v>48.76</v>
      </c>
      <c r="I481">
        <v>438.84</v>
      </c>
      <c r="J481">
        <v>16.91</v>
      </c>
      <c r="K481">
        <v>106.93</v>
      </c>
      <c r="L481" t="s">
        <v>48</v>
      </c>
      <c r="M481" t="s">
        <v>25</v>
      </c>
      <c r="N481" t="s">
        <v>76</v>
      </c>
      <c r="O481" s="5">
        <f t="shared" si="7"/>
        <v>0.24366511712697114</v>
      </c>
    </row>
    <row r="482" spans="1:15" x14ac:dyDescent="0.3">
      <c r="A482" t="s">
        <v>966</v>
      </c>
      <c r="B482" t="s">
        <v>686</v>
      </c>
      <c r="C482" t="s">
        <v>360</v>
      </c>
      <c r="D482" t="s">
        <v>31</v>
      </c>
      <c r="E482" t="s">
        <v>67</v>
      </c>
      <c r="F482" t="s">
        <v>68</v>
      </c>
      <c r="G482">
        <v>37</v>
      </c>
      <c r="H482">
        <v>33.21</v>
      </c>
      <c r="I482">
        <v>1228.77</v>
      </c>
      <c r="J482">
        <v>96.12</v>
      </c>
      <c r="K482">
        <v>300.14999999999998</v>
      </c>
      <c r="L482" t="s">
        <v>48</v>
      </c>
      <c r="M482" t="s">
        <v>34</v>
      </c>
      <c r="N482" t="s">
        <v>35</v>
      </c>
      <c r="O482" s="5">
        <f t="shared" si="7"/>
        <v>0.24426865890280522</v>
      </c>
    </row>
    <row r="483" spans="1:15" x14ac:dyDescent="0.3">
      <c r="A483" t="s">
        <v>967</v>
      </c>
      <c r="B483" t="s">
        <v>672</v>
      </c>
      <c r="C483" t="s">
        <v>170</v>
      </c>
      <c r="D483" t="s">
        <v>45</v>
      </c>
      <c r="E483" t="s">
        <v>86</v>
      </c>
      <c r="F483" t="s">
        <v>47</v>
      </c>
      <c r="G483">
        <v>29</v>
      </c>
      <c r="H483">
        <v>16.54</v>
      </c>
      <c r="I483">
        <v>479.66</v>
      </c>
      <c r="J483">
        <v>30.23</v>
      </c>
      <c r="K483">
        <v>79.680000000000007</v>
      </c>
      <c r="L483" t="s">
        <v>33</v>
      </c>
      <c r="M483" t="s">
        <v>41</v>
      </c>
      <c r="N483" t="s">
        <v>49</v>
      </c>
      <c r="O483" s="5">
        <f t="shared" si="7"/>
        <v>0.16611766668056541</v>
      </c>
    </row>
    <row r="484" spans="1:15" x14ac:dyDescent="0.3">
      <c r="A484" t="s">
        <v>968</v>
      </c>
      <c r="B484" t="s">
        <v>224</v>
      </c>
      <c r="C484" t="s">
        <v>126</v>
      </c>
      <c r="D484" t="s">
        <v>206</v>
      </c>
      <c r="E484" t="s">
        <v>74</v>
      </c>
      <c r="F484" t="s">
        <v>75</v>
      </c>
      <c r="G484">
        <v>11</v>
      </c>
      <c r="H484">
        <v>44.56</v>
      </c>
      <c r="I484">
        <v>490.16</v>
      </c>
      <c r="J484">
        <v>23.97</v>
      </c>
      <c r="K484">
        <v>191.19</v>
      </c>
      <c r="L484" t="s">
        <v>33</v>
      </c>
      <c r="M484" t="s">
        <v>41</v>
      </c>
      <c r="N484" t="s">
        <v>207</v>
      </c>
      <c r="O484" s="5">
        <f t="shared" si="7"/>
        <v>0.39005630814427938</v>
      </c>
    </row>
    <row r="485" spans="1:15" x14ac:dyDescent="0.3">
      <c r="A485" t="s">
        <v>969</v>
      </c>
      <c r="B485" t="s">
        <v>675</v>
      </c>
      <c r="C485" t="s">
        <v>66</v>
      </c>
      <c r="D485" t="s">
        <v>62</v>
      </c>
      <c r="E485" t="s">
        <v>46</v>
      </c>
      <c r="F485" t="s">
        <v>47</v>
      </c>
      <c r="G485">
        <v>50</v>
      </c>
      <c r="H485">
        <v>44.78</v>
      </c>
      <c r="I485">
        <v>2239</v>
      </c>
      <c r="J485">
        <v>169.97</v>
      </c>
      <c r="K485">
        <v>469.03</v>
      </c>
      <c r="L485" t="s">
        <v>24</v>
      </c>
      <c r="M485" t="s">
        <v>41</v>
      </c>
      <c r="N485" t="s">
        <v>98</v>
      </c>
      <c r="O485" s="5">
        <f t="shared" si="7"/>
        <v>0.20948191156766413</v>
      </c>
    </row>
    <row r="486" spans="1:15" x14ac:dyDescent="0.3">
      <c r="A486" t="s">
        <v>970</v>
      </c>
      <c r="B486" t="s">
        <v>971</v>
      </c>
      <c r="C486" t="s">
        <v>122</v>
      </c>
      <c r="D486" t="s">
        <v>21</v>
      </c>
      <c r="E486" t="s">
        <v>32</v>
      </c>
      <c r="F486" t="s">
        <v>23</v>
      </c>
      <c r="G486">
        <v>30</v>
      </c>
      <c r="H486">
        <v>22.51</v>
      </c>
      <c r="I486">
        <v>675.3</v>
      </c>
      <c r="J486">
        <v>26.26</v>
      </c>
      <c r="K486">
        <v>109.04</v>
      </c>
      <c r="L486" t="s">
        <v>24</v>
      </c>
      <c r="M486" t="s">
        <v>25</v>
      </c>
      <c r="N486" t="s">
        <v>98</v>
      </c>
      <c r="O486" s="5">
        <f t="shared" si="7"/>
        <v>0.16146897675107361</v>
      </c>
    </row>
    <row r="487" spans="1:15" x14ac:dyDescent="0.3">
      <c r="A487" t="s">
        <v>972</v>
      </c>
      <c r="B487" t="s">
        <v>973</v>
      </c>
      <c r="C487" t="s">
        <v>391</v>
      </c>
      <c r="D487" t="s">
        <v>206</v>
      </c>
      <c r="E487" t="s">
        <v>81</v>
      </c>
      <c r="F487" t="s">
        <v>68</v>
      </c>
      <c r="G487">
        <v>50</v>
      </c>
      <c r="H487">
        <v>27.18</v>
      </c>
      <c r="I487">
        <v>1359</v>
      </c>
      <c r="J487">
        <v>45.67</v>
      </c>
      <c r="K487">
        <v>538.33000000000004</v>
      </c>
      <c r="L487" t="s">
        <v>24</v>
      </c>
      <c r="M487" t="s">
        <v>41</v>
      </c>
      <c r="N487" t="s">
        <v>207</v>
      </c>
      <c r="O487" s="5">
        <f t="shared" si="7"/>
        <v>0.39612214863870499</v>
      </c>
    </row>
    <row r="488" spans="1:15" x14ac:dyDescent="0.3">
      <c r="A488" t="s">
        <v>974</v>
      </c>
      <c r="B488" t="s">
        <v>706</v>
      </c>
      <c r="C488" t="s">
        <v>216</v>
      </c>
      <c r="D488" t="s">
        <v>37</v>
      </c>
      <c r="E488" t="s">
        <v>137</v>
      </c>
      <c r="F488" t="s">
        <v>68</v>
      </c>
      <c r="G488">
        <v>28</v>
      </c>
      <c r="H488">
        <v>37.51</v>
      </c>
      <c r="I488">
        <v>1050.28</v>
      </c>
      <c r="J488">
        <v>45.83</v>
      </c>
      <c r="K488">
        <v>220.45</v>
      </c>
      <c r="L488" t="s">
        <v>48</v>
      </c>
      <c r="M488" t="s">
        <v>34</v>
      </c>
      <c r="N488" t="s">
        <v>35</v>
      </c>
      <c r="O488" s="5">
        <f t="shared" si="7"/>
        <v>0.20989640857676048</v>
      </c>
    </row>
    <row r="489" spans="1:15" x14ac:dyDescent="0.3">
      <c r="A489" t="s">
        <v>975</v>
      </c>
      <c r="B489" t="s">
        <v>268</v>
      </c>
      <c r="C489" t="s">
        <v>113</v>
      </c>
      <c r="D489" t="s">
        <v>206</v>
      </c>
      <c r="E489" t="s">
        <v>56</v>
      </c>
      <c r="F489" t="s">
        <v>57</v>
      </c>
      <c r="G489">
        <v>50</v>
      </c>
      <c r="H489">
        <v>53.71</v>
      </c>
      <c r="I489">
        <v>2685.5</v>
      </c>
      <c r="J489">
        <v>197.89</v>
      </c>
      <c r="K489">
        <v>487.61</v>
      </c>
      <c r="L489" t="s">
        <v>33</v>
      </c>
      <c r="M489" t="s">
        <v>41</v>
      </c>
      <c r="N489" t="s">
        <v>207</v>
      </c>
      <c r="O489" s="5">
        <f t="shared" si="7"/>
        <v>0.18157140197356172</v>
      </c>
    </row>
    <row r="490" spans="1:15" x14ac:dyDescent="0.3">
      <c r="A490" t="s">
        <v>976</v>
      </c>
      <c r="B490" t="s">
        <v>977</v>
      </c>
      <c r="C490" t="s">
        <v>630</v>
      </c>
      <c r="D490" t="s">
        <v>141</v>
      </c>
      <c r="E490" t="s">
        <v>81</v>
      </c>
      <c r="F490" t="s">
        <v>68</v>
      </c>
      <c r="G490">
        <v>24</v>
      </c>
      <c r="H490">
        <v>18.62</v>
      </c>
      <c r="I490">
        <v>446.88</v>
      </c>
      <c r="J490">
        <v>26.91</v>
      </c>
      <c r="K490">
        <v>47.97</v>
      </c>
      <c r="L490" t="s">
        <v>33</v>
      </c>
      <c r="M490" t="s">
        <v>34</v>
      </c>
      <c r="N490" t="s">
        <v>142</v>
      </c>
      <c r="O490" s="5">
        <f t="shared" si="7"/>
        <v>0.10734425349087003</v>
      </c>
    </row>
    <row r="491" spans="1:15" x14ac:dyDescent="0.3">
      <c r="A491" t="s">
        <v>978</v>
      </c>
      <c r="B491" t="s">
        <v>577</v>
      </c>
      <c r="C491" t="s">
        <v>290</v>
      </c>
      <c r="D491" t="s">
        <v>116</v>
      </c>
      <c r="E491" t="s">
        <v>56</v>
      </c>
      <c r="F491" t="s">
        <v>57</v>
      </c>
      <c r="G491">
        <v>10</v>
      </c>
      <c r="H491">
        <v>49.15</v>
      </c>
      <c r="I491">
        <v>491.5</v>
      </c>
      <c r="J491">
        <v>13.3</v>
      </c>
      <c r="K491">
        <v>78.2</v>
      </c>
      <c r="L491" t="s">
        <v>48</v>
      </c>
      <c r="M491" t="s">
        <v>41</v>
      </c>
      <c r="N491" t="s">
        <v>76</v>
      </c>
      <c r="O491" s="5">
        <f t="shared" si="7"/>
        <v>0.15910478128179045</v>
      </c>
    </row>
    <row r="492" spans="1:15" x14ac:dyDescent="0.3">
      <c r="A492" t="s">
        <v>979</v>
      </c>
      <c r="B492" t="s">
        <v>980</v>
      </c>
      <c r="C492" t="s">
        <v>328</v>
      </c>
      <c r="D492" t="s">
        <v>51</v>
      </c>
      <c r="E492" t="s">
        <v>56</v>
      </c>
      <c r="F492" t="s">
        <v>57</v>
      </c>
      <c r="G492">
        <v>42</v>
      </c>
      <c r="H492">
        <v>50.96</v>
      </c>
      <c r="I492">
        <v>2140.3200000000002</v>
      </c>
      <c r="J492">
        <v>127.85</v>
      </c>
      <c r="K492">
        <v>332.47</v>
      </c>
      <c r="L492" t="s">
        <v>24</v>
      </c>
      <c r="M492" t="s">
        <v>34</v>
      </c>
      <c r="N492" t="s">
        <v>76</v>
      </c>
      <c r="O492" s="5">
        <f t="shared" si="7"/>
        <v>0.15533658518352397</v>
      </c>
    </row>
    <row r="493" spans="1:15" x14ac:dyDescent="0.3">
      <c r="A493" t="s">
        <v>981</v>
      </c>
      <c r="B493" t="s">
        <v>982</v>
      </c>
      <c r="C493" t="s">
        <v>323</v>
      </c>
      <c r="D493" t="s">
        <v>51</v>
      </c>
      <c r="E493" t="s">
        <v>74</v>
      </c>
      <c r="F493" t="s">
        <v>75</v>
      </c>
      <c r="G493">
        <v>39</v>
      </c>
      <c r="H493">
        <v>37.46</v>
      </c>
      <c r="I493">
        <v>1460.94</v>
      </c>
      <c r="J493">
        <v>82.25</v>
      </c>
      <c r="K493">
        <v>403.69</v>
      </c>
      <c r="L493" t="s">
        <v>48</v>
      </c>
      <c r="M493" t="s">
        <v>25</v>
      </c>
      <c r="N493" t="s">
        <v>76</v>
      </c>
      <c r="O493" s="5">
        <f t="shared" si="7"/>
        <v>0.27632209399427765</v>
      </c>
    </row>
    <row r="494" spans="1:15" x14ac:dyDescent="0.3">
      <c r="A494" t="s">
        <v>983</v>
      </c>
      <c r="B494" t="s">
        <v>984</v>
      </c>
      <c r="C494" t="s">
        <v>174</v>
      </c>
      <c r="D494" t="s">
        <v>171</v>
      </c>
      <c r="E494" t="s">
        <v>86</v>
      </c>
      <c r="F494" t="s">
        <v>47</v>
      </c>
      <c r="G494">
        <v>7</v>
      </c>
      <c r="H494">
        <v>20.2</v>
      </c>
      <c r="I494">
        <v>141.4</v>
      </c>
      <c r="J494">
        <v>4.3499999999999996</v>
      </c>
      <c r="K494">
        <v>47.8</v>
      </c>
      <c r="L494" t="s">
        <v>33</v>
      </c>
      <c r="M494" t="s">
        <v>41</v>
      </c>
      <c r="N494" t="s">
        <v>35</v>
      </c>
      <c r="O494" s="5">
        <f t="shared" si="7"/>
        <v>0.33804809052333801</v>
      </c>
    </row>
    <row r="495" spans="1:15" x14ac:dyDescent="0.3">
      <c r="A495" t="s">
        <v>985</v>
      </c>
      <c r="B495" t="s">
        <v>986</v>
      </c>
      <c r="C495" t="s">
        <v>197</v>
      </c>
      <c r="D495" t="s">
        <v>55</v>
      </c>
      <c r="E495" t="s">
        <v>86</v>
      </c>
      <c r="F495" t="s">
        <v>47</v>
      </c>
      <c r="G495">
        <v>18</v>
      </c>
      <c r="H495">
        <v>18.63</v>
      </c>
      <c r="I495">
        <v>335.34</v>
      </c>
      <c r="J495">
        <v>26.18</v>
      </c>
      <c r="K495">
        <v>79.66</v>
      </c>
      <c r="L495" t="s">
        <v>33</v>
      </c>
      <c r="M495" t="s">
        <v>25</v>
      </c>
      <c r="N495" t="s">
        <v>98</v>
      </c>
      <c r="O495" s="5">
        <f t="shared" si="7"/>
        <v>0.23754994930518281</v>
      </c>
    </row>
    <row r="496" spans="1:15" x14ac:dyDescent="0.3">
      <c r="A496" t="s">
        <v>987</v>
      </c>
      <c r="B496" t="s">
        <v>988</v>
      </c>
      <c r="C496" t="s">
        <v>462</v>
      </c>
      <c r="D496" t="s">
        <v>206</v>
      </c>
      <c r="E496" t="s">
        <v>67</v>
      </c>
      <c r="F496" t="s">
        <v>68</v>
      </c>
      <c r="G496">
        <v>12</v>
      </c>
      <c r="H496">
        <v>27.08</v>
      </c>
      <c r="I496">
        <v>324.95999999999998</v>
      </c>
      <c r="J496">
        <v>15.59</v>
      </c>
      <c r="K496">
        <v>39.369999999999997</v>
      </c>
      <c r="L496" t="s">
        <v>33</v>
      </c>
      <c r="M496" t="s">
        <v>41</v>
      </c>
      <c r="N496" t="s">
        <v>207</v>
      </c>
      <c r="O496" s="5">
        <f t="shared" si="7"/>
        <v>0.12115337272279665</v>
      </c>
    </row>
    <row r="497" spans="1:15" x14ac:dyDescent="0.3">
      <c r="A497" t="s">
        <v>989</v>
      </c>
      <c r="B497" t="s">
        <v>153</v>
      </c>
      <c r="C497" t="s">
        <v>499</v>
      </c>
      <c r="D497" t="s">
        <v>171</v>
      </c>
      <c r="E497" t="s">
        <v>74</v>
      </c>
      <c r="F497" t="s">
        <v>75</v>
      </c>
      <c r="G497">
        <v>50</v>
      </c>
      <c r="H497">
        <v>32.21</v>
      </c>
      <c r="I497">
        <v>1610.5</v>
      </c>
      <c r="J497">
        <v>32.68</v>
      </c>
      <c r="K497">
        <v>327.82</v>
      </c>
      <c r="L497" t="s">
        <v>33</v>
      </c>
      <c r="M497" t="s">
        <v>41</v>
      </c>
      <c r="N497" t="s">
        <v>35</v>
      </c>
      <c r="O497" s="5">
        <f t="shared" si="7"/>
        <v>0.20355169202111145</v>
      </c>
    </row>
    <row r="498" spans="1:15" x14ac:dyDescent="0.3">
      <c r="A498" t="s">
        <v>990</v>
      </c>
      <c r="B498" t="s">
        <v>768</v>
      </c>
      <c r="C498" t="s">
        <v>646</v>
      </c>
      <c r="D498" t="s">
        <v>141</v>
      </c>
      <c r="E498" t="s">
        <v>86</v>
      </c>
      <c r="F498" t="s">
        <v>47</v>
      </c>
      <c r="G498">
        <v>49</v>
      </c>
      <c r="H498">
        <v>20.59</v>
      </c>
      <c r="I498">
        <v>1008.91</v>
      </c>
      <c r="J498">
        <v>78.03</v>
      </c>
      <c r="K498">
        <v>306.13</v>
      </c>
      <c r="L498" t="s">
        <v>33</v>
      </c>
      <c r="M498" t="s">
        <v>41</v>
      </c>
      <c r="N498" t="s">
        <v>142</v>
      </c>
      <c r="O498" s="5">
        <f t="shared" si="7"/>
        <v>0.30342647015095497</v>
      </c>
    </row>
    <row r="499" spans="1:15" x14ac:dyDescent="0.3">
      <c r="A499" t="s">
        <v>991</v>
      </c>
      <c r="B499" t="s">
        <v>992</v>
      </c>
      <c r="C499" t="s">
        <v>140</v>
      </c>
      <c r="D499" t="s">
        <v>37</v>
      </c>
      <c r="E499" t="s">
        <v>63</v>
      </c>
      <c r="F499" t="s">
        <v>47</v>
      </c>
      <c r="G499">
        <v>22</v>
      </c>
      <c r="H499">
        <v>28.63</v>
      </c>
      <c r="I499">
        <v>629.86</v>
      </c>
      <c r="J499">
        <v>29.08</v>
      </c>
      <c r="K499">
        <v>160.78</v>
      </c>
      <c r="L499" t="s">
        <v>33</v>
      </c>
      <c r="M499" t="s">
        <v>34</v>
      </c>
      <c r="N499" t="s">
        <v>35</v>
      </c>
      <c r="O499" s="5">
        <f t="shared" si="7"/>
        <v>0.25526307433397899</v>
      </c>
    </row>
    <row r="500" spans="1:15" x14ac:dyDescent="0.3">
      <c r="A500" t="s">
        <v>993</v>
      </c>
      <c r="B500" t="s">
        <v>994</v>
      </c>
      <c r="C500" t="s">
        <v>290</v>
      </c>
      <c r="D500" t="s">
        <v>51</v>
      </c>
      <c r="E500" t="s">
        <v>56</v>
      </c>
      <c r="F500" t="s">
        <v>57</v>
      </c>
      <c r="G500">
        <v>11</v>
      </c>
      <c r="H500">
        <v>56.12</v>
      </c>
      <c r="I500">
        <v>617.32000000000005</v>
      </c>
      <c r="J500">
        <v>38.26</v>
      </c>
      <c r="K500">
        <v>139.06</v>
      </c>
      <c r="L500" t="s">
        <v>33</v>
      </c>
      <c r="M500" t="s">
        <v>34</v>
      </c>
      <c r="N500" t="s">
        <v>76</v>
      </c>
      <c r="O500" s="5">
        <f t="shared" si="7"/>
        <v>0.22526404457979651</v>
      </c>
    </row>
    <row r="501" spans="1:15" x14ac:dyDescent="0.3">
      <c r="A501" t="s">
        <v>995</v>
      </c>
      <c r="B501" t="s">
        <v>996</v>
      </c>
      <c r="C501" t="s">
        <v>54</v>
      </c>
      <c r="D501" t="s">
        <v>21</v>
      </c>
      <c r="E501" t="s">
        <v>74</v>
      </c>
      <c r="F501" t="s">
        <v>75</v>
      </c>
      <c r="G501">
        <v>2</v>
      </c>
      <c r="H501">
        <v>30.88</v>
      </c>
      <c r="I501">
        <v>61.76</v>
      </c>
      <c r="J501">
        <v>4.42</v>
      </c>
      <c r="K501">
        <v>7.34</v>
      </c>
      <c r="L501" t="s">
        <v>48</v>
      </c>
      <c r="M501" t="s">
        <v>34</v>
      </c>
      <c r="N501" t="s">
        <v>98</v>
      </c>
      <c r="O501" s="5">
        <f t="shared" si="7"/>
        <v>0.11884715025906736</v>
      </c>
    </row>
    <row r="502" spans="1:15" x14ac:dyDescent="0.3">
      <c r="A502" t="s">
        <v>997</v>
      </c>
      <c r="B502" t="s">
        <v>998</v>
      </c>
      <c r="C502" t="s">
        <v>471</v>
      </c>
      <c r="D502" t="s">
        <v>206</v>
      </c>
      <c r="E502" t="s">
        <v>56</v>
      </c>
      <c r="F502" t="s">
        <v>57</v>
      </c>
      <c r="G502">
        <v>34</v>
      </c>
      <c r="H502">
        <v>63.8</v>
      </c>
      <c r="I502">
        <v>2169.1999999999998</v>
      </c>
      <c r="J502">
        <v>69.650000000000006</v>
      </c>
      <c r="K502">
        <v>739.55</v>
      </c>
      <c r="L502" t="s">
        <v>33</v>
      </c>
      <c r="M502" t="s">
        <v>41</v>
      </c>
      <c r="N502" t="s">
        <v>207</v>
      </c>
      <c r="O502" s="5">
        <f t="shared" si="7"/>
        <v>0.34093214088143092</v>
      </c>
    </row>
    <row r="503" spans="1:15" x14ac:dyDescent="0.3">
      <c r="A503" t="s">
        <v>999</v>
      </c>
      <c r="B503" t="s">
        <v>412</v>
      </c>
      <c r="C503" t="s">
        <v>282</v>
      </c>
      <c r="D503" t="s">
        <v>62</v>
      </c>
      <c r="E503" t="s">
        <v>137</v>
      </c>
      <c r="F503" t="s">
        <v>68</v>
      </c>
      <c r="G503">
        <v>50</v>
      </c>
      <c r="H503">
        <v>44.61</v>
      </c>
      <c r="I503">
        <v>2230.5</v>
      </c>
      <c r="J503">
        <v>91.32</v>
      </c>
      <c r="K503">
        <v>739.18</v>
      </c>
      <c r="L503" t="s">
        <v>48</v>
      </c>
      <c r="M503" t="s">
        <v>25</v>
      </c>
      <c r="N503" t="s">
        <v>98</v>
      </c>
      <c r="O503" s="5">
        <f t="shared" si="7"/>
        <v>0.33139654785922434</v>
      </c>
    </row>
    <row r="504" spans="1:15" x14ac:dyDescent="0.3">
      <c r="A504" t="s">
        <v>1000</v>
      </c>
      <c r="B504" t="s">
        <v>1001</v>
      </c>
      <c r="C504" t="s">
        <v>119</v>
      </c>
      <c r="D504" t="s">
        <v>123</v>
      </c>
      <c r="E504" t="s">
        <v>86</v>
      </c>
      <c r="F504" t="s">
        <v>47</v>
      </c>
      <c r="G504">
        <v>14</v>
      </c>
      <c r="H504">
        <v>18.61</v>
      </c>
      <c r="I504">
        <v>260.54000000000002</v>
      </c>
      <c r="J504">
        <v>5.39</v>
      </c>
      <c r="K504">
        <v>76.650000000000006</v>
      </c>
      <c r="L504" t="s">
        <v>33</v>
      </c>
      <c r="M504" t="s">
        <v>41</v>
      </c>
      <c r="N504" t="s">
        <v>76</v>
      </c>
      <c r="O504" s="5">
        <f t="shared" si="7"/>
        <v>0.29419666845781839</v>
      </c>
    </row>
    <row r="505" spans="1:15" x14ac:dyDescent="0.3">
      <c r="A505" t="s">
        <v>1002</v>
      </c>
      <c r="B505" t="s">
        <v>816</v>
      </c>
      <c r="C505" t="s">
        <v>455</v>
      </c>
      <c r="D505" t="s">
        <v>31</v>
      </c>
      <c r="E505" t="s">
        <v>81</v>
      </c>
      <c r="F505" t="s">
        <v>68</v>
      </c>
      <c r="G505">
        <v>7</v>
      </c>
      <c r="H505">
        <v>24.61</v>
      </c>
      <c r="I505">
        <v>172.27</v>
      </c>
      <c r="J505">
        <v>9.64</v>
      </c>
      <c r="K505">
        <v>54.13</v>
      </c>
      <c r="L505" t="s">
        <v>48</v>
      </c>
      <c r="M505" t="s">
        <v>41</v>
      </c>
      <c r="N505" t="s">
        <v>35</v>
      </c>
      <c r="O505" s="5">
        <f t="shared" si="7"/>
        <v>0.31421605619086318</v>
      </c>
    </row>
  </sheetData>
  <mergeCells count="1">
    <mergeCell ref="A1:R3"/>
  </mergeCells>
  <conditionalFormatting sqref="O6:O505">
    <cfRule type="expression" dxfId="1" priority="1">
      <formula>$O6&gt;25%</formula>
    </cfRule>
  </conditionalFormatting>
  <pageMargins left="0.75" right="0.75" top="1" bottom="1" header="0.5" footer="0.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31308-C751-4314-BEB7-0010FFE233AB}">
  <sheetPr codeName="Sheet10"/>
  <dimension ref="A5:O505"/>
  <sheetViews>
    <sheetView zoomScale="61" workbookViewId="0">
      <selection activeCell="V24" sqref="V24"/>
    </sheetView>
  </sheetViews>
  <sheetFormatPr defaultRowHeight="14.4" x14ac:dyDescent="0.3"/>
  <cols>
    <col min="1" max="1" width="17" customWidth="1"/>
    <col min="2" max="2" width="15.5546875" customWidth="1"/>
    <col min="3" max="3" width="18" customWidth="1"/>
    <col min="5" max="5" width="17.21875" customWidth="1"/>
    <col min="6" max="6" width="12" customWidth="1"/>
    <col min="8" max="8" width="13.21875" customWidth="1"/>
    <col min="9" max="9" width="15.109375" customWidth="1"/>
    <col min="10" max="10" width="16.21875" customWidth="1"/>
    <col min="12" max="12" width="13.5546875" customWidth="1"/>
    <col min="13" max="13" width="12.109375" customWidth="1"/>
    <col min="14" max="14" width="11.44140625" customWidth="1"/>
    <col min="15" max="15" width="12.88671875" customWidth="1"/>
  </cols>
  <sheetData>
    <row r="5" spans="1:15" x14ac:dyDescent="0.3">
      <c r="A5" s="4" t="s">
        <v>1</v>
      </c>
      <c r="B5" s="4" t="s">
        <v>2</v>
      </c>
      <c r="C5" s="4" t="s">
        <v>3</v>
      </c>
      <c r="D5" s="4" t="s">
        <v>4</v>
      </c>
      <c r="E5" s="4" t="s">
        <v>5</v>
      </c>
      <c r="F5" s="4" t="s">
        <v>6</v>
      </c>
      <c r="G5" s="4" t="s">
        <v>7</v>
      </c>
      <c r="H5" s="4" t="s">
        <v>8</v>
      </c>
      <c r="I5" s="4" t="s">
        <v>9</v>
      </c>
      <c r="J5" s="4" t="s">
        <v>10</v>
      </c>
      <c r="K5" s="4" t="s">
        <v>11</v>
      </c>
      <c r="L5" s="4" t="s">
        <v>12</v>
      </c>
      <c r="M5" s="4" t="s">
        <v>13</v>
      </c>
      <c r="N5" s="4" t="s">
        <v>14</v>
      </c>
      <c r="O5" s="4" t="s">
        <v>1043</v>
      </c>
    </row>
    <row r="6" spans="1:15" x14ac:dyDescent="0.3">
      <c r="A6" t="s">
        <v>19</v>
      </c>
      <c r="B6" t="s">
        <v>97</v>
      </c>
      <c r="C6" t="s">
        <v>20</v>
      </c>
      <c r="D6" t="s">
        <v>21</v>
      </c>
      <c r="E6" t="s">
        <v>22</v>
      </c>
      <c r="F6" t="s">
        <v>23</v>
      </c>
      <c r="G6">
        <v>20</v>
      </c>
      <c r="H6">
        <v>55.22</v>
      </c>
      <c r="I6">
        <v>1104.4000000000001</v>
      </c>
      <c r="J6">
        <v>49.36</v>
      </c>
      <c r="K6">
        <v>355.04</v>
      </c>
      <c r="L6" t="s">
        <v>24</v>
      </c>
      <c r="M6" t="s">
        <v>25</v>
      </c>
      <c r="N6" t="s">
        <v>98</v>
      </c>
      <c r="O6" s="5">
        <f>K6/I6</f>
        <v>0.32147772546178921</v>
      </c>
    </row>
    <row r="7" spans="1:15" x14ac:dyDescent="0.3">
      <c r="A7" t="s">
        <v>29</v>
      </c>
      <c r="B7" t="s">
        <v>99</v>
      </c>
      <c r="C7" t="s">
        <v>30</v>
      </c>
      <c r="D7" t="s">
        <v>31</v>
      </c>
      <c r="E7" t="s">
        <v>32</v>
      </c>
      <c r="F7" t="s">
        <v>23</v>
      </c>
      <c r="G7">
        <v>33</v>
      </c>
      <c r="H7">
        <v>32.03</v>
      </c>
      <c r="I7">
        <v>1056.99</v>
      </c>
      <c r="J7">
        <v>59.59</v>
      </c>
      <c r="K7">
        <v>403.4</v>
      </c>
      <c r="L7" t="s">
        <v>33</v>
      </c>
      <c r="M7" t="s">
        <v>34</v>
      </c>
      <c r="N7" t="s">
        <v>35</v>
      </c>
      <c r="O7" s="5">
        <f t="shared" ref="O7:O70" si="0">K7/I7</f>
        <v>0.38164977908967918</v>
      </c>
    </row>
    <row r="8" spans="1:15" x14ac:dyDescent="0.3">
      <c r="A8" t="s">
        <v>39</v>
      </c>
      <c r="B8" t="s">
        <v>100</v>
      </c>
      <c r="C8" t="s">
        <v>40</v>
      </c>
      <c r="D8" t="s">
        <v>37</v>
      </c>
      <c r="E8" t="s">
        <v>32</v>
      </c>
      <c r="F8" t="s">
        <v>23</v>
      </c>
      <c r="G8">
        <v>34</v>
      </c>
      <c r="H8">
        <v>28.48</v>
      </c>
      <c r="I8">
        <v>968.32</v>
      </c>
      <c r="J8">
        <v>73.95</v>
      </c>
      <c r="K8">
        <v>282.37</v>
      </c>
      <c r="L8" t="s">
        <v>24</v>
      </c>
      <c r="M8" t="s">
        <v>41</v>
      </c>
      <c r="N8" t="s">
        <v>35</v>
      </c>
      <c r="O8" s="5">
        <f t="shared" si="0"/>
        <v>0.2916081460674157</v>
      </c>
    </row>
    <row r="9" spans="1:15" x14ac:dyDescent="0.3">
      <c r="A9" t="s">
        <v>43</v>
      </c>
      <c r="B9" t="s">
        <v>101</v>
      </c>
      <c r="C9" t="s">
        <v>44</v>
      </c>
      <c r="D9" t="s">
        <v>45</v>
      </c>
      <c r="E9" t="s">
        <v>46</v>
      </c>
      <c r="F9" t="s">
        <v>47</v>
      </c>
      <c r="G9">
        <v>6</v>
      </c>
      <c r="H9">
        <v>56.36</v>
      </c>
      <c r="I9">
        <v>338.16</v>
      </c>
      <c r="J9">
        <v>11.39</v>
      </c>
      <c r="K9">
        <v>134.77000000000001</v>
      </c>
      <c r="L9" t="s">
        <v>48</v>
      </c>
      <c r="M9" t="s">
        <v>34</v>
      </c>
      <c r="N9" t="s">
        <v>49</v>
      </c>
      <c r="O9" s="5">
        <f t="shared" si="0"/>
        <v>0.39853915306363852</v>
      </c>
    </row>
    <row r="10" spans="1:15" x14ac:dyDescent="0.3">
      <c r="A10" t="s">
        <v>53</v>
      </c>
      <c r="B10" t="s">
        <v>102</v>
      </c>
      <c r="C10" t="s">
        <v>54</v>
      </c>
      <c r="D10" t="s">
        <v>55</v>
      </c>
      <c r="E10" t="s">
        <v>56</v>
      </c>
      <c r="F10" t="s">
        <v>57</v>
      </c>
      <c r="G10">
        <v>17</v>
      </c>
      <c r="H10">
        <v>69.22</v>
      </c>
      <c r="I10">
        <v>1176.74</v>
      </c>
      <c r="J10">
        <v>65.94</v>
      </c>
      <c r="K10">
        <v>430.8</v>
      </c>
      <c r="L10" t="s">
        <v>33</v>
      </c>
      <c r="M10" t="s">
        <v>25</v>
      </c>
      <c r="N10" t="s">
        <v>98</v>
      </c>
      <c r="O10" s="5">
        <f t="shared" si="0"/>
        <v>0.36609616397844896</v>
      </c>
    </row>
    <row r="11" spans="1:15" x14ac:dyDescent="0.3">
      <c r="A11" t="s">
        <v>60</v>
      </c>
      <c r="B11" t="s">
        <v>103</v>
      </c>
      <c r="C11" t="s">
        <v>61</v>
      </c>
      <c r="D11" t="s">
        <v>62</v>
      </c>
      <c r="E11" t="s">
        <v>63</v>
      </c>
      <c r="F11" t="s">
        <v>47</v>
      </c>
      <c r="G11">
        <v>13</v>
      </c>
      <c r="H11">
        <v>27.94</v>
      </c>
      <c r="I11">
        <v>363.22</v>
      </c>
      <c r="J11">
        <v>15.36</v>
      </c>
      <c r="K11">
        <v>87.86</v>
      </c>
      <c r="L11" t="s">
        <v>33</v>
      </c>
      <c r="M11" t="s">
        <v>25</v>
      </c>
      <c r="N11" t="s">
        <v>98</v>
      </c>
      <c r="O11" s="5">
        <f t="shared" si="0"/>
        <v>0.2418919663014151</v>
      </c>
    </row>
    <row r="12" spans="1:15" x14ac:dyDescent="0.3">
      <c r="A12" t="s">
        <v>65</v>
      </c>
      <c r="B12" t="s">
        <v>104</v>
      </c>
      <c r="C12" t="s">
        <v>66</v>
      </c>
      <c r="D12" t="s">
        <v>31</v>
      </c>
      <c r="E12" t="s">
        <v>67</v>
      </c>
      <c r="F12" t="s">
        <v>68</v>
      </c>
      <c r="G12">
        <v>3</v>
      </c>
      <c r="H12">
        <v>31.52</v>
      </c>
      <c r="I12">
        <v>94.56</v>
      </c>
      <c r="J12">
        <v>6.98</v>
      </c>
      <c r="K12">
        <v>20.079999999999998</v>
      </c>
      <c r="L12" t="s">
        <v>24</v>
      </c>
      <c r="M12" t="s">
        <v>41</v>
      </c>
      <c r="N12" t="s">
        <v>35</v>
      </c>
      <c r="O12" s="5">
        <f t="shared" si="0"/>
        <v>0.21235194585448391</v>
      </c>
    </row>
    <row r="13" spans="1:15" x14ac:dyDescent="0.3">
      <c r="A13" t="s">
        <v>72</v>
      </c>
      <c r="B13" t="s">
        <v>105</v>
      </c>
      <c r="C13" t="s">
        <v>73</v>
      </c>
      <c r="D13" t="s">
        <v>51</v>
      </c>
      <c r="E13" t="s">
        <v>74</v>
      </c>
      <c r="F13" t="s">
        <v>75</v>
      </c>
      <c r="G13">
        <v>14</v>
      </c>
      <c r="H13">
        <v>30.71</v>
      </c>
      <c r="I13">
        <v>429.94</v>
      </c>
      <c r="J13">
        <v>13.03</v>
      </c>
      <c r="K13">
        <v>66.91</v>
      </c>
      <c r="L13" t="s">
        <v>33</v>
      </c>
      <c r="M13" t="s">
        <v>25</v>
      </c>
      <c r="N13" t="s">
        <v>76</v>
      </c>
      <c r="O13" s="5">
        <f t="shared" si="0"/>
        <v>0.15562636646973996</v>
      </c>
    </row>
    <row r="14" spans="1:15" x14ac:dyDescent="0.3">
      <c r="A14" t="s">
        <v>80</v>
      </c>
      <c r="B14" t="s">
        <v>106</v>
      </c>
      <c r="C14" t="s">
        <v>40</v>
      </c>
      <c r="D14" t="s">
        <v>21</v>
      </c>
      <c r="E14" t="s">
        <v>81</v>
      </c>
      <c r="F14" t="s">
        <v>68</v>
      </c>
      <c r="G14">
        <v>47</v>
      </c>
      <c r="H14">
        <v>24.47</v>
      </c>
      <c r="I14">
        <v>1150.0899999999999</v>
      </c>
      <c r="J14">
        <v>61.3</v>
      </c>
      <c r="K14">
        <v>360.29</v>
      </c>
      <c r="L14" t="s">
        <v>33</v>
      </c>
      <c r="M14" t="s">
        <v>25</v>
      </c>
      <c r="N14" t="s">
        <v>98</v>
      </c>
      <c r="O14" s="5">
        <f t="shared" si="0"/>
        <v>0.31327113530245465</v>
      </c>
    </row>
    <row r="15" spans="1:15" x14ac:dyDescent="0.3">
      <c r="A15" t="s">
        <v>84</v>
      </c>
      <c r="B15" t="s">
        <v>107</v>
      </c>
      <c r="C15" t="s">
        <v>85</v>
      </c>
      <c r="D15" t="s">
        <v>37</v>
      </c>
      <c r="E15" t="s">
        <v>86</v>
      </c>
      <c r="F15" t="s">
        <v>47</v>
      </c>
      <c r="G15">
        <v>27</v>
      </c>
      <c r="H15">
        <v>18.98</v>
      </c>
      <c r="I15">
        <v>512.46</v>
      </c>
      <c r="J15">
        <v>28.89</v>
      </c>
      <c r="K15">
        <v>139.32</v>
      </c>
      <c r="L15" t="s">
        <v>33</v>
      </c>
      <c r="M15" t="s">
        <v>41</v>
      </c>
      <c r="N15" t="s">
        <v>35</v>
      </c>
      <c r="O15" s="5">
        <f t="shared" si="0"/>
        <v>0.27186512118018963</v>
      </c>
    </row>
    <row r="16" spans="1:15" x14ac:dyDescent="0.3">
      <c r="A16" t="s">
        <v>108</v>
      </c>
      <c r="B16" t="s">
        <v>109</v>
      </c>
      <c r="C16" t="s">
        <v>110</v>
      </c>
      <c r="D16" t="s">
        <v>51</v>
      </c>
      <c r="E16" t="s">
        <v>22</v>
      </c>
      <c r="F16" t="s">
        <v>23</v>
      </c>
      <c r="G16">
        <v>32</v>
      </c>
      <c r="H16">
        <v>57.84</v>
      </c>
      <c r="I16">
        <v>1850.88</v>
      </c>
      <c r="J16">
        <v>55.15</v>
      </c>
      <c r="K16">
        <v>675.73</v>
      </c>
      <c r="L16" t="s">
        <v>24</v>
      </c>
      <c r="M16" t="s">
        <v>25</v>
      </c>
      <c r="N16" t="s">
        <v>76</v>
      </c>
      <c r="O16" s="5">
        <f t="shared" si="0"/>
        <v>0.36508579702627936</v>
      </c>
    </row>
    <row r="17" spans="1:15" x14ac:dyDescent="0.3">
      <c r="A17" t="s">
        <v>111</v>
      </c>
      <c r="B17" t="s">
        <v>112</v>
      </c>
      <c r="C17" t="s">
        <v>113</v>
      </c>
      <c r="D17" t="s">
        <v>55</v>
      </c>
      <c r="E17" t="s">
        <v>56</v>
      </c>
      <c r="F17" t="s">
        <v>57</v>
      </c>
      <c r="G17">
        <v>49</v>
      </c>
      <c r="H17">
        <v>58.77</v>
      </c>
      <c r="I17">
        <v>2879.73</v>
      </c>
      <c r="J17">
        <v>140.29</v>
      </c>
      <c r="K17">
        <v>779.44</v>
      </c>
      <c r="L17" t="s">
        <v>48</v>
      </c>
      <c r="M17" t="s">
        <v>41</v>
      </c>
      <c r="N17" t="s">
        <v>98</v>
      </c>
      <c r="O17" s="5">
        <f t="shared" si="0"/>
        <v>0.27066426366360735</v>
      </c>
    </row>
    <row r="18" spans="1:15" x14ac:dyDescent="0.3">
      <c r="A18" t="s">
        <v>114</v>
      </c>
      <c r="B18" t="s">
        <v>115</v>
      </c>
      <c r="C18" t="s">
        <v>110</v>
      </c>
      <c r="D18" t="s">
        <v>116</v>
      </c>
      <c r="E18" t="s">
        <v>22</v>
      </c>
      <c r="F18" t="s">
        <v>23</v>
      </c>
      <c r="G18">
        <v>43</v>
      </c>
      <c r="H18">
        <v>56.92</v>
      </c>
      <c r="I18">
        <v>2447.56</v>
      </c>
      <c r="J18">
        <v>140.4</v>
      </c>
      <c r="K18">
        <v>802.16</v>
      </c>
      <c r="L18" t="s">
        <v>24</v>
      </c>
      <c r="M18" t="s">
        <v>34</v>
      </c>
      <c r="N18" t="s">
        <v>76</v>
      </c>
      <c r="O18" s="5">
        <f t="shared" si="0"/>
        <v>0.3277386458350357</v>
      </c>
    </row>
    <row r="19" spans="1:15" x14ac:dyDescent="0.3">
      <c r="A19" t="s">
        <v>117</v>
      </c>
      <c r="B19" t="s">
        <v>118</v>
      </c>
      <c r="C19" t="s">
        <v>119</v>
      </c>
      <c r="D19" t="s">
        <v>37</v>
      </c>
      <c r="E19" t="s">
        <v>74</v>
      </c>
      <c r="F19" t="s">
        <v>75</v>
      </c>
      <c r="G19">
        <v>32</v>
      </c>
      <c r="H19">
        <v>43.45</v>
      </c>
      <c r="I19">
        <v>1390.4</v>
      </c>
      <c r="J19">
        <v>30.04</v>
      </c>
      <c r="K19">
        <v>560.36</v>
      </c>
      <c r="L19" t="s">
        <v>24</v>
      </c>
      <c r="M19" t="s">
        <v>41</v>
      </c>
      <c r="N19" t="s">
        <v>35</v>
      </c>
      <c r="O19" s="5">
        <f t="shared" si="0"/>
        <v>0.4030207134637514</v>
      </c>
    </row>
    <row r="20" spans="1:15" x14ac:dyDescent="0.3">
      <c r="A20" t="s">
        <v>120</v>
      </c>
      <c r="B20" t="s">
        <v>121</v>
      </c>
      <c r="C20" t="s">
        <v>122</v>
      </c>
      <c r="D20" t="s">
        <v>123</v>
      </c>
      <c r="E20" t="s">
        <v>74</v>
      </c>
      <c r="F20" t="s">
        <v>75</v>
      </c>
      <c r="G20">
        <v>22</v>
      </c>
      <c r="H20">
        <v>42.59</v>
      </c>
      <c r="I20">
        <v>936.98</v>
      </c>
      <c r="J20">
        <v>29.87</v>
      </c>
      <c r="K20">
        <v>357.11</v>
      </c>
      <c r="L20" t="s">
        <v>33</v>
      </c>
      <c r="M20" t="s">
        <v>41</v>
      </c>
      <c r="N20" t="s">
        <v>76</v>
      </c>
      <c r="O20" s="5">
        <f t="shared" si="0"/>
        <v>0.38112873273709152</v>
      </c>
    </row>
    <row r="21" spans="1:15" x14ac:dyDescent="0.3">
      <c r="A21" t="s">
        <v>124</v>
      </c>
      <c r="B21" t="s">
        <v>125</v>
      </c>
      <c r="C21" t="s">
        <v>126</v>
      </c>
      <c r="D21" t="s">
        <v>127</v>
      </c>
      <c r="E21" t="s">
        <v>63</v>
      </c>
      <c r="F21" t="s">
        <v>47</v>
      </c>
      <c r="G21">
        <v>48</v>
      </c>
      <c r="H21">
        <v>25.36</v>
      </c>
      <c r="I21">
        <v>1217.28</v>
      </c>
      <c r="J21">
        <v>49.68</v>
      </c>
      <c r="K21">
        <v>207.6</v>
      </c>
      <c r="L21" t="s">
        <v>33</v>
      </c>
      <c r="M21" t="s">
        <v>25</v>
      </c>
      <c r="N21" t="s">
        <v>76</v>
      </c>
      <c r="O21" s="5">
        <f t="shared" si="0"/>
        <v>0.17054416403785488</v>
      </c>
    </row>
    <row r="22" spans="1:15" x14ac:dyDescent="0.3">
      <c r="A22" t="s">
        <v>128</v>
      </c>
      <c r="B22" t="s">
        <v>129</v>
      </c>
      <c r="C22" t="s">
        <v>110</v>
      </c>
      <c r="D22" t="s">
        <v>123</v>
      </c>
      <c r="E22" t="s">
        <v>32</v>
      </c>
      <c r="F22" t="s">
        <v>23</v>
      </c>
      <c r="G22">
        <v>48</v>
      </c>
      <c r="H22">
        <v>30.07</v>
      </c>
      <c r="I22">
        <v>1443.36</v>
      </c>
      <c r="J22">
        <v>102.31</v>
      </c>
      <c r="K22">
        <v>477.05</v>
      </c>
      <c r="L22" t="s">
        <v>48</v>
      </c>
      <c r="M22" t="s">
        <v>25</v>
      </c>
      <c r="N22" t="s">
        <v>76</v>
      </c>
      <c r="O22" s="5">
        <f t="shared" si="0"/>
        <v>0.33051352399955664</v>
      </c>
    </row>
    <row r="23" spans="1:15" x14ac:dyDescent="0.3">
      <c r="A23" t="s">
        <v>130</v>
      </c>
      <c r="B23" t="s">
        <v>131</v>
      </c>
      <c r="C23" t="s">
        <v>61</v>
      </c>
      <c r="D23" t="s">
        <v>123</v>
      </c>
      <c r="E23" t="s">
        <v>63</v>
      </c>
      <c r="F23" t="s">
        <v>47</v>
      </c>
      <c r="G23">
        <v>6</v>
      </c>
      <c r="H23">
        <v>32.17</v>
      </c>
      <c r="I23">
        <v>193.02</v>
      </c>
      <c r="J23">
        <v>14.45</v>
      </c>
      <c r="K23">
        <v>58.57</v>
      </c>
      <c r="L23" t="s">
        <v>48</v>
      </c>
      <c r="M23" t="s">
        <v>25</v>
      </c>
      <c r="N23" t="s">
        <v>76</v>
      </c>
      <c r="O23" s="5">
        <f t="shared" si="0"/>
        <v>0.30344005802507512</v>
      </c>
    </row>
    <row r="24" spans="1:15" x14ac:dyDescent="0.3">
      <c r="A24" t="s">
        <v>132</v>
      </c>
      <c r="B24" t="s">
        <v>133</v>
      </c>
      <c r="C24" t="s">
        <v>134</v>
      </c>
      <c r="D24" t="s">
        <v>116</v>
      </c>
      <c r="E24" t="s">
        <v>32</v>
      </c>
      <c r="F24" t="s">
        <v>23</v>
      </c>
      <c r="G24">
        <v>37</v>
      </c>
      <c r="H24">
        <v>24.14</v>
      </c>
      <c r="I24">
        <v>893.18</v>
      </c>
      <c r="J24">
        <v>31.39</v>
      </c>
      <c r="K24">
        <v>195.79</v>
      </c>
      <c r="L24" t="s">
        <v>33</v>
      </c>
      <c r="M24" t="s">
        <v>34</v>
      </c>
      <c r="N24" t="s">
        <v>76</v>
      </c>
      <c r="O24" s="5">
        <f t="shared" si="0"/>
        <v>0.21920553527844333</v>
      </c>
    </row>
    <row r="25" spans="1:15" x14ac:dyDescent="0.3">
      <c r="A25" t="s">
        <v>135</v>
      </c>
      <c r="B25" t="s">
        <v>136</v>
      </c>
      <c r="C25" t="s">
        <v>54</v>
      </c>
      <c r="D25" t="s">
        <v>31</v>
      </c>
      <c r="E25" t="s">
        <v>137</v>
      </c>
      <c r="F25" t="s">
        <v>68</v>
      </c>
      <c r="G25">
        <v>39</v>
      </c>
      <c r="H25">
        <v>37.840000000000003</v>
      </c>
      <c r="I25">
        <v>1475.76</v>
      </c>
      <c r="J25">
        <v>73.400000000000006</v>
      </c>
      <c r="K25">
        <v>310.36</v>
      </c>
      <c r="L25" t="s">
        <v>33</v>
      </c>
      <c r="M25" t="s">
        <v>41</v>
      </c>
      <c r="N25" t="s">
        <v>35</v>
      </c>
      <c r="O25" s="5">
        <f t="shared" si="0"/>
        <v>0.21030519867729172</v>
      </c>
    </row>
    <row r="26" spans="1:15" x14ac:dyDescent="0.3">
      <c r="A26" t="s">
        <v>138</v>
      </c>
      <c r="B26" t="s">
        <v>139</v>
      </c>
      <c r="C26" t="s">
        <v>140</v>
      </c>
      <c r="D26" t="s">
        <v>141</v>
      </c>
      <c r="E26" t="s">
        <v>56</v>
      </c>
      <c r="F26" t="s">
        <v>57</v>
      </c>
      <c r="G26">
        <v>6</v>
      </c>
      <c r="H26">
        <v>68.77</v>
      </c>
      <c r="I26">
        <v>412.62</v>
      </c>
      <c r="J26">
        <v>17.18</v>
      </c>
      <c r="K26">
        <v>155.44</v>
      </c>
      <c r="L26" t="s">
        <v>33</v>
      </c>
      <c r="M26" t="s">
        <v>25</v>
      </c>
      <c r="N26" t="s">
        <v>142</v>
      </c>
      <c r="O26" s="5">
        <f t="shared" si="0"/>
        <v>0.37671465270709126</v>
      </c>
    </row>
    <row r="27" spans="1:15" x14ac:dyDescent="0.3">
      <c r="A27" t="s">
        <v>143</v>
      </c>
      <c r="B27" t="s">
        <v>144</v>
      </c>
      <c r="C27" t="s">
        <v>145</v>
      </c>
      <c r="D27" t="s">
        <v>55</v>
      </c>
      <c r="E27" t="s">
        <v>86</v>
      </c>
      <c r="F27" t="s">
        <v>47</v>
      </c>
      <c r="G27">
        <v>6</v>
      </c>
      <c r="H27">
        <v>18.5</v>
      </c>
      <c r="I27">
        <v>111</v>
      </c>
      <c r="J27">
        <v>5.26</v>
      </c>
      <c r="K27">
        <v>29.24</v>
      </c>
      <c r="L27" t="s">
        <v>48</v>
      </c>
      <c r="M27" t="s">
        <v>34</v>
      </c>
      <c r="N27" t="s">
        <v>98</v>
      </c>
      <c r="O27" s="5">
        <f t="shared" si="0"/>
        <v>0.2634234234234234</v>
      </c>
    </row>
    <row r="28" spans="1:15" x14ac:dyDescent="0.3">
      <c r="A28" t="s">
        <v>146</v>
      </c>
      <c r="B28" t="s">
        <v>147</v>
      </c>
      <c r="C28" t="s">
        <v>148</v>
      </c>
      <c r="D28" t="s">
        <v>37</v>
      </c>
      <c r="E28" t="s">
        <v>67</v>
      </c>
      <c r="F28" t="s">
        <v>68</v>
      </c>
      <c r="G28">
        <v>33</v>
      </c>
      <c r="H28">
        <v>28.96</v>
      </c>
      <c r="I28">
        <v>955.68</v>
      </c>
      <c r="J28">
        <v>49.07</v>
      </c>
      <c r="K28">
        <v>164.11</v>
      </c>
      <c r="L28" t="s">
        <v>33</v>
      </c>
      <c r="M28" t="s">
        <v>25</v>
      </c>
      <c r="N28" t="s">
        <v>35</v>
      </c>
      <c r="O28" s="5">
        <f t="shared" si="0"/>
        <v>0.17172065963502431</v>
      </c>
    </row>
    <row r="29" spans="1:15" x14ac:dyDescent="0.3">
      <c r="A29" t="s">
        <v>149</v>
      </c>
      <c r="B29" t="s">
        <v>150</v>
      </c>
      <c r="C29" t="s">
        <v>151</v>
      </c>
      <c r="D29" t="s">
        <v>55</v>
      </c>
      <c r="E29" t="s">
        <v>67</v>
      </c>
      <c r="F29" t="s">
        <v>68</v>
      </c>
      <c r="G29">
        <v>31</v>
      </c>
      <c r="H29">
        <v>35.020000000000003</v>
      </c>
      <c r="I29">
        <v>1085.6199999999999</v>
      </c>
      <c r="J29">
        <v>74.650000000000006</v>
      </c>
      <c r="K29">
        <v>313.47000000000003</v>
      </c>
      <c r="L29" t="s">
        <v>48</v>
      </c>
      <c r="M29" t="s">
        <v>25</v>
      </c>
      <c r="N29" t="s">
        <v>98</v>
      </c>
      <c r="O29" s="5">
        <f t="shared" si="0"/>
        <v>0.2887474438569666</v>
      </c>
    </row>
    <row r="30" spans="1:15" x14ac:dyDescent="0.3">
      <c r="A30" t="s">
        <v>152</v>
      </c>
      <c r="B30" t="s">
        <v>153</v>
      </c>
      <c r="C30" t="s">
        <v>154</v>
      </c>
      <c r="D30" t="s">
        <v>55</v>
      </c>
      <c r="E30" t="s">
        <v>63</v>
      </c>
      <c r="F30" t="s">
        <v>47</v>
      </c>
      <c r="G30">
        <v>25</v>
      </c>
      <c r="H30">
        <v>31.57</v>
      </c>
      <c r="I30">
        <v>789.25</v>
      </c>
      <c r="J30">
        <v>56.47</v>
      </c>
      <c r="K30">
        <v>232.78</v>
      </c>
      <c r="L30" t="s">
        <v>33</v>
      </c>
      <c r="M30" t="s">
        <v>34</v>
      </c>
      <c r="N30" t="s">
        <v>98</v>
      </c>
      <c r="O30" s="5">
        <f t="shared" si="0"/>
        <v>0.29493823249920809</v>
      </c>
    </row>
    <row r="31" spans="1:15" x14ac:dyDescent="0.3">
      <c r="A31" t="s">
        <v>155</v>
      </c>
      <c r="B31" t="s">
        <v>156</v>
      </c>
      <c r="C31" t="s">
        <v>157</v>
      </c>
      <c r="D31" t="s">
        <v>37</v>
      </c>
      <c r="E31" t="s">
        <v>81</v>
      </c>
      <c r="F31" t="s">
        <v>68</v>
      </c>
      <c r="G31">
        <v>14</v>
      </c>
      <c r="H31">
        <v>27.08</v>
      </c>
      <c r="I31">
        <v>379.12</v>
      </c>
      <c r="J31">
        <v>11.12</v>
      </c>
      <c r="K31">
        <v>151</v>
      </c>
      <c r="L31" t="s">
        <v>33</v>
      </c>
      <c r="M31" t="s">
        <v>41</v>
      </c>
      <c r="N31" t="s">
        <v>35</v>
      </c>
      <c r="O31" s="5">
        <f t="shared" si="0"/>
        <v>0.39829077864528378</v>
      </c>
    </row>
    <row r="32" spans="1:15" x14ac:dyDescent="0.3">
      <c r="A32" t="s">
        <v>158</v>
      </c>
      <c r="B32" t="s">
        <v>159</v>
      </c>
      <c r="C32" t="s">
        <v>44</v>
      </c>
      <c r="D32" t="s">
        <v>37</v>
      </c>
      <c r="E32" t="s">
        <v>137</v>
      </c>
      <c r="F32" t="s">
        <v>68</v>
      </c>
      <c r="G32">
        <v>39</v>
      </c>
      <c r="H32">
        <v>35.32</v>
      </c>
      <c r="I32">
        <v>1377.48</v>
      </c>
      <c r="J32">
        <v>63.72</v>
      </c>
      <c r="K32">
        <v>221.76</v>
      </c>
      <c r="L32" t="s">
        <v>33</v>
      </c>
      <c r="M32" t="s">
        <v>34</v>
      </c>
      <c r="N32" t="s">
        <v>35</v>
      </c>
      <c r="O32" s="5">
        <f t="shared" si="0"/>
        <v>0.16098963324331386</v>
      </c>
    </row>
    <row r="33" spans="1:15" x14ac:dyDescent="0.3">
      <c r="A33" t="s">
        <v>160</v>
      </c>
      <c r="B33" t="s">
        <v>161</v>
      </c>
      <c r="C33" t="s">
        <v>162</v>
      </c>
      <c r="D33" t="s">
        <v>51</v>
      </c>
      <c r="E33" t="s">
        <v>67</v>
      </c>
      <c r="F33" t="s">
        <v>68</v>
      </c>
      <c r="G33">
        <v>6</v>
      </c>
      <c r="H33">
        <v>39.630000000000003</v>
      </c>
      <c r="I33">
        <v>237.78</v>
      </c>
      <c r="J33">
        <v>8.08</v>
      </c>
      <c r="K33">
        <v>94.7</v>
      </c>
      <c r="L33" t="s">
        <v>24</v>
      </c>
      <c r="M33" t="s">
        <v>41</v>
      </c>
      <c r="N33" t="s">
        <v>76</v>
      </c>
      <c r="O33" s="5">
        <f t="shared" si="0"/>
        <v>0.39826730591302884</v>
      </c>
    </row>
    <row r="34" spans="1:15" x14ac:dyDescent="0.3">
      <c r="A34" t="s">
        <v>163</v>
      </c>
      <c r="B34" t="s">
        <v>164</v>
      </c>
      <c r="C34" t="s">
        <v>165</v>
      </c>
      <c r="D34" t="s">
        <v>141</v>
      </c>
      <c r="E34" t="s">
        <v>56</v>
      </c>
      <c r="F34" t="s">
        <v>57</v>
      </c>
      <c r="G34">
        <v>36</v>
      </c>
      <c r="H34">
        <v>68.400000000000006</v>
      </c>
      <c r="I34">
        <v>2462.4</v>
      </c>
      <c r="J34">
        <v>150.83000000000001</v>
      </c>
      <c r="K34">
        <v>871.57</v>
      </c>
      <c r="L34" t="s">
        <v>33</v>
      </c>
      <c r="M34" t="s">
        <v>25</v>
      </c>
      <c r="N34" t="s">
        <v>142</v>
      </c>
      <c r="O34" s="5">
        <f t="shared" si="0"/>
        <v>0.35395142949967512</v>
      </c>
    </row>
    <row r="35" spans="1:15" x14ac:dyDescent="0.3">
      <c r="A35" t="s">
        <v>166</v>
      </c>
      <c r="B35" t="s">
        <v>167</v>
      </c>
      <c r="C35" t="s">
        <v>126</v>
      </c>
      <c r="D35" t="s">
        <v>37</v>
      </c>
      <c r="E35" t="s">
        <v>74</v>
      </c>
      <c r="F35" t="s">
        <v>75</v>
      </c>
      <c r="G35">
        <v>1</v>
      </c>
      <c r="H35">
        <v>44.98</v>
      </c>
      <c r="I35">
        <v>44.98</v>
      </c>
      <c r="J35">
        <v>2.81</v>
      </c>
      <c r="K35">
        <v>17.170000000000002</v>
      </c>
      <c r="L35" t="s">
        <v>33</v>
      </c>
      <c r="M35" t="s">
        <v>34</v>
      </c>
      <c r="N35" t="s">
        <v>35</v>
      </c>
      <c r="O35" s="5">
        <f t="shared" si="0"/>
        <v>0.38172521120498004</v>
      </c>
    </row>
    <row r="36" spans="1:15" x14ac:dyDescent="0.3">
      <c r="A36" t="s">
        <v>168</v>
      </c>
      <c r="B36" t="s">
        <v>169</v>
      </c>
      <c r="C36" t="s">
        <v>170</v>
      </c>
      <c r="D36" t="s">
        <v>171</v>
      </c>
      <c r="E36" t="s">
        <v>137</v>
      </c>
      <c r="F36" t="s">
        <v>68</v>
      </c>
      <c r="G36">
        <v>3</v>
      </c>
      <c r="H36">
        <v>37.74</v>
      </c>
      <c r="I36">
        <v>113.22</v>
      </c>
      <c r="J36">
        <v>4.04</v>
      </c>
      <c r="K36">
        <v>25.18</v>
      </c>
      <c r="L36" t="s">
        <v>33</v>
      </c>
      <c r="M36" t="s">
        <v>34</v>
      </c>
      <c r="N36" t="s">
        <v>35</v>
      </c>
      <c r="O36" s="5">
        <f t="shared" si="0"/>
        <v>0.22239886945769299</v>
      </c>
    </row>
    <row r="37" spans="1:15" x14ac:dyDescent="0.3">
      <c r="A37" t="s">
        <v>172</v>
      </c>
      <c r="B37" t="s">
        <v>173</v>
      </c>
      <c r="C37" t="s">
        <v>174</v>
      </c>
      <c r="D37" t="s">
        <v>171</v>
      </c>
      <c r="E37" t="s">
        <v>74</v>
      </c>
      <c r="F37" t="s">
        <v>75</v>
      </c>
      <c r="G37">
        <v>12</v>
      </c>
      <c r="H37">
        <v>39.799999999999997</v>
      </c>
      <c r="I37">
        <v>477.6</v>
      </c>
      <c r="J37">
        <v>20.54</v>
      </c>
      <c r="K37">
        <v>157.06</v>
      </c>
      <c r="L37" t="s">
        <v>48</v>
      </c>
      <c r="M37" t="s">
        <v>34</v>
      </c>
      <c r="N37" t="s">
        <v>35</v>
      </c>
      <c r="O37" s="5">
        <f t="shared" si="0"/>
        <v>0.32885259631490787</v>
      </c>
    </row>
    <row r="38" spans="1:15" x14ac:dyDescent="0.3">
      <c r="A38" t="s">
        <v>175</v>
      </c>
      <c r="B38" t="s">
        <v>176</v>
      </c>
      <c r="C38" t="s">
        <v>177</v>
      </c>
      <c r="D38" t="s">
        <v>51</v>
      </c>
      <c r="E38" t="s">
        <v>46</v>
      </c>
      <c r="F38" t="s">
        <v>47</v>
      </c>
      <c r="G38">
        <v>26</v>
      </c>
      <c r="H38">
        <v>43.23</v>
      </c>
      <c r="I38">
        <v>1123.98</v>
      </c>
      <c r="J38">
        <v>57.2</v>
      </c>
      <c r="K38">
        <v>234.78</v>
      </c>
      <c r="L38" t="s">
        <v>33</v>
      </c>
      <c r="M38" t="s">
        <v>41</v>
      </c>
      <c r="N38" t="s">
        <v>76</v>
      </c>
      <c r="O38" s="5">
        <f t="shared" si="0"/>
        <v>0.20888272033310201</v>
      </c>
    </row>
    <row r="39" spans="1:15" x14ac:dyDescent="0.3">
      <c r="A39" t="s">
        <v>178</v>
      </c>
      <c r="B39" t="s">
        <v>179</v>
      </c>
      <c r="C39" t="s">
        <v>44</v>
      </c>
      <c r="D39" t="s">
        <v>37</v>
      </c>
      <c r="E39" t="s">
        <v>56</v>
      </c>
      <c r="F39" t="s">
        <v>57</v>
      </c>
      <c r="G39">
        <v>17</v>
      </c>
      <c r="H39">
        <v>66.34</v>
      </c>
      <c r="I39">
        <v>1127.78</v>
      </c>
      <c r="J39">
        <v>81.150000000000006</v>
      </c>
      <c r="K39">
        <v>366.63</v>
      </c>
      <c r="L39" t="s">
        <v>33</v>
      </c>
      <c r="M39" t="s">
        <v>41</v>
      </c>
      <c r="N39" t="s">
        <v>35</v>
      </c>
      <c r="O39" s="5">
        <f t="shared" si="0"/>
        <v>0.32508999982266046</v>
      </c>
    </row>
    <row r="40" spans="1:15" x14ac:dyDescent="0.3">
      <c r="A40" t="s">
        <v>180</v>
      </c>
      <c r="B40" t="s">
        <v>181</v>
      </c>
      <c r="C40" t="s">
        <v>182</v>
      </c>
      <c r="D40" t="s">
        <v>116</v>
      </c>
      <c r="E40" t="s">
        <v>74</v>
      </c>
      <c r="F40" t="s">
        <v>75</v>
      </c>
      <c r="G40">
        <v>4</v>
      </c>
      <c r="H40">
        <v>33.869999999999997</v>
      </c>
      <c r="I40">
        <v>135.47999999999999</v>
      </c>
      <c r="J40">
        <v>6.59</v>
      </c>
      <c r="K40">
        <v>28.89</v>
      </c>
      <c r="L40" t="s">
        <v>24</v>
      </c>
      <c r="M40" t="s">
        <v>41</v>
      </c>
      <c r="N40" t="s">
        <v>76</v>
      </c>
      <c r="O40" s="5">
        <f t="shared" si="0"/>
        <v>0.21324180690876884</v>
      </c>
    </row>
    <row r="41" spans="1:15" x14ac:dyDescent="0.3">
      <c r="A41" t="s">
        <v>183</v>
      </c>
      <c r="B41" t="s">
        <v>184</v>
      </c>
      <c r="C41" t="s">
        <v>185</v>
      </c>
      <c r="D41" t="s">
        <v>37</v>
      </c>
      <c r="E41" t="s">
        <v>56</v>
      </c>
      <c r="F41" t="s">
        <v>57</v>
      </c>
      <c r="G41">
        <v>10</v>
      </c>
      <c r="H41">
        <v>64.650000000000006</v>
      </c>
      <c r="I41">
        <v>646.5</v>
      </c>
      <c r="J41">
        <v>17.89</v>
      </c>
      <c r="K41">
        <v>228.61</v>
      </c>
      <c r="L41" t="s">
        <v>48</v>
      </c>
      <c r="M41" t="s">
        <v>25</v>
      </c>
      <c r="N41" t="s">
        <v>35</v>
      </c>
      <c r="O41" s="5">
        <f t="shared" si="0"/>
        <v>0.35361175560711527</v>
      </c>
    </row>
    <row r="42" spans="1:15" x14ac:dyDescent="0.3">
      <c r="A42" t="s">
        <v>186</v>
      </c>
      <c r="B42" t="s">
        <v>187</v>
      </c>
      <c r="C42" t="s">
        <v>188</v>
      </c>
      <c r="D42" t="s">
        <v>141</v>
      </c>
      <c r="E42" t="s">
        <v>67</v>
      </c>
      <c r="F42" t="s">
        <v>68</v>
      </c>
      <c r="G42">
        <v>12</v>
      </c>
      <c r="H42">
        <v>29.56</v>
      </c>
      <c r="I42">
        <v>354.72</v>
      </c>
      <c r="J42">
        <v>21.4</v>
      </c>
      <c r="K42">
        <v>63.32</v>
      </c>
      <c r="L42" t="s">
        <v>33</v>
      </c>
      <c r="M42" t="s">
        <v>25</v>
      </c>
      <c r="N42" t="s">
        <v>142</v>
      </c>
      <c r="O42" s="5">
        <f t="shared" si="0"/>
        <v>0.17850699142986015</v>
      </c>
    </row>
    <row r="43" spans="1:15" x14ac:dyDescent="0.3">
      <c r="A43" t="s">
        <v>189</v>
      </c>
      <c r="B43" t="s">
        <v>190</v>
      </c>
      <c r="C43" t="s">
        <v>191</v>
      </c>
      <c r="D43" t="s">
        <v>21</v>
      </c>
      <c r="E43" t="s">
        <v>74</v>
      </c>
      <c r="F43" t="s">
        <v>75</v>
      </c>
      <c r="G43">
        <v>4</v>
      </c>
      <c r="H43">
        <v>35.36</v>
      </c>
      <c r="I43">
        <v>141.44</v>
      </c>
      <c r="J43">
        <v>8.66</v>
      </c>
      <c r="K43">
        <v>32.78</v>
      </c>
      <c r="L43" t="s">
        <v>48</v>
      </c>
      <c r="M43" t="s">
        <v>34</v>
      </c>
      <c r="N43" t="s">
        <v>98</v>
      </c>
      <c r="O43" s="5">
        <f t="shared" si="0"/>
        <v>0.23175904977375567</v>
      </c>
    </row>
    <row r="44" spans="1:15" x14ac:dyDescent="0.3">
      <c r="A44" t="s">
        <v>192</v>
      </c>
      <c r="B44" t="s">
        <v>193</v>
      </c>
      <c r="C44" t="s">
        <v>194</v>
      </c>
      <c r="D44" t="s">
        <v>37</v>
      </c>
      <c r="E44" t="s">
        <v>63</v>
      </c>
      <c r="F44" t="s">
        <v>47</v>
      </c>
      <c r="G44">
        <v>28</v>
      </c>
      <c r="H44">
        <v>31.42</v>
      </c>
      <c r="I44">
        <v>879.76</v>
      </c>
      <c r="J44">
        <v>69.319999999999993</v>
      </c>
      <c r="K44">
        <v>250.44</v>
      </c>
      <c r="L44" t="s">
        <v>24</v>
      </c>
      <c r="M44" t="s">
        <v>41</v>
      </c>
      <c r="N44" t="s">
        <v>35</v>
      </c>
      <c r="O44" s="5">
        <f t="shared" si="0"/>
        <v>0.28466854596708191</v>
      </c>
    </row>
    <row r="45" spans="1:15" x14ac:dyDescent="0.3">
      <c r="A45" t="s">
        <v>195</v>
      </c>
      <c r="B45" t="s">
        <v>196</v>
      </c>
      <c r="C45" t="s">
        <v>197</v>
      </c>
      <c r="D45" t="s">
        <v>21</v>
      </c>
      <c r="E45" t="s">
        <v>22</v>
      </c>
      <c r="F45" t="s">
        <v>23</v>
      </c>
      <c r="G45">
        <v>35</v>
      </c>
      <c r="H45">
        <v>55.12</v>
      </c>
      <c r="I45">
        <v>1929.2</v>
      </c>
      <c r="J45">
        <v>58.22</v>
      </c>
      <c r="K45">
        <v>645.98</v>
      </c>
      <c r="L45" t="s">
        <v>24</v>
      </c>
      <c r="M45" t="s">
        <v>25</v>
      </c>
      <c r="N45" t="s">
        <v>98</v>
      </c>
      <c r="O45" s="5">
        <f t="shared" si="0"/>
        <v>0.3348434584283641</v>
      </c>
    </row>
    <row r="46" spans="1:15" x14ac:dyDescent="0.3">
      <c r="A46" t="s">
        <v>198</v>
      </c>
      <c r="B46" t="s">
        <v>199</v>
      </c>
      <c r="C46" t="s">
        <v>200</v>
      </c>
      <c r="D46" t="s">
        <v>123</v>
      </c>
      <c r="E46" t="s">
        <v>67</v>
      </c>
      <c r="F46" t="s">
        <v>68</v>
      </c>
      <c r="G46">
        <v>41</v>
      </c>
      <c r="H46">
        <v>33.94</v>
      </c>
      <c r="I46">
        <v>1391.54</v>
      </c>
      <c r="J46">
        <v>33.26</v>
      </c>
      <c r="K46">
        <v>435.78</v>
      </c>
      <c r="L46" t="s">
        <v>24</v>
      </c>
      <c r="M46" t="s">
        <v>41</v>
      </c>
      <c r="N46" t="s">
        <v>76</v>
      </c>
      <c r="O46" s="5">
        <f t="shared" si="0"/>
        <v>0.31316383287580662</v>
      </c>
    </row>
    <row r="47" spans="1:15" x14ac:dyDescent="0.3">
      <c r="A47" t="s">
        <v>201</v>
      </c>
      <c r="B47" t="s">
        <v>107</v>
      </c>
      <c r="C47" t="s">
        <v>119</v>
      </c>
      <c r="D47" t="s">
        <v>116</v>
      </c>
      <c r="E47" t="s">
        <v>67</v>
      </c>
      <c r="F47" t="s">
        <v>68</v>
      </c>
      <c r="G47">
        <v>20</v>
      </c>
      <c r="H47">
        <v>38.43</v>
      </c>
      <c r="I47">
        <v>768.6</v>
      </c>
      <c r="J47">
        <v>60.07</v>
      </c>
      <c r="K47">
        <v>258.52999999999997</v>
      </c>
      <c r="L47" t="s">
        <v>48</v>
      </c>
      <c r="M47" t="s">
        <v>41</v>
      </c>
      <c r="N47" t="s">
        <v>76</v>
      </c>
      <c r="O47" s="5">
        <f t="shared" si="0"/>
        <v>0.33636481915170435</v>
      </c>
    </row>
    <row r="48" spans="1:15" x14ac:dyDescent="0.3">
      <c r="A48" t="s">
        <v>202</v>
      </c>
      <c r="B48" t="s">
        <v>203</v>
      </c>
      <c r="C48" t="s">
        <v>122</v>
      </c>
      <c r="D48" t="s">
        <v>45</v>
      </c>
      <c r="E48" t="s">
        <v>74</v>
      </c>
      <c r="F48" t="s">
        <v>75</v>
      </c>
      <c r="G48">
        <v>23</v>
      </c>
      <c r="H48">
        <v>35.07</v>
      </c>
      <c r="I48">
        <v>806.61</v>
      </c>
      <c r="J48">
        <v>21.23</v>
      </c>
      <c r="K48">
        <v>210.38</v>
      </c>
      <c r="L48" t="s">
        <v>24</v>
      </c>
      <c r="M48" t="s">
        <v>41</v>
      </c>
      <c r="N48" t="s">
        <v>49</v>
      </c>
      <c r="O48" s="5">
        <f t="shared" si="0"/>
        <v>0.26081997495691844</v>
      </c>
    </row>
    <row r="49" spans="1:15" x14ac:dyDescent="0.3">
      <c r="A49" t="s">
        <v>204</v>
      </c>
      <c r="B49" t="s">
        <v>205</v>
      </c>
      <c r="C49" t="s">
        <v>113</v>
      </c>
      <c r="D49" t="s">
        <v>206</v>
      </c>
      <c r="E49" t="s">
        <v>56</v>
      </c>
      <c r="F49" t="s">
        <v>57</v>
      </c>
      <c r="G49">
        <v>35</v>
      </c>
      <c r="H49">
        <v>71.44</v>
      </c>
      <c r="I49">
        <v>2500.4</v>
      </c>
      <c r="J49">
        <v>166.81</v>
      </c>
      <c r="K49">
        <v>933.59</v>
      </c>
      <c r="L49" t="s">
        <v>33</v>
      </c>
      <c r="M49" t="s">
        <v>34</v>
      </c>
      <c r="N49" t="s">
        <v>207</v>
      </c>
      <c r="O49" s="5">
        <f t="shared" si="0"/>
        <v>0.37337625979843225</v>
      </c>
    </row>
    <row r="50" spans="1:15" x14ac:dyDescent="0.3">
      <c r="A50" t="s">
        <v>208</v>
      </c>
      <c r="B50" t="s">
        <v>209</v>
      </c>
      <c r="C50" t="s">
        <v>185</v>
      </c>
      <c r="D50" t="s">
        <v>55</v>
      </c>
      <c r="E50" t="s">
        <v>32</v>
      </c>
      <c r="F50" t="s">
        <v>23</v>
      </c>
      <c r="G50">
        <v>11</v>
      </c>
      <c r="H50">
        <v>26.05</v>
      </c>
      <c r="I50">
        <v>286.55</v>
      </c>
      <c r="J50">
        <v>13.39</v>
      </c>
      <c r="K50">
        <v>75.16</v>
      </c>
      <c r="L50" t="s">
        <v>33</v>
      </c>
      <c r="M50" t="s">
        <v>25</v>
      </c>
      <c r="N50" t="s">
        <v>98</v>
      </c>
      <c r="O50" s="5">
        <f t="shared" si="0"/>
        <v>0.26229279357878205</v>
      </c>
    </row>
    <row r="51" spans="1:15" x14ac:dyDescent="0.3">
      <c r="A51" t="s">
        <v>210</v>
      </c>
      <c r="B51" t="s">
        <v>211</v>
      </c>
      <c r="C51" t="s">
        <v>54</v>
      </c>
      <c r="D51" t="s">
        <v>31</v>
      </c>
      <c r="E51" t="s">
        <v>81</v>
      </c>
      <c r="F51" t="s">
        <v>68</v>
      </c>
      <c r="G51">
        <v>46</v>
      </c>
      <c r="H51">
        <v>26.67</v>
      </c>
      <c r="I51">
        <v>1226.82</v>
      </c>
      <c r="J51">
        <v>83.55</v>
      </c>
      <c r="K51">
        <v>430.27</v>
      </c>
      <c r="L51" t="s">
        <v>24</v>
      </c>
      <c r="M51" t="s">
        <v>41</v>
      </c>
      <c r="N51" t="s">
        <v>35</v>
      </c>
      <c r="O51" s="5">
        <f t="shared" si="0"/>
        <v>0.35071974698814823</v>
      </c>
    </row>
    <row r="52" spans="1:15" x14ac:dyDescent="0.3">
      <c r="A52" t="s">
        <v>212</v>
      </c>
      <c r="B52" t="s">
        <v>213</v>
      </c>
      <c r="C52" t="s">
        <v>148</v>
      </c>
      <c r="D52" t="s">
        <v>31</v>
      </c>
      <c r="E52" t="s">
        <v>137</v>
      </c>
      <c r="F52" t="s">
        <v>68</v>
      </c>
      <c r="G52">
        <v>12</v>
      </c>
      <c r="H52">
        <v>42.84</v>
      </c>
      <c r="I52">
        <v>514.08000000000004</v>
      </c>
      <c r="J52">
        <v>22.74</v>
      </c>
      <c r="K52">
        <v>155.34</v>
      </c>
      <c r="L52" t="s">
        <v>48</v>
      </c>
      <c r="M52" t="s">
        <v>25</v>
      </c>
      <c r="N52" t="s">
        <v>35</v>
      </c>
      <c r="O52" s="5">
        <f t="shared" si="0"/>
        <v>0.30217086834733892</v>
      </c>
    </row>
    <row r="53" spans="1:15" x14ac:dyDescent="0.3">
      <c r="A53" t="s">
        <v>214</v>
      </c>
      <c r="B53" t="s">
        <v>215</v>
      </c>
      <c r="C53" t="s">
        <v>216</v>
      </c>
      <c r="D53" t="s">
        <v>116</v>
      </c>
      <c r="E53" t="s">
        <v>32</v>
      </c>
      <c r="F53" t="s">
        <v>23</v>
      </c>
      <c r="G53">
        <v>18</v>
      </c>
      <c r="H53">
        <v>30.89</v>
      </c>
      <c r="I53">
        <v>556.02</v>
      </c>
      <c r="J53">
        <v>12</v>
      </c>
      <c r="K53">
        <v>220.02</v>
      </c>
      <c r="L53" t="s">
        <v>33</v>
      </c>
      <c r="M53" t="s">
        <v>25</v>
      </c>
      <c r="N53" t="s">
        <v>76</v>
      </c>
      <c r="O53" s="5">
        <f t="shared" si="0"/>
        <v>0.39570519046077485</v>
      </c>
    </row>
    <row r="54" spans="1:15" x14ac:dyDescent="0.3">
      <c r="A54" t="s">
        <v>217</v>
      </c>
      <c r="B54" t="s">
        <v>218</v>
      </c>
      <c r="C54" t="s">
        <v>219</v>
      </c>
      <c r="D54" t="s">
        <v>55</v>
      </c>
      <c r="E54" t="s">
        <v>22</v>
      </c>
      <c r="F54" t="s">
        <v>23</v>
      </c>
      <c r="G54">
        <v>21</v>
      </c>
      <c r="H54">
        <v>52.41</v>
      </c>
      <c r="I54">
        <v>1100.6099999999999</v>
      </c>
      <c r="J54">
        <v>81.099999999999994</v>
      </c>
      <c r="K54">
        <v>284.51</v>
      </c>
      <c r="L54" t="s">
        <v>48</v>
      </c>
      <c r="M54" t="s">
        <v>34</v>
      </c>
      <c r="N54" t="s">
        <v>98</v>
      </c>
      <c r="O54" s="5">
        <f t="shared" si="0"/>
        <v>0.25850210337903529</v>
      </c>
    </row>
    <row r="55" spans="1:15" x14ac:dyDescent="0.3">
      <c r="A55" t="s">
        <v>220</v>
      </c>
      <c r="B55" t="s">
        <v>221</v>
      </c>
      <c r="C55" t="s">
        <v>222</v>
      </c>
      <c r="D55" t="s">
        <v>206</v>
      </c>
      <c r="E55" t="s">
        <v>137</v>
      </c>
      <c r="F55" t="s">
        <v>68</v>
      </c>
      <c r="G55">
        <v>17</v>
      </c>
      <c r="H55">
        <v>38.64</v>
      </c>
      <c r="I55">
        <v>656.88</v>
      </c>
      <c r="J55">
        <v>13.86</v>
      </c>
      <c r="K55">
        <v>167.02</v>
      </c>
      <c r="L55" t="s">
        <v>33</v>
      </c>
      <c r="M55" t="s">
        <v>25</v>
      </c>
      <c r="N55" t="s">
        <v>207</v>
      </c>
      <c r="O55" s="5">
        <f t="shared" si="0"/>
        <v>0.25426257459505541</v>
      </c>
    </row>
    <row r="56" spans="1:15" x14ac:dyDescent="0.3">
      <c r="A56" t="s">
        <v>223</v>
      </c>
      <c r="B56" t="s">
        <v>224</v>
      </c>
      <c r="C56" t="s">
        <v>191</v>
      </c>
      <c r="D56" t="s">
        <v>127</v>
      </c>
      <c r="E56" t="s">
        <v>32</v>
      </c>
      <c r="F56" t="s">
        <v>23</v>
      </c>
      <c r="G56">
        <v>41</v>
      </c>
      <c r="H56">
        <v>25.79</v>
      </c>
      <c r="I56">
        <v>1057.3900000000001</v>
      </c>
      <c r="J56">
        <v>71.22</v>
      </c>
      <c r="K56">
        <v>248.17</v>
      </c>
      <c r="L56" t="s">
        <v>33</v>
      </c>
      <c r="M56" t="s">
        <v>34</v>
      </c>
      <c r="N56" t="s">
        <v>76</v>
      </c>
      <c r="O56" s="5">
        <f t="shared" si="0"/>
        <v>0.23470053622599038</v>
      </c>
    </row>
    <row r="57" spans="1:15" x14ac:dyDescent="0.3">
      <c r="A57" t="s">
        <v>225</v>
      </c>
      <c r="B57" t="s">
        <v>226</v>
      </c>
      <c r="C57" t="s">
        <v>227</v>
      </c>
      <c r="D57" t="s">
        <v>127</v>
      </c>
      <c r="E57" t="s">
        <v>137</v>
      </c>
      <c r="F57" t="s">
        <v>68</v>
      </c>
      <c r="G57">
        <v>41</v>
      </c>
      <c r="H57">
        <v>41.13</v>
      </c>
      <c r="I57">
        <v>1686.33</v>
      </c>
      <c r="J57">
        <v>80.12</v>
      </c>
      <c r="K57">
        <v>458.21</v>
      </c>
      <c r="L57" t="s">
        <v>33</v>
      </c>
      <c r="M57" t="s">
        <v>41</v>
      </c>
      <c r="N57" t="s">
        <v>76</v>
      </c>
      <c r="O57" s="5">
        <f t="shared" si="0"/>
        <v>0.27172024455474314</v>
      </c>
    </row>
    <row r="58" spans="1:15" x14ac:dyDescent="0.3">
      <c r="A58" t="s">
        <v>228</v>
      </c>
      <c r="B58" t="s">
        <v>229</v>
      </c>
      <c r="C58" t="s">
        <v>113</v>
      </c>
      <c r="D58" t="s">
        <v>51</v>
      </c>
      <c r="E58" t="s">
        <v>56</v>
      </c>
      <c r="F58" t="s">
        <v>57</v>
      </c>
      <c r="G58">
        <v>33</v>
      </c>
      <c r="H58">
        <v>55.67</v>
      </c>
      <c r="I58">
        <v>1837.11</v>
      </c>
      <c r="J58">
        <v>144.32</v>
      </c>
      <c r="K58">
        <v>372.79</v>
      </c>
      <c r="L58" t="s">
        <v>24</v>
      </c>
      <c r="M58" t="s">
        <v>25</v>
      </c>
      <c r="N58" t="s">
        <v>76</v>
      </c>
      <c r="O58" s="5">
        <f t="shared" si="0"/>
        <v>0.2029219807197174</v>
      </c>
    </row>
    <row r="59" spans="1:15" x14ac:dyDescent="0.3">
      <c r="A59" t="s">
        <v>230</v>
      </c>
      <c r="B59" t="s">
        <v>231</v>
      </c>
      <c r="C59" t="s">
        <v>232</v>
      </c>
      <c r="D59" t="s">
        <v>127</v>
      </c>
      <c r="E59" t="s">
        <v>56</v>
      </c>
      <c r="F59" t="s">
        <v>57</v>
      </c>
      <c r="G59">
        <v>18</v>
      </c>
      <c r="H59">
        <v>50.87</v>
      </c>
      <c r="I59">
        <v>915.66</v>
      </c>
      <c r="J59">
        <v>49.93</v>
      </c>
      <c r="K59">
        <v>145.72999999999999</v>
      </c>
      <c r="L59" t="s">
        <v>24</v>
      </c>
      <c r="M59" t="s">
        <v>34</v>
      </c>
      <c r="N59" t="s">
        <v>76</v>
      </c>
      <c r="O59" s="5">
        <f t="shared" si="0"/>
        <v>0.15915296070593887</v>
      </c>
    </row>
    <row r="60" spans="1:15" x14ac:dyDescent="0.3">
      <c r="A60" t="s">
        <v>233</v>
      </c>
      <c r="B60" t="s">
        <v>234</v>
      </c>
      <c r="C60" t="s">
        <v>235</v>
      </c>
      <c r="D60" t="s">
        <v>141</v>
      </c>
      <c r="E60" t="s">
        <v>81</v>
      </c>
      <c r="F60" t="s">
        <v>68</v>
      </c>
      <c r="G60">
        <v>14</v>
      </c>
      <c r="H60">
        <v>26.7</v>
      </c>
      <c r="I60">
        <v>373.8</v>
      </c>
      <c r="J60">
        <v>11.84</v>
      </c>
      <c r="K60">
        <v>144.96</v>
      </c>
      <c r="L60" t="s">
        <v>48</v>
      </c>
      <c r="M60" t="s">
        <v>25</v>
      </c>
      <c r="N60" t="s">
        <v>142</v>
      </c>
      <c r="O60" s="5">
        <f t="shared" si="0"/>
        <v>0.38780096308186196</v>
      </c>
    </row>
    <row r="61" spans="1:15" x14ac:dyDescent="0.3">
      <c r="A61" t="s">
        <v>236</v>
      </c>
      <c r="B61" t="s">
        <v>237</v>
      </c>
      <c r="C61" t="s">
        <v>238</v>
      </c>
      <c r="D61" t="s">
        <v>21</v>
      </c>
      <c r="E61" t="s">
        <v>32</v>
      </c>
      <c r="F61" t="s">
        <v>23</v>
      </c>
      <c r="G61">
        <v>16</v>
      </c>
      <c r="H61">
        <v>28.96</v>
      </c>
      <c r="I61">
        <v>463.36</v>
      </c>
      <c r="J61">
        <v>35.65</v>
      </c>
      <c r="K61">
        <v>139.71</v>
      </c>
      <c r="L61" t="s">
        <v>24</v>
      </c>
      <c r="M61" t="s">
        <v>41</v>
      </c>
      <c r="N61" t="s">
        <v>98</v>
      </c>
      <c r="O61" s="5">
        <f t="shared" si="0"/>
        <v>0.30151502071823205</v>
      </c>
    </row>
    <row r="62" spans="1:15" x14ac:dyDescent="0.3">
      <c r="A62" t="s">
        <v>239</v>
      </c>
      <c r="B62" t="s">
        <v>240</v>
      </c>
      <c r="C62" t="s">
        <v>113</v>
      </c>
      <c r="D62" t="s">
        <v>241</v>
      </c>
      <c r="E62" t="s">
        <v>32</v>
      </c>
      <c r="F62" t="s">
        <v>23</v>
      </c>
      <c r="G62">
        <v>47</v>
      </c>
      <c r="H62">
        <v>23.03</v>
      </c>
      <c r="I62">
        <v>1082.4100000000001</v>
      </c>
      <c r="J62">
        <v>50.12</v>
      </c>
      <c r="K62">
        <v>186.29</v>
      </c>
      <c r="L62" t="s">
        <v>48</v>
      </c>
      <c r="M62" t="s">
        <v>25</v>
      </c>
      <c r="N62" t="s">
        <v>35</v>
      </c>
      <c r="O62" s="5">
        <f t="shared" si="0"/>
        <v>0.1721066878539555</v>
      </c>
    </row>
    <row r="63" spans="1:15" x14ac:dyDescent="0.3">
      <c r="A63" t="s">
        <v>242</v>
      </c>
      <c r="B63" t="s">
        <v>243</v>
      </c>
      <c r="C63" t="s">
        <v>238</v>
      </c>
      <c r="D63" t="s">
        <v>206</v>
      </c>
      <c r="E63" t="s">
        <v>22</v>
      </c>
      <c r="F63" t="s">
        <v>23</v>
      </c>
      <c r="G63">
        <v>18</v>
      </c>
      <c r="H63">
        <v>50.03</v>
      </c>
      <c r="I63">
        <v>900.54</v>
      </c>
      <c r="J63">
        <v>68.44</v>
      </c>
      <c r="K63">
        <v>202.1</v>
      </c>
      <c r="L63" t="s">
        <v>48</v>
      </c>
      <c r="M63" t="s">
        <v>25</v>
      </c>
      <c r="N63" t="s">
        <v>207</v>
      </c>
      <c r="O63" s="5">
        <f t="shared" si="0"/>
        <v>0.22442090301374731</v>
      </c>
    </row>
    <row r="64" spans="1:15" x14ac:dyDescent="0.3">
      <c r="A64" t="s">
        <v>244</v>
      </c>
      <c r="B64" t="s">
        <v>245</v>
      </c>
      <c r="C64" t="s">
        <v>246</v>
      </c>
      <c r="D64" t="s">
        <v>31</v>
      </c>
      <c r="E64" t="s">
        <v>74</v>
      </c>
      <c r="F64" t="s">
        <v>75</v>
      </c>
      <c r="G64">
        <v>38</v>
      </c>
      <c r="H64">
        <v>32.07</v>
      </c>
      <c r="I64">
        <v>1218.6600000000001</v>
      </c>
      <c r="J64">
        <v>54.49</v>
      </c>
      <c r="K64">
        <v>214.17</v>
      </c>
      <c r="L64" t="s">
        <v>48</v>
      </c>
      <c r="M64" t="s">
        <v>41</v>
      </c>
      <c r="N64" t="s">
        <v>35</v>
      </c>
      <c r="O64" s="5">
        <f t="shared" si="0"/>
        <v>0.17574220865540838</v>
      </c>
    </row>
    <row r="65" spans="1:15" x14ac:dyDescent="0.3">
      <c r="A65" t="s">
        <v>247</v>
      </c>
      <c r="B65" t="s">
        <v>248</v>
      </c>
      <c r="C65" t="s">
        <v>249</v>
      </c>
      <c r="D65" t="s">
        <v>45</v>
      </c>
      <c r="E65" t="s">
        <v>46</v>
      </c>
      <c r="F65" t="s">
        <v>47</v>
      </c>
      <c r="G65">
        <v>23</v>
      </c>
      <c r="H65">
        <v>50.96</v>
      </c>
      <c r="I65">
        <v>1172.08</v>
      </c>
      <c r="J65">
        <v>61</v>
      </c>
      <c r="K65">
        <v>375.08</v>
      </c>
      <c r="L65" t="s">
        <v>48</v>
      </c>
      <c r="M65" t="s">
        <v>34</v>
      </c>
      <c r="N65" t="s">
        <v>49</v>
      </c>
      <c r="O65" s="5">
        <f t="shared" si="0"/>
        <v>0.32001228585079516</v>
      </c>
    </row>
    <row r="66" spans="1:15" x14ac:dyDescent="0.3">
      <c r="A66" t="s">
        <v>250</v>
      </c>
      <c r="B66" t="s">
        <v>251</v>
      </c>
      <c r="C66" t="s">
        <v>252</v>
      </c>
      <c r="D66" t="s">
        <v>127</v>
      </c>
      <c r="E66" t="s">
        <v>56</v>
      </c>
      <c r="F66" t="s">
        <v>57</v>
      </c>
      <c r="G66">
        <v>46</v>
      </c>
      <c r="H66">
        <v>70.599999999999994</v>
      </c>
      <c r="I66">
        <v>3247.6</v>
      </c>
      <c r="J66">
        <v>166.91</v>
      </c>
      <c r="K66">
        <v>1240.69</v>
      </c>
      <c r="L66" t="s">
        <v>48</v>
      </c>
      <c r="M66" t="s">
        <v>34</v>
      </c>
      <c r="N66" t="s">
        <v>76</v>
      </c>
      <c r="O66" s="5">
        <f t="shared" si="0"/>
        <v>0.3820328858233773</v>
      </c>
    </row>
    <row r="67" spans="1:15" x14ac:dyDescent="0.3">
      <c r="A67" t="s">
        <v>253</v>
      </c>
      <c r="B67" t="s">
        <v>254</v>
      </c>
      <c r="C67" t="s">
        <v>148</v>
      </c>
      <c r="D67" t="s">
        <v>127</v>
      </c>
      <c r="E67" t="s">
        <v>56</v>
      </c>
      <c r="F67" t="s">
        <v>57</v>
      </c>
      <c r="G67">
        <v>15</v>
      </c>
      <c r="H67">
        <v>53.36</v>
      </c>
      <c r="I67">
        <v>800.4</v>
      </c>
      <c r="J67">
        <v>56.29</v>
      </c>
      <c r="K67">
        <v>144.11000000000001</v>
      </c>
      <c r="L67" t="s">
        <v>24</v>
      </c>
      <c r="M67" t="s">
        <v>25</v>
      </c>
      <c r="N67" t="s">
        <v>76</v>
      </c>
      <c r="O67" s="5">
        <f t="shared" si="0"/>
        <v>0.18004747626186909</v>
      </c>
    </row>
    <row r="68" spans="1:15" x14ac:dyDescent="0.3">
      <c r="A68" t="s">
        <v>255</v>
      </c>
      <c r="B68" t="s">
        <v>256</v>
      </c>
      <c r="C68" t="s">
        <v>257</v>
      </c>
      <c r="D68" t="s">
        <v>206</v>
      </c>
      <c r="E68" t="s">
        <v>46</v>
      </c>
      <c r="F68" t="s">
        <v>47</v>
      </c>
      <c r="G68">
        <v>42</v>
      </c>
      <c r="H68">
        <v>39.840000000000003</v>
      </c>
      <c r="I68">
        <v>1673.28</v>
      </c>
      <c r="J68">
        <v>132.74</v>
      </c>
      <c r="K68">
        <v>196.54</v>
      </c>
      <c r="L68" t="s">
        <v>24</v>
      </c>
      <c r="M68" t="s">
        <v>41</v>
      </c>
      <c r="N68" t="s">
        <v>207</v>
      </c>
      <c r="O68" s="5">
        <f t="shared" si="0"/>
        <v>0.11745792694587875</v>
      </c>
    </row>
    <row r="69" spans="1:15" x14ac:dyDescent="0.3">
      <c r="A69" t="s">
        <v>258</v>
      </c>
      <c r="B69" t="s">
        <v>259</v>
      </c>
      <c r="C69" t="s">
        <v>232</v>
      </c>
      <c r="D69" t="s">
        <v>127</v>
      </c>
      <c r="E69" t="s">
        <v>74</v>
      </c>
      <c r="F69" t="s">
        <v>75</v>
      </c>
      <c r="G69">
        <v>31</v>
      </c>
      <c r="H69">
        <v>38.26</v>
      </c>
      <c r="I69">
        <v>1186.06</v>
      </c>
      <c r="J69">
        <v>69.33</v>
      </c>
      <c r="K69">
        <v>341.73</v>
      </c>
      <c r="L69" t="s">
        <v>33</v>
      </c>
      <c r="M69" t="s">
        <v>25</v>
      </c>
      <c r="N69" t="s">
        <v>76</v>
      </c>
      <c r="O69" s="5">
        <f t="shared" si="0"/>
        <v>0.28812201743588017</v>
      </c>
    </row>
    <row r="70" spans="1:15" x14ac:dyDescent="0.3">
      <c r="A70" t="s">
        <v>260</v>
      </c>
      <c r="B70" t="s">
        <v>261</v>
      </c>
      <c r="C70" t="s">
        <v>235</v>
      </c>
      <c r="D70" t="s">
        <v>171</v>
      </c>
      <c r="E70" t="s">
        <v>81</v>
      </c>
      <c r="F70" t="s">
        <v>68</v>
      </c>
      <c r="G70">
        <v>2</v>
      </c>
      <c r="H70">
        <v>23.09</v>
      </c>
      <c r="I70">
        <v>46.18</v>
      </c>
      <c r="J70">
        <v>2.52</v>
      </c>
      <c r="K70">
        <v>12.66</v>
      </c>
      <c r="L70" t="s">
        <v>33</v>
      </c>
      <c r="M70" t="s">
        <v>34</v>
      </c>
      <c r="N70" t="s">
        <v>35</v>
      </c>
      <c r="O70" s="5">
        <f t="shared" si="0"/>
        <v>0.27414465136422694</v>
      </c>
    </row>
    <row r="71" spans="1:15" x14ac:dyDescent="0.3">
      <c r="A71" t="s">
        <v>262</v>
      </c>
      <c r="B71" t="s">
        <v>263</v>
      </c>
      <c r="C71" t="s">
        <v>66</v>
      </c>
      <c r="D71" t="s">
        <v>123</v>
      </c>
      <c r="E71" t="s">
        <v>46</v>
      </c>
      <c r="F71" t="s">
        <v>47</v>
      </c>
      <c r="G71">
        <v>40</v>
      </c>
      <c r="H71">
        <v>46.81</v>
      </c>
      <c r="I71">
        <v>1872.4</v>
      </c>
      <c r="J71">
        <v>43.01</v>
      </c>
      <c r="K71">
        <v>549.39</v>
      </c>
      <c r="L71" t="s">
        <v>24</v>
      </c>
      <c r="M71" t="s">
        <v>41</v>
      </c>
      <c r="N71" t="s">
        <v>76</v>
      </c>
      <c r="O71" s="5">
        <f t="shared" ref="O71:O134" si="1">K71/I71</f>
        <v>0.29341486861781668</v>
      </c>
    </row>
    <row r="72" spans="1:15" x14ac:dyDescent="0.3">
      <c r="A72" t="s">
        <v>264</v>
      </c>
      <c r="B72" t="s">
        <v>265</v>
      </c>
      <c r="C72" t="s">
        <v>266</v>
      </c>
      <c r="D72" t="s">
        <v>51</v>
      </c>
      <c r="E72" t="s">
        <v>46</v>
      </c>
      <c r="F72" t="s">
        <v>47</v>
      </c>
      <c r="G72">
        <v>43</v>
      </c>
      <c r="H72">
        <v>57.01</v>
      </c>
      <c r="I72">
        <v>2451.4299999999998</v>
      </c>
      <c r="J72">
        <v>115.04</v>
      </c>
      <c r="K72">
        <v>960.39</v>
      </c>
      <c r="L72" t="s">
        <v>33</v>
      </c>
      <c r="M72" t="s">
        <v>25</v>
      </c>
      <c r="N72" t="s">
        <v>76</v>
      </c>
      <c r="O72" s="5">
        <f t="shared" si="1"/>
        <v>0.39176725421488684</v>
      </c>
    </row>
    <row r="73" spans="1:15" x14ac:dyDescent="0.3">
      <c r="A73" t="s">
        <v>267</v>
      </c>
      <c r="B73" t="s">
        <v>268</v>
      </c>
      <c r="C73" t="s">
        <v>269</v>
      </c>
      <c r="D73" t="s">
        <v>62</v>
      </c>
      <c r="E73" t="s">
        <v>86</v>
      </c>
      <c r="F73" t="s">
        <v>47</v>
      </c>
      <c r="G73">
        <v>15</v>
      </c>
      <c r="H73">
        <v>22.23</v>
      </c>
      <c r="I73">
        <v>333.45</v>
      </c>
      <c r="J73">
        <v>16.89</v>
      </c>
      <c r="K73">
        <v>125.31</v>
      </c>
      <c r="L73" t="s">
        <v>48</v>
      </c>
      <c r="M73" t="s">
        <v>34</v>
      </c>
      <c r="N73" t="s">
        <v>98</v>
      </c>
      <c r="O73" s="5">
        <f t="shared" si="1"/>
        <v>0.37579847053531268</v>
      </c>
    </row>
    <row r="74" spans="1:15" x14ac:dyDescent="0.3">
      <c r="A74" t="s">
        <v>270</v>
      </c>
      <c r="B74" t="s">
        <v>271</v>
      </c>
      <c r="C74" t="s">
        <v>272</v>
      </c>
      <c r="D74" t="s">
        <v>171</v>
      </c>
      <c r="E74" t="s">
        <v>81</v>
      </c>
      <c r="F74" t="s">
        <v>68</v>
      </c>
      <c r="G74">
        <v>15</v>
      </c>
      <c r="H74">
        <v>19.23</v>
      </c>
      <c r="I74">
        <v>288.45</v>
      </c>
      <c r="J74">
        <v>20.22</v>
      </c>
      <c r="K74">
        <v>35.729999999999997</v>
      </c>
      <c r="L74" t="s">
        <v>24</v>
      </c>
      <c r="M74" t="s">
        <v>25</v>
      </c>
      <c r="N74" t="s">
        <v>35</v>
      </c>
      <c r="O74" s="5">
        <f t="shared" si="1"/>
        <v>0.12386895475819032</v>
      </c>
    </row>
    <row r="75" spans="1:15" x14ac:dyDescent="0.3">
      <c r="A75" t="s">
        <v>273</v>
      </c>
      <c r="B75" t="s">
        <v>274</v>
      </c>
      <c r="C75" t="s">
        <v>151</v>
      </c>
      <c r="D75" t="s">
        <v>37</v>
      </c>
      <c r="E75" t="s">
        <v>137</v>
      </c>
      <c r="F75" t="s">
        <v>68</v>
      </c>
      <c r="G75">
        <v>34</v>
      </c>
      <c r="H75">
        <v>45.54</v>
      </c>
      <c r="I75">
        <v>1548.36</v>
      </c>
      <c r="J75">
        <v>36.76</v>
      </c>
      <c r="K75">
        <v>559.6</v>
      </c>
      <c r="L75" t="s">
        <v>24</v>
      </c>
      <c r="M75" t="s">
        <v>25</v>
      </c>
      <c r="N75" t="s">
        <v>35</v>
      </c>
      <c r="O75" s="5">
        <f t="shared" si="1"/>
        <v>0.36141465808984996</v>
      </c>
    </row>
    <row r="76" spans="1:15" x14ac:dyDescent="0.3">
      <c r="A76" t="s">
        <v>275</v>
      </c>
      <c r="B76" t="s">
        <v>276</v>
      </c>
      <c r="C76" t="s">
        <v>277</v>
      </c>
      <c r="D76" t="s">
        <v>171</v>
      </c>
      <c r="E76" t="s">
        <v>56</v>
      </c>
      <c r="F76" t="s">
        <v>57</v>
      </c>
      <c r="G76">
        <v>33</v>
      </c>
      <c r="H76">
        <v>63.88</v>
      </c>
      <c r="I76">
        <v>2108.04</v>
      </c>
      <c r="J76">
        <v>111.7</v>
      </c>
      <c r="K76">
        <v>676.34</v>
      </c>
      <c r="L76" t="s">
        <v>24</v>
      </c>
      <c r="M76" t="s">
        <v>41</v>
      </c>
      <c r="N76" t="s">
        <v>35</v>
      </c>
      <c r="O76" s="5">
        <f t="shared" si="1"/>
        <v>0.32083831426348647</v>
      </c>
    </row>
    <row r="77" spans="1:15" x14ac:dyDescent="0.3">
      <c r="A77" t="s">
        <v>278</v>
      </c>
      <c r="B77" t="s">
        <v>279</v>
      </c>
      <c r="C77" t="s">
        <v>148</v>
      </c>
      <c r="D77" t="s">
        <v>241</v>
      </c>
      <c r="E77" t="s">
        <v>32</v>
      </c>
      <c r="F77" t="s">
        <v>23</v>
      </c>
      <c r="G77">
        <v>39</v>
      </c>
      <c r="H77">
        <v>25.38</v>
      </c>
      <c r="I77">
        <v>989.82</v>
      </c>
      <c r="J77">
        <v>50.82</v>
      </c>
      <c r="K77">
        <v>237</v>
      </c>
      <c r="L77" t="s">
        <v>33</v>
      </c>
      <c r="M77" t="s">
        <v>34</v>
      </c>
      <c r="N77" t="s">
        <v>35</v>
      </c>
      <c r="O77" s="5">
        <f t="shared" si="1"/>
        <v>0.23943747348002667</v>
      </c>
    </row>
    <row r="78" spans="1:15" x14ac:dyDescent="0.3">
      <c r="A78" t="s">
        <v>280</v>
      </c>
      <c r="B78" t="s">
        <v>281</v>
      </c>
      <c r="C78" t="s">
        <v>282</v>
      </c>
      <c r="D78" t="s">
        <v>70</v>
      </c>
      <c r="E78" t="s">
        <v>74</v>
      </c>
      <c r="F78" t="s">
        <v>75</v>
      </c>
      <c r="G78">
        <v>9</v>
      </c>
      <c r="H78">
        <v>38.979999999999997</v>
      </c>
      <c r="I78">
        <v>350.82</v>
      </c>
      <c r="J78">
        <v>25.56</v>
      </c>
      <c r="K78">
        <v>100.26</v>
      </c>
      <c r="L78" t="s">
        <v>24</v>
      </c>
      <c r="M78" t="s">
        <v>25</v>
      </c>
      <c r="N78" t="s">
        <v>76</v>
      </c>
      <c r="O78" s="5">
        <f t="shared" si="1"/>
        <v>0.28578758337609034</v>
      </c>
    </row>
    <row r="79" spans="1:15" x14ac:dyDescent="0.3">
      <c r="A79" t="s">
        <v>283</v>
      </c>
      <c r="B79" t="s">
        <v>284</v>
      </c>
      <c r="C79" t="s">
        <v>285</v>
      </c>
      <c r="D79" t="s">
        <v>141</v>
      </c>
      <c r="E79" t="s">
        <v>63</v>
      </c>
      <c r="F79" t="s">
        <v>47</v>
      </c>
      <c r="G79">
        <v>14</v>
      </c>
      <c r="H79">
        <v>35.86</v>
      </c>
      <c r="I79">
        <v>502.04</v>
      </c>
      <c r="J79">
        <v>40.130000000000003</v>
      </c>
      <c r="K79">
        <v>181.91</v>
      </c>
      <c r="L79" t="s">
        <v>48</v>
      </c>
      <c r="M79" t="s">
        <v>41</v>
      </c>
      <c r="N79" t="s">
        <v>142</v>
      </c>
      <c r="O79" s="5">
        <f t="shared" si="1"/>
        <v>0.36234164608397734</v>
      </c>
    </row>
    <row r="80" spans="1:15" x14ac:dyDescent="0.3">
      <c r="A80" t="s">
        <v>286</v>
      </c>
      <c r="B80" t="s">
        <v>287</v>
      </c>
      <c r="C80" t="s">
        <v>288</v>
      </c>
      <c r="D80" t="s">
        <v>127</v>
      </c>
      <c r="E80" t="s">
        <v>81</v>
      </c>
      <c r="F80" t="s">
        <v>68</v>
      </c>
      <c r="G80">
        <v>49</v>
      </c>
      <c r="H80">
        <v>21.37</v>
      </c>
      <c r="I80">
        <v>1047.1300000000001</v>
      </c>
      <c r="J80">
        <v>65.98</v>
      </c>
      <c r="K80">
        <v>221.65</v>
      </c>
      <c r="L80" t="s">
        <v>48</v>
      </c>
      <c r="M80" t="s">
        <v>41</v>
      </c>
      <c r="N80" t="s">
        <v>76</v>
      </c>
      <c r="O80" s="5">
        <f t="shared" si="1"/>
        <v>0.21167381318460934</v>
      </c>
    </row>
    <row r="81" spans="1:15" x14ac:dyDescent="0.3">
      <c r="A81" t="s">
        <v>289</v>
      </c>
      <c r="B81" t="s">
        <v>205</v>
      </c>
      <c r="C81" t="s">
        <v>290</v>
      </c>
      <c r="D81" t="s">
        <v>62</v>
      </c>
      <c r="E81" t="s">
        <v>32</v>
      </c>
      <c r="F81" t="s">
        <v>23</v>
      </c>
      <c r="G81">
        <v>42</v>
      </c>
      <c r="H81">
        <v>24.57</v>
      </c>
      <c r="I81">
        <v>1031.94</v>
      </c>
      <c r="J81">
        <v>56.45</v>
      </c>
      <c r="K81">
        <v>219.49</v>
      </c>
      <c r="L81" t="s">
        <v>33</v>
      </c>
      <c r="M81" t="s">
        <v>25</v>
      </c>
      <c r="N81" t="s">
        <v>98</v>
      </c>
      <c r="O81" s="5">
        <f t="shared" si="1"/>
        <v>0.2126964746012365</v>
      </c>
    </row>
    <row r="82" spans="1:15" x14ac:dyDescent="0.3">
      <c r="A82" t="s">
        <v>291</v>
      </c>
      <c r="B82" t="s">
        <v>292</v>
      </c>
      <c r="C82" t="s">
        <v>290</v>
      </c>
      <c r="D82" t="s">
        <v>116</v>
      </c>
      <c r="E82" t="s">
        <v>32</v>
      </c>
      <c r="F82" t="s">
        <v>23</v>
      </c>
      <c r="G82">
        <v>42</v>
      </c>
      <c r="H82">
        <v>26.39</v>
      </c>
      <c r="I82">
        <v>1108.3800000000001</v>
      </c>
      <c r="J82">
        <v>44.56</v>
      </c>
      <c r="K82">
        <v>307.82</v>
      </c>
      <c r="L82" t="s">
        <v>33</v>
      </c>
      <c r="M82" t="s">
        <v>25</v>
      </c>
      <c r="N82" t="s">
        <v>76</v>
      </c>
      <c r="O82" s="5">
        <f t="shared" si="1"/>
        <v>0.27772063732654861</v>
      </c>
    </row>
    <row r="83" spans="1:15" x14ac:dyDescent="0.3">
      <c r="A83" t="s">
        <v>293</v>
      </c>
      <c r="B83" t="s">
        <v>294</v>
      </c>
      <c r="C83" t="s">
        <v>288</v>
      </c>
      <c r="D83" t="s">
        <v>55</v>
      </c>
      <c r="E83" t="s">
        <v>63</v>
      </c>
      <c r="F83" t="s">
        <v>47</v>
      </c>
      <c r="G83">
        <v>50</v>
      </c>
      <c r="H83">
        <v>29.73</v>
      </c>
      <c r="I83">
        <v>1486.5</v>
      </c>
      <c r="J83">
        <v>96.77</v>
      </c>
      <c r="K83">
        <v>389.73</v>
      </c>
      <c r="L83" t="s">
        <v>48</v>
      </c>
      <c r="M83" t="s">
        <v>25</v>
      </c>
      <c r="N83" t="s">
        <v>98</v>
      </c>
      <c r="O83" s="5">
        <f t="shared" si="1"/>
        <v>0.26217961654894045</v>
      </c>
    </row>
    <row r="84" spans="1:15" x14ac:dyDescent="0.3">
      <c r="A84" t="s">
        <v>295</v>
      </c>
      <c r="B84" t="s">
        <v>296</v>
      </c>
      <c r="C84" t="s">
        <v>285</v>
      </c>
      <c r="D84" t="s">
        <v>51</v>
      </c>
      <c r="E84" t="s">
        <v>81</v>
      </c>
      <c r="F84" t="s">
        <v>68</v>
      </c>
      <c r="G84">
        <v>39</v>
      </c>
      <c r="H84">
        <v>20.56</v>
      </c>
      <c r="I84">
        <v>801.84</v>
      </c>
      <c r="J84">
        <v>43.55</v>
      </c>
      <c r="K84">
        <v>153.79</v>
      </c>
      <c r="L84" t="s">
        <v>24</v>
      </c>
      <c r="M84" t="s">
        <v>25</v>
      </c>
      <c r="N84" t="s">
        <v>76</v>
      </c>
      <c r="O84" s="5">
        <f t="shared" si="1"/>
        <v>0.19179636835278857</v>
      </c>
    </row>
    <row r="85" spans="1:15" x14ac:dyDescent="0.3">
      <c r="A85" t="s">
        <v>297</v>
      </c>
      <c r="B85" t="s">
        <v>298</v>
      </c>
      <c r="C85" t="s">
        <v>30</v>
      </c>
      <c r="D85" t="s">
        <v>51</v>
      </c>
      <c r="E85" t="s">
        <v>81</v>
      </c>
      <c r="F85" t="s">
        <v>68</v>
      </c>
      <c r="G85">
        <v>48</v>
      </c>
      <c r="H85">
        <v>24.36</v>
      </c>
      <c r="I85">
        <v>1169.28</v>
      </c>
      <c r="J85">
        <v>81.599999999999994</v>
      </c>
      <c r="K85">
        <v>343.68</v>
      </c>
      <c r="L85" t="s">
        <v>48</v>
      </c>
      <c r="M85" t="s">
        <v>41</v>
      </c>
      <c r="N85" t="s">
        <v>76</v>
      </c>
      <c r="O85" s="5">
        <f t="shared" si="1"/>
        <v>0.29392446633825947</v>
      </c>
    </row>
    <row r="86" spans="1:15" x14ac:dyDescent="0.3">
      <c r="A86" t="s">
        <v>299</v>
      </c>
      <c r="B86" t="s">
        <v>300</v>
      </c>
      <c r="C86" t="s">
        <v>301</v>
      </c>
      <c r="D86" t="s">
        <v>241</v>
      </c>
      <c r="E86" t="s">
        <v>67</v>
      </c>
      <c r="F86" t="s">
        <v>68</v>
      </c>
      <c r="G86">
        <v>40</v>
      </c>
      <c r="H86">
        <v>27.95</v>
      </c>
      <c r="I86">
        <v>1118</v>
      </c>
      <c r="J86">
        <v>37.590000000000003</v>
      </c>
      <c r="K86">
        <v>180.41</v>
      </c>
      <c r="L86" t="s">
        <v>48</v>
      </c>
      <c r="M86" t="s">
        <v>41</v>
      </c>
      <c r="N86" t="s">
        <v>35</v>
      </c>
      <c r="O86" s="5">
        <f t="shared" si="1"/>
        <v>0.16136851520572451</v>
      </c>
    </row>
    <row r="87" spans="1:15" x14ac:dyDescent="0.3">
      <c r="A87" t="s">
        <v>302</v>
      </c>
      <c r="B87" t="s">
        <v>303</v>
      </c>
      <c r="C87" t="s">
        <v>191</v>
      </c>
      <c r="D87" t="s">
        <v>70</v>
      </c>
      <c r="E87" t="s">
        <v>137</v>
      </c>
      <c r="F87" t="s">
        <v>68</v>
      </c>
      <c r="G87">
        <v>21</v>
      </c>
      <c r="H87">
        <v>40.19</v>
      </c>
      <c r="I87">
        <v>843.99</v>
      </c>
      <c r="J87">
        <v>32.4</v>
      </c>
      <c r="K87">
        <v>223.59</v>
      </c>
      <c r="L87" t="s">
        <v>33</v>
      </c>
      <c r="M87" t="s">
        <v>34</v>
      </c>
      <c r="N87" t="s">
        <v>76</v>
      </c>
      <c r="O87" s="5">
        <f t="shared" si="1"/>
        <v>0.26492020047630899</v>
      </c>
    </row>
    <row r="88" spans="1:15" x14ac:dyDescent="0.3">
      <c r="A88" t="s">
        <v>304</v>
      </c>
      <c r="B88" t="s">
        <v>159</v>
      </c>
      <c r="C88" t="s">
        <v>145</v>
      </c>
      <c r="D88" t="s">
        <v>116</v>
      </c>
      <c r="E88" t="s">
        <v>86</v>
      </c>
      <c r="F88" t="s">
        <v>47</v>
      </c>
      <c r="G88">
        <v>26</v>
      </c>
      <c r="H88">
        <v>16.670000000000002</v>
      </c>
      <c r="I88">
        <v>433.42</v>
      </c>
      <c r="J88">
        <v>32.79</v>
      </c>
      <c r="K88">
        <v>69.13</v>
      </c>
      <c r="L88" t="s">
        <v>48</v>
      </c>
      <c r="M88" t="s">
        <v>34</v>
      </c>
      <c r="N88" t="s">
        <v>76</v>
      </c>
      <c r="O88" s="5">
        <f t="shared" si="1"/>
        <v>0.15949886945687783</v>
      </c>
    </row>
    <row r="89" spans="1:15" x14ac:dyDescent="0.3">
      <c r="A89" t="s">
        <v>305</v>
      </c>
      <c r="B89" t="s">
        <v>306</v>
      </c>
      <c r="C89" t="s">
        <v>307</v>
      </c>
      <c r="D89" t="s">
        <v>45</v>
      </c>
      <c r="E89" t="s">
        <v>46</v>
      </c>
      <c r="F89" t="s">
        <v>47</v>
      </c>
      <c r="G89">
        <v>28</v>
      </c>
      <c r="H89">
        <v>39.85</v>
      </c>
      <c r="I89">
        <v>1115.8</v>
      </c>
      <c r="J89">
        <v>43.87</v>
      </c>
      <c r="K89">
        <v>175.93</v>
      </c>
      <c r="L89" t="s">
        <v>48</v>
      </c>
      <c r="M89" t="s">
        <v>25</v>
      </c>
      <c r="N89" t="s">
        <v>49</v>
      </c>
      <c r="O89" s="5">
        <f t="shared" si="1"/>
        <v>0.15767162573937982</v>
      </c>
    </row>
    <row r="90" spans="1:15" x14ac:dyDescent="0.3">
      <c r="A90" t="s">
        <v>308</v>
      </c>
      <c r="B90" t="s">
        <v>309</v>
      </c>
      <c r="C90" t="s">
        <v>307</v>
      </c>
      <c r="D90" t="s">
        <v>62</v>
      </c>
      <c r="E90" t="s">
        <v>86</v>
      </c>
      <c r="F90" t="s">
        <v>47</v>
      </c>
      <c r="G90">
        <v>47</v>
      </c>
      <c r="H90">
        <v>15.97</v>
      </c>
      <c r="I90">
        <v>750.59</v>
      </c>
      <c r="J90">
        <v>48.55</v>
      </c>
      <c r="K90">
        <v>102.79</v>
      </c>
      <c r="L90" t="s">
        <v>48</v>
      </c>
      <c r="M90" t="s">
        <v>41</v>
      </c>
      <c r="N90" t="s">
        <v>98</v>
      </c>
      <c r="O90" s="5">
        <f t="shared" si="1"/>
        <v>0.13694560279246992</v>
      </c>
    </row>
    <row r="91" spans="1:15" x14ac:dyDescent="0.3">
      <c r="A91" t="s">
        <v>310</v>
      </c>
      <c r="B91" t="s">
        <v>311</v>
      </c>
      <c r="C91" t="s">
        <v>216</v>
      </c>
      <c r="D91" t="s">
        <v>51</v>
      </c>
      <c r="E91" t="s">
        <v>56</v>
      </c>
      <c r="F91" t="s">
        <v>57</v>
      </c>
      <c r="G91">
        <v>28</v>
      </c>
      <c r="H91">
        <v>53.6</v>
      </c>
      <c r="I91">
        <v>1500.8</v>
      </c>
      <c r="J91">
        <v>68.55</v>
      </c>
      <c r="K91">
        <v>312.25</v>
      </c>
      <c r="L91" t="s">
        <v>33</v>
      </c>
      <c r="M91" t="s">
        <v>34</v>
      </c>
      <c r="N91" t="s">
        <v>76</v>
      </c>
      <c r="O91" s="5">
        <f t="shared" si="1"/>
        <v>0.20805570362473347</v>
      </c>
    </row>
    <row r="92" spans="1:15" x14ac:dyDescent="0.3">
      <c r="A92" t="s">
        <v>312</v>
      </c>
      <c r="B92" t="s">
        <v>263</v>
      </c>
      <c r="C92" t="s">
        <v>174</v>
      </c>
      <c r="D92" t="s">
        <v>70</v>
      </c>
      <c r="E92" t="s">
        <v>137</v>
      </c>
      <c r="F92" t="s">
        <v>68</v>
      </c>
      <c r="G92">
        <v>37</v>
      </c>
      <c r="H92">
        <v>40.049999999999997</v>
      </c>
      <c r="I92">
        <v>1481.85</v>
      </c>
      <c r="J92">
        <v>45.6</v>
      </c>
      <c r="K92">
        <v>400.25</v>
      </c>
      <c r="L92" t="s">
        <v>24</v>
      </c>
      <c r="M92" t="s">
        <v>41</v>
      </c>
      <c r="N92" t="s">
        <v>76</v>
      </c>
      <c r="O92" s="5">
        <f t="shared" si="1"/>
        <v>0.2701015622363937</v>
      </c>
    </row>
    <row r="93" spans="1:15" x14ac:dyDescent="0.3">
      <c r="A93" t="s">
        <v>313</v>
      </c>
      <c r="B93" t="s">
        <v>314</v>
      </c>
      <c r="C93" t="s">
        <v>222</v>
      </c>
      <c r="D93" t="s">
        <v>37</v>
      </c>
      <c r="E93" t="s">
        <v>22</v>
      </c>
      <c r="F93" t="s">
        <v>23</v>
      </c>
      <c r="G93">
        <v>45</v>
      </c>
      <c r="H93">
        <v>43.74</v>
      </c>
      <c r="I93">
        <v>1968.3</v>
      </c>
      <c r="J93">
        <v>80.55</v>
      </c>
      <c r="K93">
        <v>312.75</v>
      </c>
      <c r="L93" t="s">
        <v>33</v>
      </c>
      <c r="M93" t="s">
        <v>41</v>
      </c>
      <c r="N93" t="s">
        <v>35</v>
      </c>
      <c r="O93" s="5">
        <f t="shared" si="1"/>
        <v>0.15889346136259716</v>
      </c>
    </row>
    <row r="94" spans="1:15" x14ac:dyDescent="0.3">
      <c r="A94" t="s">
        <v>315</v>
      </c>
      <c r="B94" t="s">
        <v>316</v>
      </c>
      <c r="C94" t="s">
        <v>317</v>
      </c>
      <c r="D94" t="s">
        <v>31</v>
      </c>
      <c r="E94" t="s">
        <v>81</v>
      </c>
      <c r="F94" t="s">
        <v>68</v>
      </c>
      <c r="G94">
        <v>9</v>
      </c>
      <c r="H94">
        <v>24.63</v>
      </c>
      <c r="I94">
        <v>221.67</v>
      </c>
      <c r="J94">
        <v>13.53</v>
      </c>
      <c r="K94">
        <v>68.64</v>
      </c>
      <c r="L94" t="s">
        <v>33</v>
      </c>
      <c r="M94" t="s">
        <v>41</v>
      </c>
      <c r="N94" t="s">
        <v>35</v>
      </c>
      <c r="O94" s="5">
        <f t="shared" si="1"/>
        <v>0.30964947895520373</v>
      </c>
    </row>
    <row r="95" spans="1:15" x14ac:dyDescent="0.3">
      <c r="A95" t="s">
        <v>318</v>
      </c>
      <c r="B95" t="s">
        <v>319</v>
      </c>
      <c r="C95" t="s">
        <v>54</v>
      </c>
      <c r="D95" t="s">
        <v>141</v>
      </c>
      <c r="E95" t="s">
        <v>81</v>
      </c>
      <c r="F95" t="s">
        <v>68</v>
      </c>
      <c r="G95">
        <v>6</v>
      </c>
      <c r="H95">
        <v>21.79</v>
      </c>
      <c r="I95">
        <v>130.74</v>
      </c>
      <c r="J95">
        <v>7.75</v>
      </c>
      <c r="K95">
        <v>29.99</v>
      </c>
      <c r="L95" t="s">
        <v>33</v>
      </c>
      <c r="M95" t="s">
        <v>41</v>
      </c>
      <c r="N95" t="s">
        <v>142</v>
      </c>
      <c r="O95" s="5">
        <f t="shared" si="1"/>
        <v>0.22938656876242922</v>
      </c>
    </row>
    <row r="96" spans="1:15" x14ac:dyDescent="0.3">
      <c r="A96" t="s">
        <v>320</v>
      </c>
      <c r="B96" t="s">
        <v>226</v>
      </c>
      <c r="C96" t="s">
        <v>321</v>
      </c>
      <c r="D96" t="s">
        <v>171</v>
      </c>
      <c r="E96" t="s">
        <v>22</v>
      </c>
      <c r="F96" t="s">
        <v>23</v>
      </c>
      <c r="G96">
        <v>23</v>
      </c>
      <c r="H96">
        <v>58.43</v>
      </c>
      <c r="I96">
        <v>1343.89</v>
      </c>
      <c r="J96">
        <v>38.729999999999997</v>
      </c>
      <c r="K96">
        <v>500.16</v>
      </c>
      <c r="L96" t="s">
        <v>33</v>
      </c>
      <c r="M96" t="s">
        <v>25</v>
      </c>
      <c r="N96" t="s">
        <v>35</v>
      </c>
      <c r="O96" s="5">
        <f t="shared" si="1"/>
        <v>0.37217331775666163</v>
      </c>
    </row>
    <row r="97" spans="1:15" x14ac:dyDescent="0.3">
      <c r="A97" t="s">
        <v>322</v>
      </c>
      <c r="B97" t="s">
        <v>115</v>
      </c>
      <c r="C97" t="s">
        <v>323</v>
      </c>
      <c r="D97" t="s">
        <v>116</v>
      </c>
      <c r="E97" t="s">
        <v>56</v>
      </c>
      <c r="F97" t="s">
        <v>57</v>
      </c>
      <c r="G97">
        <v>19</v>
      </c>
      <c r="H97">
        <v>67.06</v>
      </c>
      <c r="I97">
        <v>1274.1400000000001</v>
      </c>
      <c r="J97">
        <v>85.73</v>
      </c>
      <c r="K97">
        <v>428.41</v>
      </c>
      <c r="L97" t="s">
        <v>24</v>
      </c>
      <c r="M97" t="s">
        <v>34</v>
      </c>
      <c r="N97" t="s">
        <v>76</v>
      </c>
      <c r="O97" s="5">
        <f t="shared" si="1"/>
        <v>0.33623463669612441</v>
      </c>
    </row>
    <row r="98" spans="1:15" x14ac:dyDescent="0.3">
      <c r="A98" t="s">
        <v>324</v>
      </c>
      <c r="B98" t="s">
        <v>325</v>
      </c>
      <c r="C98" t="s">
        <v>317</v>
      </c>
      <c r="D98" t="s">
        <v>37</v>
      </c>
      <c r="E98" t="s">
        <v>32</v>
      </c>
      <c r="F98" t="s">
        <v>23</v>
      </c>
      <c r="G98">
        <v>4</v>
      </c>
      <c r="H98">
        <v>25.13</v>
      </c>
      <c r="I98">
        <v>100.52</v>
      </c>
      <c r="J98">
        <v>5.6</v>
      </c>
      <c r="K98">
        <v>22.92</v>
      </c>
      <c r="L98" t="s">
        <v>33</v>
      </c>
      <c r="M98" t="s">
        <v>41</v>
      </c>
      <c r="N98" t="s">
        <v>35</v>
      </c>
      <c r="O98" s="5">
        <f t="shared" si="1"/>
        <v>0.22801432550736175</v>
      </c>
    </row>
    <row r="99" spans="1:15" x14ac:dyDescent="0.3">
      <c r="A99" t="s">
        <v>326</v>
      </c>
      <c r="B99" t="s">
        <v>327</v>
      </c>
      <c r="C99" t="s">
        <v>328</v>
      </c>
      <c r="D99" t="s">
        <v>37</v>
      </c>
      <c r="E99" t="s">
        <v>81</v>
      </c>
      <c r="F99" t="s">
        <v>68</v>
      </c>
      <c r="G99">
        <v>26</v>
      </c>
      <c r="H99">
        <v>19.34</v>
      </c>
      <c r="I99">
        <v>502.84</v>
      </c>
      <c r="J99">
        <v>26.51</v>
      </c>
      <c r="K99">
        <v>73.33</v>
      </c>
      <c r="L99" t="s">
        <v>33</v>
      </c>
      <c r="M99" t="s">
        <v>25</v>
      </c>
      <c r="N99" t="s">
        <v>35</v>
      </c>
      <c r="O99" s="5">
        <f t="shared" si="1"/>
        <v>0.14583167607986636</v>
      </c>
    </row>
    <row r="100" spans="1:15" x14ac:dyDescent="0.3">
      <c r="A100" t="s">
        <v>329</v>
      </c>
      <c r="B100" t="s">
        <v>330</v>
      </c>
      <c r="C100" t="s">
        <v>331</v>
      </c>
      <c r="D100" t="s">
        <v>141</v>
      </c>
      <c r="E100" t="s">
        <v>63</v>
      </c>
      <c r="F100" t="s">
        <v>47</v>
      </c>
      <c r="G100">
        <v>26</v>
      </c>
      <c r="H100">
        <v>35.81</v>
      </c>
      <c r="I100">
        <v>931.06</v>
      </c>
      <c r="J100">
        <v>61.06</v>
      </c>
      <c r="K100">
        <v>350</v>
      </c>
      <c r="L100" t="s">
        <v>24</v>
      </c>
      <c r="M100" t="s">
        <v>25</v>
      </c>
      <c r="N100" t="s">
        <v>142</v>
      </c>
      <c r="O100" s="5">
        <f t="shared" si="1"/>
        <v>0.37591562305329412</v>
      </c>
    </row>
    <row r="101" spans="1:15" x14ac:dyDescent="0.3">
      <c r="A101" t="s">
        <v>332</v>
      </c>
      <c r="B101" t="s">
        <v>333</v>
      </c>
      <c r="C101" t="s">
        <v>334</v>
      </c>
      <c r="D101" t="s">
        <v>116</v>
      </c>
      <c r="E101" t="s">
        <v>67</v>
      </c>
      <c r="F101" t="s">
        <v>68</v>
      </c>
      <c r="G101">
        <v>42</v>
      </c>
      <c r="H101">
        <v>39.950000000000003</v>
      </c>
      <c r="I101">
        <v>1677.9</v>
      </c>
      <c r="J101">
        <v>93.95</v>
      </c>
      <c r="K101">
        <v>638.95000000000005</v>
      </c>
      <c r="L101" t="s">
        <v>33</v>
      </c>
      <c r="M101" t="s">
        <v>34</v>
      </c>
      <c r="N101" t="s">
        <v>76</v>
      </c>
      <c r="O101" s="5">
        <f t="shared" si="1"/>
        <v>0.38080338518386081</v>
      </c>
    </row>
    <row r="102" spans="1:15" x14ac:dyDescent="0.3">
      <c r="A102" t="s">
        <v>335</v>
      </c>
      <c r="B102" t="s">
        <v>336</v>
      </c>
      <c r="C102" t="s">
        <v>145</v>
      </c>
      <c r="D102" t="s">
        <v>123</v>
      </c>
      <c r="E102" t="s">
        <v>22</v>
      </c>
      <c r="F102" t="s">
        <v>23</v>
      </c>
      <c r="G102">
        <v>38</v>
      </c>
      <c r="H102">
        <v>49.98</v>
      </c>
      <c r="I102">
        <v>1899.24</v>
      </c>
      <c r="J102">
        <v>112.91</v>
      </c>
      <c r="K102">
        <v>456.33</v>
      </c>
      <c r="L102" t="s">
        <v>48</v>
      </c>
      <c r="M102" t="s">
        <v>41</v>
      </c>
      <c r="N102" t="s">
        <v>76</v>
      </c>
      <c r="O102" s="5">
        <f t="shared" si="1"/>
        <v>0.24026979212737726</v>
      </c>
    </row>
    <row r="103" spans="1:15" x14ac:dyDescent="0.3">
      <c r="A103" t="s">
        <v>337</v>
      </c>
      <c r="B103" t="s">
        <v>338</v>
      </c>
      <c r="C103" t="s">
        <v>191</v>
      </c>
      <c r="D103" t="s">
        <v>127</v>
      </c>
      <c r="E103" t="s">
        <v>137</v>
      </c>
      <c r="F103" t="s">
        <v>68</v>
      </c>
      <c r="G103">
        <v>1</v>
      </c>
      <c r="H103">
        <v>45.84</v>
      </c>
      <c r="I103">
        <v>45.84</v>
      </c>
      <c r="J103">
        <v>1.26</v>
      </c>
      <c r="K103">
        <v>16.579999999999998</v>
      </c>
      <c r="L103" t="s">
        <v>48</v>
      </c>
      <c r="M103" t="s">
        <v>25</v>
      </c>
      <c r="N103" t="s">
        <v>76</v>
      </c>
      <c r="O103" s="5">
        <f t="shared" si="1"/>
        <v>0.3616928446771378</v>
      </c>
    </row>
    <row r="104" spans="1:15" x14ac:dyDescent="0.3">
      <c r="A104" t="s">
        <v>339</v>
      </c>
      <c r="B104" t="s">
        <v>340</v>
      </c>
      <c r="C104" t="s">
        <v>301</v>
      </c>
      <c r="D104" t="s">
        <v>206</v>
      </c>
      <c r="E104" t="s">
        <v>32</v>
      </c>
      <c r="F104" t="s">
        <v>23</v>
      </c>
      <c r="G104">
        <v>38</v>
      </c>
      <c r="H104">
        <v>26.34</v>
      </c>
      <c r="I104">
        <v>1000.92</v>
      </c>
      <c r="J104">
        <v>47.88</v>
      </c>
      <c r="K104">
        <v>269.04000000000002</v>
      </c>
      <c r="L104" t="s">
        <v>24</v>
      </c>
      <c r="M104" t="s">
        <v>34</v>
      </c>
      <c r="N104" t="s">
        <v>207</v>
      </c>
      <c r="O104" s="5">
        <f t="shared" si="1"/>
        <v>0.26879271070615035</v>
      </c>
    </row>
    <row r="105" spans="1:15" x14ac:dyDescent="0.3">
      <c r="A105" t="s">
        <v>341</v>
      </c>
      <c r="B105" t="s">
        <v>342</v>
      </c>
      <c r="C105" t="s">
        <v>269</v>
      </c>
      <c r="D105" t="s">
        <v>171</v>
      </c>
      <c r="E105" t="s">
        <v>74</v>
      </c>
      <c r="F105" t="s">
        <v>75</v>
      </c>
      <c r="G105">
        <v>30</v>
      </c>
      <c r="H105">
        <v>36.43</v>
      </c>
      <c r="I105">
        <v>1092.9000000000001</v>
      </c>
      <c r="J105">
        <v>61.97</v>
      </c>
      <c r="K105">
        <v>280.93</v>
      </c>
      <c r="L105" t="s">
        <v>48</v>
      </c>
      <c r="M105" t="s">
        <v>34</v>
      </c>
      <c r="N105" t="s">
        <v>35</v>
      </c>
      <c r="O105" s="5">
        <f t="shared" si="1"/>
        <v>0.25705005032482386</v>
      </c>
    </row>
    <row r="106" spans="1:15" x14ac:dyDescent="0.3">
      <c r="A106" t="s">
        <v>343</v>
      </c>
      <c r="B106" t="s">
        <v>344</v>
      </c>
      <c r="C106" t="s">
        <v>307</v>
      </c>
      <c r="D106" t="s">
        <v>37</v>
      </c>
      <c r="E106" t="s">
        <v>86</v>
      </c>
      <c r="F106" t="s">
        <v>47</v>
      </c>
      <c r="G106">
        <v>9</v>
      </c>
      <c r="H106">
        <v>22.27</v>
      </c>
      <c r="I106">
        <v>200.43</v>
      </c>
      <c r="J106">
        <v>13.21</v>
      </c>
      <c r="K106">
        <v>72.47</v>
      </c>
      <c r="L106" t="s">
        <v>33</v>
      </c>
      <c r="M106" t="s">
        <v>34</v>
      </c>
      <c r="N106" t="s">
        <v>35</v>
      </c>
      <c r="O106" s="5">
        <f t="shared" si="1"/>
        <v>0.36157261886943071</v>
      </c>
    </row>
    <row r="107" spans="1:15" x14ac:dyDescent="0.3">
      <c r="A107" t="s">
        <v>345</v>
      </c>
      <c r="B107" t="s">
        <v>115</v>
      </c>
      <c r="C107" t="s">
        <v>162</v>
      </c>
      <c r="D107" t="s">
        <v>206</v>
      </c>
      <c r="E107" t="s">
        <v>81</v>
      </c>
      <c r="F107" t="s">
        <v>68</v>
      </c>
      <c r="G107">
        <v>26</v>
      </c>
      <c r="H107">
        <v>27.65</v>
      </c>
      <c r="I107">
        <v>718.9</v>
      </c>
      <c r="J107">
        <v>46.25</v>
      </c>
      <c r="K107">
        <v>269.64999999999998</v>
      </c>
      <c r="L107" t="s">
        <v>33</v>
      </c>
      <c r="M107" t="s">
        <v>41</v>
      </c>
      <c r="N107" t="s">
        <v>207</v>
      </c>
      <c r="O107" s="5">
        <f t="shared" si="1"/>
        <v>0.37508693837807761</v>
      </c>
    </row>
    <row r="108" spans="1:15" x14ac:dyDescent="0.3">
      <c r="A108" t="s">
        <v>346</v>
      </c>
      <c r="B108" t="s">
        <v>347</v>
      </c>
      <c r="C108" t="s">
        <v>301</v>
      </c>
      <c r="D108" t="s">
        <v>31</v>
      </c>
      <c r="E108" t="s">
        <v>81</v>
      </c>
      <c r="F108" t="s">
        <v>68</v>
      </c>
      <c r="G108">
        <v>23</v>
      </c>
      <c r="H108">
        <v>22.45</v>
      </c>
      <c r="I108">
        <v>516.35</v>
      </c>
      <c r="J108">
        <v>15.68</v>
      </c>
      <c r="K108">
        <v>144.16999999999999</v>
      </c>
      <c r="L108" t="s">
        <v>48</v>
      </c>
      <c r="M108" t="s">
        <v>41</v>
      </c>
      <c r="N108" t="s">
        <v>35</v>
      </c>
      <c r="O108" s="5">
        <f t="shared" si="1"/>
        <v>0.2792098382879829</v>
      </c>
    </row>
    <row r="109" spans="1:15" x14ac:dyDescent="0.3">
      <c r="A109" t="s">
        <v>348</v>
      </c>
      <c r="B109" t="s">
        <v>349</v>
      </c>
      <c r="C109" t="s">
        <v>197</v>
      </c>
      <c r="D109" t="s">
        <v>31</v>
      </c>
      <c r="E109" t="s">
        <v>81</v>
      </c>
      <c r="F109" t="s">
        <v>68</v>
      </c>
      <c r="G109">
        <v>30</v>
      </c>
      <c r="H109">
        <v>21.93</v>
      </c>
      <c r="I109">
        <v>657.9</v>
      </c>
      <c r="J109">
        <v>24.66</v>
      </c>
      <c r="K109">
        <v>168.24</v>
      </c>
      <c r="L109" t="s">
        <v>33</v>
      </c>
      <c r="M109" t="s">
        <v>25</v>
      </c>
      <c r="N109" t="s">
        <v>35</v>
      </c>
      <c r="O109" s="5">
        <f t="shared" si="1"/>
        <v>0.25572275421796625</v>
      </c>
    </row>
    <row r="110" spans="1:15" x14ac:dyDescent="0.3">
      <c r="A110" t="s">
        <v>350</v>
      </c>
      <c r="B110" t="s">
        <v>351</v>
      </c>
      <c r="C110" t="s">
        <v>352</v>
      </c>
      <c r="D110" t="s">
        <v>116</v>
      </c>
      <c r="E110" t="s">
        <v>86</v>
      </c>
      <c r="F110" t="s">
        <v>47</v>
      </c>
      <c r="G110">
        <v>43</v>
      </c>
      <c r="H110">
        <v>21.92</v>
      </c>
      <c r="I110">
        <v>942.56</v>
      </c>
      <c r="J110">
        <v>51.15</v>
      </c>
      <c r="K110">
        <v>343.16</v>
      </c>
      <c r="L110" t="s">
        <v>24</v>
      </c>
      <c r="M110" t="s">
        <v>41</v>
      </c>
      <c r="N110" t="s">
        <v>76</v>
      </c>
      <c r="O110" s="5">
        <f t="shared" si="1"/>
        <v>0.36407231369886273</v>
      </c>
    </row>
    <row r="111" spans="1:15" x14ac:dyDescent="0.3">
      <c r="A111" t="s">
        <v>353</v>
      </c>
      <c r="B111" t="s">
        <v>354</v>
      </c>
      <c r="C111" t="s">
        <v>85</v>
      </c>
      <c r="D111" t="s">
        <v>45</v>
      </c>
      <c r="E111" t="s">
        <v>56</v>
      </c>
      <c r="F111" t="s">
        <v>57</v>
      </c>
      <c r="G111">
        <v>3</v>
      </c>
      <c r="H111">
        <v>56.21</v>
      </c>
      <c r="I111">
        <v>168.63</v>
      </c>
      <c r="J111">
        <v>7.56</v>
      </c>
      <c r="K111">
        <v>41.07</v>
      </c>
      <c r="L111" t="s">
        <v>48</v>
      </c>
      <c r="M111" t="s">
        <v>25</v>
      </c>
      <c r="N111" t="s">
        <v>49</v>
      </c>
      <c r="O111" s="5">
        <f t="shared" si="1"/>
        <v>0.24355096957836686</v>
      </c>
    </row>
    <row r="112" spans="1:15" x14ac:dyDescent="0.3">
      <c r="A112" t="s">
        <v>355</v>
      </c>
      <c r="B112" t="s">
        <v>356</v>
      </c>
      <c r="C112" t="s">
        <v>20</v>
      </c>
      <c r="D112" t="s">
        <v>37</v>
      </c>
      <c r="E112" t="s">
        <v>86</v>
      </c>
      <c r="F112" t="s">
        <v>47</v>
      </c>
      <c r="G112">
        <v>33</v>
      </c>
      <c r="H112">
        <v>15.44</v>
      </c>
      <c r="I112">
        <v>509.52</v>
      </c>
      <c r="J112">
        <v>19.7</v>
      </c>
      <c r="K112">
        <v>69.069999999999993</v>
      </c>
      <c r="L112" t="s">
        <v>24</v>
      </c>
      <c r="M112" t="s">
        <v>41</v>
      </c>
      <c r="N112" t="s">
        <v>35</v>
      </c>
      <c r="O112" s="5">
        <f t="shared" si="1"/>
        <v>0.13555895745014915</v>
      </c>
    </row>
    <row r="113" spans="1:15" x14ac:dyDescent="0.3">
      <c r="A113" t="s">
        <v>357</v>
      </c>
      <c r="B113" t="s">
        <v>358</v>
      </c>
      <c r="C113" t="s">
        <v>151</v>
      </c>
      <c r="D113" t="s">
        <v>141</v>
      </c>
      <c r="E113" t="s">
        <v>81</v>
      </c>
      <c r="F113" t="s">
        <v>68</v>
      </c>
      <c r="G113">
        <v>50</v>
      </c>
      <c r="H113">
        <v>23.02</v>
      </c>
      <c r="I113">
        <v>1151</v>
      </c>
      <c r="J113">
        <v>69.3</v>
      </c>
      <c r="K113">
        <v>306.7</v>
      </c>
      <c r="L113" t="s">
        <v>33</v>
      </c>
      <c r="M113" t="s">
        <v>34</v>
      </c>
      <c r="N113" t="s">
        <v>142</v>
      </c>
      <c r="O113" s="5">
        <f t="shared" si="1"/>
        <v>0.26646394439617721</v>
      </c>
    </row>
    <row r="114" spans="1:15" x14ac:dyDescent="0.3">
      <c r="A114" t="s">
        <v>359</v>
      </c>
      <c r="B114" t="s">
        <v>268</v>
      </c>
      <c r="C114" t="s">
        <v>360</v>
      </c>
      <c r="D114" t="s">
        <v>45</v>
      </c>
      <c r="E114" t="s">
        <v>86</v>
      </c>
      <c r="F114" t="s">
        <v>47</v>
      </c>
      <c r="G114">
        <v>8</v>
      </c>
      <c r="H114">
        <v>17.010000000000002</v>
      </c>
      <c r="I114">
        <v>136.08000000000001</v>
      </c>
      <c r="J114">
        <v>8.84</v>
      </c>
      <c r="K114">
        <v>25.24</v>
      </c>
      <c r="L114" t="s">
        <v>24</v>
      </c>
      <c r="M114" t="s">
        <v>41</v>
      </c>
      <c r="N114" t="s">
        <v>49</v>
      </c>
      <c r="O114" s="5">
        <f t="shared" si="1"/>
        <v>0.18547912992357435</v>
      </c>
    </row>
    <row r="115" spans="1:15" x14ac:dyDescent="0.3">
      <c r="A115" t="s">
        <v>361</v>
      </c>
      <c r="B115" t="s">
        <v>362</v>
      </c>
      <c r="C115" t="s">
        <v>301</v>
      </c>
      <c r="D115" t="s">
        <v>171</v>
      </c>
      <c r="E115" t="s">
        <v>32</v>
      </c>
      <c r="F115" t="s">
        <v>23</v>
      </c>
      <c r="G115">
        <v>16</v>
      </c>
      <c r="H115">
        <v>26.47</v>
      </c>
      <c r="I115">
        <v>423.52</v>
      </c>
      <c r="J115">
        <v>15.87</v>
      </c>
      <c r="K115">
        <v>119.65</v>
      </c>
      <c r="L115" t="s">
        <v>33</v>
      </c>
      <c r="M115" t="s">
        <v>25</v>
      </c>
      <c r="N115" t="s">
        <v>35</v>
      </c>
      <c r="O115" s="5">
        <f t="shared" si="1"/>
        <v>0.28251322251605593</v>
      </c>
    </row>
    <row r="116" spans="1:15" x14ac:dyDescent="0.3">
      <c r="A116" t="s">
        <v>363</v>
      </c>
      <c r="B116" t="s">
        <v>364</v>
      </c>
      <c r="C116" t="s">
        <v>272</v>
      </c>
      <c r="D116" t="s">
        <v>45</v>
      </c>
      <c r="E116" t="s">
        <v>46</v>
      </c>
      <c r="F116" t="s">
        <v>47</v>
      </c>
      <c r="G116">
        <v>32</v>
      </c>
      <c r="H116">
        <v>43.18</v>
      </c>
      <c r="I116">
        <v>1381.76</v>
      </c>
      <c r="J116">
        <v>88.54</v>
      </c>
      <c r="K116">
        <v>269.22000000000003</v>
      </c>
      <c r="L116" t="s">
        <v>33</v>
      </c>
      <c r="M116" t="s">
        <v>41</v>
      </c>
      <c r="N116" t="s">
        <v>49</v>
      </c>
      <c r="O116" s="5">
        <f t="shared" si="1"/>
        <v>0.19483846688281614</v>
      </c>
    </row>
    <row r="117" spans="1:15" x14ac:dyDescent="0.3">
      <c r="A117" t="s">
        <v>365</v>
      </c>
      <c r="B117" t="s">
        <v>366</v>
      </c>
      <c r="C117" t="s">
        <v>177</v>
      </c>
      <c r="D117" t="s">
        <v>206</v>
      </c>
      <c r="E117" t="s">
        <v>81</v>
      </c>
      <c r="F117" t="s">
        <v>68</v>
      </c>
      <c r="G117">
        <v>29</v>
      </c>
      <c r="H117">
        <v>18.850000000000001</v>
      </c>
      <c r="I117">
        <v>546.65</v>
      </c>
      <c r="J117">
        <v>13.22</v>
      </c>
      <c r="K117">
        <v>83.93</v>
      </c>
      <c r="L117" t="s">
        <v>24</v>
      </c>
      <c r="M117" t="s">
        <v>41</v>
      </c>
      <c r="N117" t="s">
        <v>207</v>
      </c>
      <c r="O117" s="5">
        <f t="shared" si="1"/>
        <v>0.153535168755145</v>
      </c>
    </row>
    <row r="118" spans="1:15" x14ac:dyDescent="0.3">
      <c r="A118" t="s">
        <v>367</v>
      </c>
      <c r="B118" t="s">
        <v>368</v>
      </c>
      <c r="C118" t="s">
        <v>369</v>
      </c>
      <c r="D118" t="s">
        <v>171</v>
      </c>
      <c r="E118" t="s">
        <v>56</v>
      </c>
      <c r="F118" t="s">
        <v>57</v>
      </c>
      <c r="G118">
        <v>16</v>
      </c>
      <c r="H118">
        <v>64.400000000000006</v>
      </c>
      <c r="I118">
        <v>1030.4000000000001</v>
      </c>
      <c r="J118">
        <v>61.72</v>
      </c>
      <c r="K118">
        <v>328.68</v>
      </c>
      <c r="L118" t="s">
        <v>33</v>
      </c>
      <c r="M118" t="s">
        <v>34</v>
      </c>
      <c r="N118" t="s">
        <v>35</v>
      </c>
      <c r="O118" s="5">
        <f t="shared" si="1"/>
        <v>0.31898291925465838</v>
      </c>
    </row>
    <row r="119" spans="1:15" x14ac:dyDescent="0.3">
      <c r="A119" t="s">
        <v>370</v>
      </c>
      <c r="B119" t="s">
        <v>371</v>
      </c>
      <c r="C119" t="s">
        <v>372</v>
      </c>
      <c r="D119" t="s">
        <v>116</v>
      </c>
      <c r="E119" t="s">
        <v>81</v>
      </c>
      <c r="F119" t="s">
        <v>68</v>
      </c>
      <c r="G119">
        <v>15</v>
      </c>
      <c r="H119">
        <v>19.53</v>
      </c>
      <c r="I119">
        <v>292.95</v>
      </c>
      <c r="J119">
        <v>7.15</v>
      </c>
      <c r="K119">
        <v>53.3</v>
      </c>
      <c r="L119" t="s">
        <v>48</v>
      </c>
      <c r="M119" t="s">
        <v>34</v>
      </c>
      <c r="N119" t="s">
        <v>76</v>
      </c>
      <c r="O119" s="5">
        <f t="shared" si="1"/>
        <v>0.18194231097456903</v>
      </c>
    </row>
    <row r="120" spans="1:15" x14ac:dyDescent="0.3">
      <c r="A120" t="s">
        <v>373</v>
      </c>
      <c r="B120" t="s">
        <v>325</v>
      </c>
      <c r="C120" t="s">
        <v>182</v>
      </c>
      <c r="D120" t="s">
        <v>241</v>
      </c>
      <c r="E120" t="s">
        <v>63</v>
      </c>
      <c r="F120" t="s">
        <v>47</v>
      </c>
      <c r="G120">
        <v>36</v>
      </c>
      <c r="H120">
        <v>26.05</v>
      </c>
      <c r="I120">
        <v>937.8</v>
      </c>
      <c r="J120">
        <v>32.799999999999997</v>
      </c>
      <c r="K120">
        <v>185</v>
      </c>
      <c r="L120" t="s">
        <v>24</v>
      </c>
      <c r="M120" t="s">
        <v>41</v>
      </c>
      <c r="N120" t="s">
        <v>35</v>
      </c>
      <c r="O120" s="5">
        <f t="shared" si="1"/>
        <v>0.19727020686713587</v>
      </c>
    </row>
    <row r="121" spans="1:15" x14ac:dyDescent="0.3">
      <c r="A121" t="s">
        <v>374</v>
      </c>
      <c r="B121" t="s">
        <v>375</v>
      </c>
      <c r="C121" t="s">
        <v>73</v>
      </c>
      <c r="D121" t="s">
        <v>141</v>
      </c>
      <c r="E121" t="s">
        <v>46</v>
      </c>
      <c r="F121" t="s">
        <v>47</v>
      </c>
      <c r="G121">
        <v>26</v>
      </c>
      <c r="H121">
        <v>47.52</v>
      </c>
      <c r="I121">
        <v>1235.52</v>
      </c>
      <c r="J121">
        <v>31.41</v>
      </c>
      <c r="K121">
        <v>372.11</v>
      </c>
      <c r="L121" t="s">
        <v>33</v>
      </c>
      <c r="M121" t="s">
        <v>25</v>
      </c>
      <c r="N121" t="s">
        <v>142</v>
      </c>
      <c r="O121" s="5">
        <f t="shared" si="1"/>
        <v>0.30117683242683246</v>
      </c>
    </row>
    <row r="122" spans="1:15" x14ac:dyDescent="0.3">
      <c r="A122" t="s">
        <v>376</v>
      </c>
      <c r="B122" t="s">
        <v>131</v>
      </c>
      <c r="C122" t="s">
        <v>334</v>
      </c>
      <c r="D122" t="s">
        <v>171</v>
      </c>
      <c r="E122" t="s">
        <v>32</v>
      </c>
      <c r="F122" t="s">
        <v>23</v>
      </c>
      <c r="G122">
        <v>38</v>
      </c>
      <c r="H122">
        <v>26.38</v>
      </c>
      <c r="I122">
        <v>1002.44</v>
      </c>
      <c r="J122">
        <v>33.049999999999997</v>
      </c>
      <c r="K122">
        <v>285.39</v>
      </c>
      <c r="L122" t="s">
        <v>33</v>
      </c>
      <c r="M122" t="s">
        <v>25</v>
      </c>
      <c r="N122" t="s">
        <v>35</v>
      </c>
      <c r="O122" s="5">
        <f t="shared" si="1"/>
        <v>0.28469534336219621</v>
      </c>
    </row>
    <row r="123" spans="1:15" x14ac:dyDescent="0.3">
      <c r="A123" t="s">
        <v>377</v>
      </c>
      <c r="B123" t="s">
        <v>327</v>
      </c>
      <c r="C123" t="s">
        <v>222</v>
      </c>
      <c r="D123" t="s">
        <v>127</v>
      </c>
      <c r="E123" t="s">
        <v>86</v>
      </c>
      <c r="F123" t="s">
        <v>47</v>
      </c>
      <c r="G123">
        <v>7</v>
      </c>
      <c r="H123">
        <v>17.66</v>
      </c>
      <c r="I123">
        <v>123.62</v>
      </c>
      <c r="J123">
        <v>6.95</v>
      </c>
      <c r="K123">
        <v>27.42</v>
      </c>
      <c r="L123" t="s">
        <v>24</v>
      </c>
      <c r="M123" t="s">
        <v>25</v>
      </c>
      <c r="N123" t="s">
        <v>76</v>
      </c>
      <c r="O123" s="5">
        <f t="shared" si="1"/>
        <v>0.22180876880763631</v>
      </c>
    </row>
    <row r="124" spans="1:15" x14ac:dyDescent="0.3">
      <c r="A124" t="s">
        <v>378</v>
      </c>
      <c r="B124" t="s">
        <v>309</v>
      </c>
      <c r="C124" t="s">
        <v>227</v>
      </c>
      <c r="D124" t="s">
        <v>206</v>
      </c>
      <c r="E124" t="s">
        <v>22</v>
      </c>
      <c r="F124" t="s">
        <v>23</v>
      </c>
      <c r="G124">
        <v>26</v>
      </c>
      <c r="H124">
        <v>51.5</v>
      </c>
      <c r="I124">
        <v>1339</v>
      </c>
      <c r="J124">
        <v>92.09</v>
      </c>
      <c r="K124">
        <v>336.91</v>
      </c>
      <c r="L124" t="s">
        <v>33</v>
      </c>
      <c r="M124" t="s">
        <v>34</v>
      </c>
      <c r="N124" t="s">
        <v>207</v>
      </c>
      <c r="O124" s="5">
        <f t="shared" si="1"/>
        <v>0.25161314413741598</v>
      </c>
    </row>
    <row r="125" spans="1:15" x14ac:dyDescent="0.3">
      <c r="A125" t="s">
        <v>379</v>
      </c>
      <c r="B125" t="s">
        <v>380</v>
      </c>
      <c r="C125" t="s">
        <v>381</v>
      </c>
      <c r="D125" t="s">
        <v>21</v>
      </c>
      <c r="E125" t="s">
        <v>81</v>
      </c>
      <c r="F125" t="s">
        <v>68</v>
      </c>
      <c r="G125">
        <v>27</v>
      </c>
      <c r="H125">
        <v>25</v>
      </c>
      <c r="I125">
        <v>675</v>
      </c>
      <c r="J125">
        <v>15.49</v>
      </c>
      <c r="K125">
        <v>241.01</v>
      </c>
      <c r="L125" t="s">
        <v>33</v>
      </c>
      <c r="M125" t="s">
        <v>34</v>
      </c>
      <c r="N125" t="s">
        <v>98</v>
      </c>
      <c r="O125" s="5">
        <f t="shared" si="1"/>
        <v>0.35705185185185184</v>
      </c>
    </row>
    <row r="126" spans="1:15" x14ac:dyDescent="0.3">
      <c r="A126" t="s">
        <v>382</v>
      </c>
      <c r="B126" t="s">
        <v>383</v>
      </c>
      <c r="C126" t="s">
        <v>61</v>
      </c>
      <c r="D126" t="s">
        <v>141</v>
      </c>
      <c r="E126" t="s">
        <v>86</v>
      </c>
      <c r="F126" t="s">
        <v>47</v>
      </c>
      <c r="G126">
        <v>4</v>
      </c>
      <c r="H126">
        <v>19</v>
      </c>
      <c r="I126">
        <v>76</v>
      </c>
      <c r="J126">
        <v>3.78</v>
      </c>
      <c r="K126">
        <v>21.22</v>
      </c>
      <c r="L126" t="s">
        <v>33</v>
      </c>
      <c r="M126" t="s">
        <v>41</v>
      </c>
      <c r="N126" t="s">
        <v>142</v>
      </c>
      <c r="O126" s="5">
        <f t="shared" si="1"/>
        <v>0.27921052631578946</v>
      </c>
    </row>
    <row r="127" spans="1:15" x14ac:dyDescent="0.3">
      <c r="A127" t="s">
        <v>384</v>
      </c>
      <c r="B127" t="s">
        <v>147</v>
      </c>
      <c r="C127" t="s">
        <v>307</v>
      </c>
      <c r="D127" t="s">
        <v>55</v>
      </c>
      <c r="E127" t="s">
        <v>81</v>
      </c>
      <c r="F127" t="s">
        <v>68</v>
      </c>
      <c r="G127">
        <v>24</v>
      </c>
      <c r="H127">
        <v>26.63</v>
      </c>
      <c r="I127">
        <v>639.12</v>
      </c>
      <c r="J127">
        <v>31.92</v>
      </c>
      <c r="K127">
        <v>235.2</v>
      </c>
      <c r="L127" t="s">
        <v>48</v>
      </c>
      <c r="M127" t="s">
        <v>41</v>
      </c>
      <c r="N127" t="s">
        <v>98</v>
      </c>
      <c r="O127" s="5">
        <f t="shared" si="1"/>
        <v>0.36800600826135937</v>
      </c>
    </row>
    <row r="128" spans="1:15" x14ac:dyDescent="0.3">
      <c r="A128" t="s">
        <v>385</v>
      </c>
      <c r="B128" t="s">
        <v>386</v>
      </c>
      <c r="C128" t="s">
        <v>134</v>
      </c>
      <c r="D128" t="s">
        <v>116</v>
      </c>
      <c r="E128" t="s">
        <v>74</v>
      </c>
      <c r="F128" t="s">
        <v>75</v>
      </c>
      <c r="G128">
        <v>26</v>
      </c>
      <c r="H128">
        <v>43.14</v>
      </c>
      <c r="I128">
        <v>1121.6400000000001</v>
      </c>
      <c r="J128">
        <v>48.08</v>
      </c>
      <c r="K128">
        <v>423.56</v>
      </c>
      <c r="L128" t="s">
        <v>24</v>
      </c>
      <c r="M128" t="s">
        <v>34</v>
      </c>
      <c r="N128" t="s">
        <v>76</v>
      </c>
      <c r="O128" s="5">
        <f t="shared" si="1"/>
        <v>0.37762561962840124</v>
      </c>
    </row>
    <row r="129" spans="1:15" x14ac:dyDescent="0.3">
      <c r="A129" t="s">
        <v>387</v>
      </c>
      <c r="B129" t="s">
        <v>388</v>
      </c>
      <c r="C129" t="s">
        <v>317</v>
      </c>
      <c r="D129" t="s">
        <v>55</v>
      </c>
      <c r="E129" t="s">
        <v>74</v>
      </c>
      <c r="F129" t="s">
        <v>75</v>
      </c>
      <c r="G129">
        <v>39</v>
      </c>
      <c r="H129">
        <v>30.01</v>
      </c>
      <c r="I129">
        <v>1170.3900000000001</v>
      </c>
      <c r="J129">
        <v>60.43</v>
      </c>
      <c r="K129">
        <v>134.96</v>
      </c>
      <c r="L129" t="s">
        <v>33</v>
      </c>
      <c r="M129" t="s">
        <v>25</v>
      </c>
      <c r="N129" t="s">
        <v>98</v>
      </c>
      <c r="O129" s="5">
        <f t="shared" si="1"/>
        <v>0.11531199002042054</v>
      </c>
    </row>
    <row r="130" spans="1:15" x14ac:dyDescent="0.3">
      <c r="A130" t="s">
        <v>389</v>
      </c>
      <c r="B130" t="s">
        <v>390</v>
      </c>
      <c r="C130" t="s">
        <v>391</v>
      </c>
      <c r="D130" t="s">
        <v>241</v>
      </c>
      <c r="E130" t="s">
        <v>67</v>
      </c>
      <c r="F130" t="s">
        <v>68</v>
      </c>
      <c r="G130">
        <v>5</v>
      </c>
      <c r="H130">
        <v>31.31</v>
      </c>
      <c r="I130">
        <v>156.55000000000001</v>
      </c>
      <c r="J130">
        <v>4.04</v>
      </c>
      <c r="K130">
        <v>40.01</v>
      </c>
      <c r="L130" t="s">
        <v>48</v>
      </c>
      <c r="M130" t="s">
        <v>41</v>
      </c>
      <c r="N130" t="s">
        <v>35</v>
      </c>
      <c r="O130" s="5">
        <f t="shared" si="1"/>
        <v>0.25557329926541039</v>
      </c>
    </row>
    <row r="131" spans="1:15" x14ac:dyDescent="0.3">
      <c r="A131" t="s">
        <v>392</v>
      </c>
      <c r="B131" t="s">
        <v>393</v>
      </c>
      <c r="C131" t="s">
        <v>290</v>
      </c>
      <c r="D131" t="s">
        <v>21</v>
      </c>
      <c r="E131" t="s">
        <v>137</v>
      </c>
      <c r="F131" t="s">
        <v>68</v>
      </c>
      <c r="G131">
        <v>42</v>
      </c>
      <c r="H131">
        <v>36.950000000000003</v>
      </c>
      <c r="I131">
        <v>1551.9</v>
      </c>
      <c r="J131">
        <v>74.260000000000005</v>
      </c>
      <c r="K131">
        <v>301.64</v>
      </c>
      <c r="L131" t="s">
        <v>33</v>
      </c>
      <c r="M131" t="s">
        <v>34</v>
      </c>
      <c r="N131" t="s">
        <v>98</v>
      </c>
      <c r="O131" s="5">
        <f t="shared" si="1"/>
        <v>0.19436819382692183</v>
      </c>
    </row>
    <row r="132" spans="1:15" x14ac:dyDescent="0.3">
      <c r="A132" t="s">
        <v>394</v>
      </c>
      <c r="B132" t="s">
        <v>395</v>
      </c>
      <c r="C132" t="s">
        <v>396</v>
      </c>
      <c r="D132" t="s">
        <v>116</v>
      </c>
      <c r="E132" t="s">
        <v>56</v>
      </c>
      <c r="F132" t="s">
        <v>57</v>
      </c>
      <c r="G132">
        <v>36</v>
      </c>
      <c r="H132">
        <v>57.37</v>
      </c>
      <c r="I132">
        <v>2065.3200000000002</v>
      </c>
      <c r="J132">
        <v>94.34</v>
      </c>
      <c r="K132">
        <v>530.98</v>
      </c>
      <c r="L132" t="s">
        <v>48</v>
      </c>
      <c r="M132" t="s">
        <v>25</v>
      </c>
      <c r="N132" t="s">
        <v>76</v>
      </c>
      <c r="O132" s="5">
        <f t="shared" si="1"/>
        <v>0.25709333178393662</v>
      </c>
    </row>
    <row r="133" spans="1:15" x14ac:dyDescent="0.3">
      <c r="A133" t="s">
        <v>397</v>
      </c>
      <c r="B133" t="s">
        <v>398</v>
      </c>
      <c r="C133" t="s">
        <v>44</v>
      </c>
      <c r="D133" t="s">
        <v>123</v>
      </c>
      <c r="E133" t="s">
        <v>137</v>
      </c>
      <c r="F133" t="s">
        <v>68</v>
      </c>
      <c r="G133">
        <v>13</v>
      </c>
      <c r="H133">
        <v>40.18</v>
      </c>
      <c r="I133">
        <v>522.34</v>
      </c>
      <c r="J133">
        <v>37.369999999999997</v>
      </c>
      <c r="K133">
        <v>120.97</v>
      </c>
      <c r="L133" t="s">
        <v>33</v>
      </c>
      <c r="M133" t="s">
        <v>41</v>
      </c>
      <c r="N133" t="s">
        <v>76</v>
      </c>
      <c r="O133" s="5">
        <f t="shared" si="1"/>
        <v>0.23159244936248419</v>
      </c>
    </row>
    <row r="134" spans="1:15" x14ac:dyDescent="0.3">
      <c r="A134" t="s">
        <v>399</v>
      </c>
      <c r="B134" t="s">
        <v>400</v>
      </c>
      <c r="C134" t="s">
        <v>328</v>
      </c>
      <c r="D134" t="s">
        <v>127</v>
      </c>
      <c r="E134" t="s">
        <v>46</v>
      </c>
      <c r="F134" t="s">
        <v>47</v>
      </c>
      <c r="G134">
        <v>37</v>
      </c>
      <c r="H134">
        <v>39.299999999999997</v>
      </c>
      <c r="I134">
        <v>1454.1</v>
      </c>
      <c r="J134">
        <v>67.08</v>
      </c>
      <c r="K134">
        <v>203.02</v>
      </c>
      <c r="L134" t="s">
        <v>48</v>
      </c>
      <c r="M134" t="s">
        <v>25</v>
      </c>
      <c r="N134" t="s">
        <v>76</v>
      </c>
      <c r="O134" s="5">
        <f t="shared" si="1"/>
        <v>0.13961900832129842</v>
      </c>
    </row>
    <row r="135" spans="1:15" x14ac:dyDescent="0.3">
      <c r="A135" t="s">
        <v>401</v>
      </c>
      <c r="B135" t="s">
        <v>402</v>
      </c>
      <c r="C135" t="s">
        <v>307</v>
      </c>
      <c r="D135" t="s">
        <v>55</v>
      </c>
      <c r="E135" t="s">
        <v>46</v>
      </c>
      <c r="F135" t="s">
        <v>47</v>
      </c>
      <c r="G135">
        <v>17</v>
      </c>
      <c r="H135">
        <v>43.28</v>
      </c>
      <c r="I135">
        <v>735.76</v>
      </c>
      <c r="J135">
        <v>50.96</v>
      </c>
      <c r="K135">
        <v>140.80000000000001</v>
      </c>
      <c r="L135" t="s">
        <v>33</v>
      </c>
      <c r="M135" t="s">
        <v>34</v>
      </c>
      <c r="N135" t="s">
        <v>98</v>
      </c>
      <c r="O135" s="5">
        <f t="shared" ref="O135:O198" si="2">K135/I135</f>
        <v>0.19136675002718279</v>
      </c>
    </row>
    <row r="136" spans="1:15" x14ac:dyDescent="0.3">
      <c r="A136" t="s">
        <v>403</v>
      </c>
      <c r="B136" t="s">
        <v>404</v>
      </c>
      <c r="C136" t="s">
        <v>20</v>
      </c>
      <c r="D136" t="s">
        <v>123</v>
      </c>
      <c r="E136" t="s">
        <v>22</v>
      </c>
      <c r="F136" t="s">
        <v>23</v>
      </c>
      <c r="G136">
        <v>22</v>
      </c>
      <c r="H136">
        <v>62.79</v>
      </c>
      <c r="I136">
        <v>1381.38</v>
      </c>
      <c r="J136">
        <v>75.84</v>
      </c>
      <c r="K136">
        <v>535.54</v>
      </c>
      <c r="L136" t="s">
        <v>48</v>
      </c>
      <c r="M136" t="s">
        <v>41</v>
      </c>
      <c r="N136" t="s">
        <v>76</v>
      </c>
      <c r="O136" s="5">
        <f t="shared" si="2"/>
        <v>0.38768477898912673</v>
      </c>
    </row>
    <row r="137" spans="1:15" x14ac:dyDescent="0.3">
      <c r="A137" t="s">
        <v>405</v>
      </c>
      <c r="B137" t="s">
        <v>406</v>
      </c>
      <c r="C137" t="s">
        <v>249</v>
      </c>
      <c r="D137" t="s">
        <v>241</v>
      </c>
      <c r="E137" t="s">
        <v>56</v>
      </c>
      <c r="F137" t="s">
        <v>57</v>
      </c>
      <c r="G137">
        <v>23</v>
      </c>
      <c r="H137">
        <v>56.76</v>
      </c>
      <c r="I137">
        <v>1305.48</v>
      </c>
      <c r="J137">
        <v>62.93</v>
      </c>
      <c r="K137">
        <v>322.55</v>
      </c>
      <c r="L137" t="s">
        <v>48</v>
      </c>
      <c r="M137" t="s">
        <v>41</v>
      </c>
      <c r="N137" t="s">
        <v>35</v>
      </c>
      <c r="O137" s="5">
        <f t="shared" si="2"/>
        <v>0.24707387321138585</v>
      </c>
    </row>
    <row r="138" spans="1:15" x14ac:dyDescent="0.3">
      <c r="A138" t="s">
        <v>407</v>
      </c>
      <c r="B138" t="s">
        <v>408</v>
      </c>
      <c r="C138" t="s">
        <v>40</v>
      </c>
      <c r="D138" t="s">
        <v>31</v>
      </c>
      <c r="E138" t="s">
        <v>56</v>
      </c>
      <c r="F138" t="s">
        <v>57</v>
      </c>
      <c r="G138">
        <v>22</v>
      </c>
      <c r="H138">
        <v>60.13</v>
      </c>
      <c r="I138">
        <v>1322.86</v>
      </c>
      <c r="J138">
        <v>54.06</v>
      </c>
      <c r="K138">
        <v>388.8</v>
      </c>
      <c r="L138" t="s">
        <v>48</v>
      </c>
      <c r="M138" t="s">
        <v>34</v>
      </c>
      <c r="N138" t="s">
        <v>35</v>
      </c>
      <c r="O138" s="5">
        <f t="shared" si="2"/>
        <v>0.2939086524651135</v>
      </c>
    </row>
    <row r="139" spans="1:15" x14ac:dyDescent="0.3">
      <c r="A139" t="s">
        <v>409</v>
      </c>
      <c r="B139" t="s">
        <v>386</v>
      </c>
      <c r="C139" t="s">
        <v>410</v>
      </c>
      <c r="D139" t="s">
        <v>116</v>
      </c>
      <c r="E139" t="s">
        <v>74</v>
      </c>
      <c r="F139" t="s">
        <v>75</v>
      </c>
      <c r="G139">
        <v>21</v>
      </c>
      <c r="H139">
        <v>40.98</v>
      </c>
      <c r="I139">
        <v>860.58</v>
      </c>
      <c r="J139">
        <v>37.01</v>
      </c>
      <c r="K139">
        <v>298.57</v>
      </c>
      <c r="L139" t="s">
        <v>24</v>
      </c>
      <c r="M139" t="s">
        <v>41</v>
      </c>
      <c r="N139" t="s">
        <v>76</v>
      </c>
      <c r="O139" s="5">
        <f t="shared" si="2"/>
        <v>0.34694043552023052</v>
      </c>
    </row>
    <row r="140" spans="1:15" x14ac:dyDescent="0.3">
      <c r="A140" t="s">
        <v>411</v>
      </c>
      <c r="B140" t="s">
        <v>412</v>
      </c>
      <c r="C140" t="s">
        <v>188</v>
      </c>
      <c r="D140" t="s">
        <v>45</v>
      </c>
      <c r="E140" t="s">
        <v>56</v>
      </c>
      <c r="F140" t="s">
        <v>57</v>
      </c>
      <c r="G140">
        <v>36</v>
      </c>
      <c r="H140">
        <v>54.6</v>
      </c>
      <c r="I140">
        <v>1965.6</v>
      </c>
      <c r="J140">
        <v>150.34</v>
      </c>
      <c r="K140">
        <v>375.26</v>
      </c>
      <c r="L140" t="s">
        <v>33</v>
      </c>
      <c r="M140" t="s">
        <v>25</v>
      </c>
      <c r="N140" t="s">
        <v>49</v>
      </c>
      <c r="O140" s="5">
        <f t="shared" si="2"/>
        <v>0.19091371591371592</v>
      </c>
    </row>
    <row r="141" spans="1:15" x14ac:dyDescent="0.3">
      <c r="A141" t="s">
        <v>413</v>
      </c>
      <c r="B141" t="s">
        <v>414</v>
      </c>
      <c r="C141" t="s">
        <v>360</v>
      </c>
      <c r="D141" t="s">
        <v>37</v>
      </c>
      <c r="E141" t="s">
        <v>81</v>
      </c>
      <c r="F141" t="s">
        <v>68</v>
      </c>
      <c r="G141">
        <v>1</v>
      </c>
      <c r="H141">
        <v>27.49</v>
      </c>
      <c r="I141">
        <v>27.49</v>
      </c>
      <c r="J141">
        <v>0.63</v>
      </c>
      <c r="K141">
        <v>11.36</v>
      </c>
      <c r="L141" t="s">
        <v>33</v>
      </c>
      <c r="M141" t="s">
        <v>41</v>
      </c>
      <c r="N141" t="s">
        <v>35</v>
      </c>
      <c r="O141" s="5">
        <f t="shared" si="2"/>
        <v>0.41324117861040377</v>
      </c>
    </row>
    <row r="142" spans="1:15" x14ac:dyDescent="0.3">
      <c r="A142" t="s">
        <v>415</v>
      </c>
      <c r="B142" t="s">
        <v>416</v>
      </c>
      <c r="C142" t="s">
        <v>417</v>
      </c>
      <c r="D142" t="s">
        <v>116</v>
      </c>
      <c r="E142" t="s">
        <v>46</v>
      </c>
      <c r="F142" t="s">
        <v>47</v>
      </c>
      <c r="G142">
        <v>50</v>
      </c>
      <c r="H142">
        <v>41.11</v>
      </c>
      <c r="I142">
        <v>2055.5</v>
      </c>
      <c r="J142">
        <v>95.61</v>
      </c>
      <c r="K142">
        <v>359.89</v>
      </c>
      <c r="L142" t="s">
        <v>48</v>
      </c>
      <c r="M142" t="s">
        <v>34</v>
      </c>
      <c r="N142" t="s">
        <v>76</v>
      </c>
      <c r="O142" s="5">
        <f t="shared" si="2"/>
        <v>0.17508635368523473</v>
      </c>
    </row>
    <row r="143" spans="1:15" x14ac:dyDescent="0.3">
      <c r="A143" t="s">
        <v>418</v>
      </c>
      <c r="B143" t="s">
        <v>419</v>
      </c>
      <c r="C143" t="s">
        <v>191</v>
      </c>
      <c r="D143" t="s">
        <v>51</v>
      </c>
      <c r="E143" t="s">
        <v>81</v>
      </c>
      <c r="F143" t="s">
        <v>68</v>
      </c>
      <c r="G143">
        <v>18</v>
      </c>
      <c r="H143">
        <v>25.54</v>
      </c>
      <c r="I143">
        <v>459.72</v>
      </c>
      <c r="J143">
        <v>27.02</v>
      </c>
      <c r="K143">
        <v>153.69999999999999</v>
      </c>
      <c r="L143" t="s">
        <v>33</v>
      </c>
      <c r="M143" t="s">
        <v>25</v>
      </c>
      <c r="N143" t="s">
        <v>76</v>
      </c>
      <c r="O143" s="5">
        <f t="shared" si="2"/>
        <v>0.33433394239972153</v>
      </c>
    </row>
    <row r="144" spans="1:15" x14ac:dyDescent="0.3">
      <c r="A144" t="s">
        <v>420</v>
      </c>
      <c r="B144" t="s">
        <v>421</v>
      </c>
      <c r="C144" t="s">
        <v>369</v>
      </c>
      <c r="D144" t="s">
        <v>127</v>
      </c>
      <c r="E144" t="s">
        <v>137</v>
      </c>
      <c r="F144" t="s">
        <v>68</v>
      </c>
      <c r="G144">
        <v>4</v>
      </c>
      <c r="H144">
        <v>47.52</v>
      </c>
      <c r="I144">
        <v>190.08</v>
      </c>
      <c r="J144">
        <v>10.23</v>
      </c>
      <c r="K144">
        <v>67.849999999999994</v>
      </c>
      <c r="L144" t="s">
        <v>24</v>
      </c>
      <c r="M144" t="s">
        <v>25</v>
      </c>
      <c r="N144" t="s">
        <v>76</v>
      </c>
      <c r="O144" s="5">
        <f t="shared" si="2"/>
        <v>0.35695496632996626</v>
      </c>
    </row>
    <row r="145" spans="1:15" x14ac:dyDescent="0.3">
      <c r="A145" t="s">
        <v>422</v>
      </c>
      <c r="B145" t="s">
        <v>423</v>
      </c>
      <c r="C145" t="s">
        <v>272</v>
      </c>
      <c r="D145" t="s">
        <v>37</v>
      </c>
      <c r="E145" t="s">
        <v>74</v>
      </c>
      <c r="F145" t="s">
        <v>75</v>
      </c>
      <c r="G145">
        <v>29</v>
      </c>
      <c r="H145">
        <v>30.48</v>
      </c>
      <c r="I145">
        <v>883.92</v>
      </c>
      <c r="J145">
        <v>33.15</v>
      </c>
      <c r="K145">
        <v>125.77</v>
      </c>
      <c r="L145" t="s">
        <v>48</v>
      </c>
      <c r="M145" t="s">
        <v>25</v>
      </c>
      <c r="N145" t="s">
        <v>35</v>
      </c>
      <c r="O145" s="5">
        <f t="shared" si="2"/>
        <v>0.14228663227441399</v>
      </c>
    </row>
    <row r="146" spans="1:15" x14ac:dyDescent="0.3">
      <c r="A146" t="s">
        <v>424</v>
      </c>
      <c r="B146" t="s">
        <v>256</v>
      </c>
      <c r="C146" t="s">
        <v>269</v>
      </c>
      <c r="D146" t="s">
        <v>141</v>
      </c>
      <c r="E146" t="s">
        <v>56</v>
      </c>
      <c r="F146" t="s">
        <v>57</v>
      </c>
      <c r="G146">
        <v>27</v>
      </c>
      <c r="H146">
        <v>50.39</v>
      </c>
      <c r="I146">
        <v>1360.53</v>
      </c>
      <c r="J146">
        <v>106.4</v>
      </c>
      <c r="K146">
        <v>174.13</v>
      </c>
      <c r="L146" t="s">
        <v>33</v>
      </c>
      <c r="M146" t="s">
        <v>34</v>
      </c>
      <c r="N146" t="s">
        <v>142</v>
      </c>
      <c r="O146" s="5">
        <f t="shared" si="2"/>
        <v>0.12798688746297399</v>
      </c>
    </row>
    <row r="147" spans="1:15" x14ac:dyDescent="0.3">
      <c r="A147" t="s">
        <v>425</v>
      </c>
      <c r="B147" t="s">
        <v>426</v>
      </c>
      <c r="C147" t="s">
        <v>232</v>
      </c>
      <c r="D147" t="s">
        <v>241</v>
      </c>
      <c r="E147" t="s">
        <v>74</v>
      </c>
      <c r="F147" t="s">
        <v>75</v>
      </c>
      <c r="G147">
        <v>34</v>
      </c>
      <c r="H147">
        <v>37.68</v>
      </c>
      <c r="I147">
        <v>1281.1199999999999</v>
      </c>
      <c r="J147">
        <v>54.86</v>
      </c>
      <c r="K147">
        <v>376.26</v>
      </c>
      <c r="L147" t="s">
        <v>48</v>
      </c>
      <c r="M147" t="s">
        <v>25</v>
      </c>
      <c r="N147" t="s">
        <v>35</v>
      </c>
      <c r="O147" s="5">
        <f t="shared" si="2"/>
        <v>0.2936961408767329</v>
      </c>
    </row>
    <row r="148" spans="1:15" x14ac:dyDescent="0.3">
      <c r="A148" t="s">
        <v>427</v>
      </c>
      <c r="B148" t="s">
        <v>109</v>
      </c>
      <c r="C148" t="s">
        <v>428</v>
      </c>
      <c r="D148" t="s">
        <v>127</v>
      </c>
      <c r="E148" t="s">
        <v>74</v>
      </c>
      <c r="F148" t="s">
        <v>75</v>
      </c>
      <c r="G148">
        <v>3</v>
      </c>
      <c r="H148">
        <v>39.32</v>
      </c>
      <c r="I148">
        <v>117.96</v>
      </c>
      <c r="J148">
        <v>6.97</v>
      </c>
      <c r="K148">
        <v>35.99</v>
      </c>
      <c r="L148" t="s">
        <v>33</v>
      </c>
      <c r="M148" t="s">
        <v>34</v>
      </c>
      <c r="N148" t="s">
        <v>76</v>
      </c>
      <c r="O148" s="5">
        <f t="shared" si="2"/>
        <v>0.3051034248897932</v>
      </c>
    </row>
    <row r="149" spans="1:15" x14ac:dyDescent="0.3">
      <c r="A149" t="s">
        <v>429</v>
      </c>
      <c r="B149" t="s">
        <v>390</v>
      </c>
      <c r="C149" t="s">
        <v>372</v>
      </c>
      <c r="D149" t="s">
        <v>55</v>
      </c>
      <c r="E149" t="s">
        <v>86</v>
      </c>
      <c r="F149" t="s">
        <v>47</v>
      </c>
      <c r="G149">
        <v>24</v>
      </c>
      <c r="H149">
        <v>18</v>
      </c>
      <c r="I149">
        <v>432</v>
      </c>
      <c r="J149">
        <v>22.68</v>
      </c>
      <c r="K149">
        <v>103.32</v>
      </c>
      <c r="L149" t="s">
        <v>24</v>
      </c>
      <c r="M149" t="s">
        <v>41</v>
      </c>
      <c r="N149" t="s">
        <v>98</v>
      </c>
      <c r="O149" s="5">
        <f t="shared" si="2"/>
        <v>0.23916666666666664</v>
      </c>
    </row>
    <row r="150" spans="1:15" x14ac:dyDescent="0.3">
      <c r="A150" t="s">
        <v>430</v>
      </c>
      <c r="B150" t="s">
        <v>431</v>
      </c>
      <c r="C150" t="s">
        <v>162</v>
      </c>
      <c r="D150" t="s">
        <v>31</v>
      </c>
      <c r="E150" t="s">
        <v>67</v>
      </c>
      <c r="F150" t="s">
        <v>68</v>
      </c>
      <c r="G150">
        <v>5</v>
      </c>
      <c r="H150">
        <v>36.43</v>
      </c>
      <c r="I150">
        <v>182.15</v>
      </c>
      <c r="J150">
        <v>7.82</v>
      </c>
      <c r="K150">
        <v>61.83</v>
      </c>
      <c r="L150" t="s">
        <v>24</v>
      </c>
      <c r="M150" t="s">
        <v>41</v>
      </c>
      <c r="N150" t="s">
        <v>35</v>
      </c>
      <c r="O150" s="5">
        <f t="shared" si="2"/>
        <v>0.33944551194070821</v>
      </c>
    </row>
    <row r="151" spans="1:15" x14ac:dyDescent="0.3">
      <c r="A151" t="s">
        <v>432</v>
      </c>
      <c r="B151" t="s">
        <v>433</v>
      </c>
      <c r="C151" t="s">
        <v>170</v>
      </c>
      <c r="D151" t="s">
        <v>51</v>
      </c>
      <c r="E151" t="s">
        <v>67</v>
      </c>
      <c r="F151" t="s">
        <v>68</v>
      </c>
      <c r="G151">
        <v>27</v>
      </c>
      <c r="H151">
        <v>38.39</v>
      </c>
      <c r="I151">
        <v>1036.53</v>
      </c>
      <c r="J151">
        <v>28.6</v>
      </c>
      <c r="K151">
        <v>400.43</v>
      </c>
      <c r="L151" t="s">
        <v>33</v>
      </c>
      <c r="M151" t="s">
        <v>25</v>
      </c>
      <c r="N151" t="s">
        <v>76</v>
      </c>
      <c r="O151" s="5">
        <f t="shared" si="2"/>
        <v>0.38631781038657831</v>
      </c>
    </row>
    <row r="152" spans="1:15" x14ac:dyDescent="0.3">
      <c r="A152" t="s">
        <v>434</v>
      </c>
      <c r="B152" t="s">
        <v>435</v>
      </c>
      <c r="C152" t="s">
        <v>219</v>
      </c>
      <c r="D152" t="s">
        <v>45</v>
      </c>
      <c r="E152" t="s">
        <v>137</v>
      </c>
      <c r="F152" t="s">
        <v>68</v>
      </c>
      <c r="G152">
        <v>10</v>
      </c>
      <c r="H152">
        <v>47.5</v>
      </c>
      <c r="I152">
        <v>475</v>
      </c>
      <c r="J152">
        <v>15.95</v>
      </c>
      <c r="K152">
        <v>179.05</v>
      </c>
      <c r="L152" t="s">
        <v>24</v>
      </c>
      <c r="M152" t="s">
        <v>25</v>
      </c>
      <c r="N152" t="s">
        <v>49</v>
      </c>
      <c r="O152" s="5">
        <f t="shared" si="2"/>
        <v>0.37694736842105264</v>
      </c>
    </row>
    <row r="153" spans="1:15" x14ac:dyDescent="0.3">
      <c r="A153" t="s">
        <v>436</v>
      </c>
      <c r="B153" t="s">
        <v>274</v>
      </c>
      <c r="C153" t="s">
        <v>437</v>
      </c>
      <c r="D153" t="s">
        <v>123</v>
      </c>
      <c r="E153" t="s">
        <v>46</v>
      </c>
      <c r="F153" t="s">
        <v>47</v>
      </c>
      <c r="G153">
        <v>47</v>
      </c>
      <c r="H153">
        <v>50.13</v>
      </c>
      <c r="I153">
        <v>2356.11</v>
      </c>
      <c r="J153">
        <v>166.22</v>
      </c>
      <c r="K153">
        <v>685.89</v>
      </c>
      <c r="L153" t="s">
        <v>24</v>
      </c>
      <c r="M153" t="s">
        <v>25</v>
      </c>
      <c r="N153" t="s">
        <v>76</v>
      </c>
      <c r="O153" s="5">
        <f t="shared" si="2"/>
        <v>0.29111119599679131</v>
      </c>
    </row>
    <row r="154" spans="1:15" x14ac:dyDescent="0.3">
      <c r="A154" t="s">
        <v>438</v>
      </c>
      <c r="B154" t="s">
        <v>439</v>
      </c>
      <c r="C154" t="s">
        <v>440</v>
      </c>
      <c r="D154" t="s">
        <v>62</v>
      </c>
      <c r="E154" t="s">
        <v>137</v>
      </c>
      <c r="F154" t="s">
        <v>68</v>
      </c>
      <c r="G154">
        <v>47</v>
      </c>
      <c r="H154">
        <v>42.25</v>
      </c>
      <c r="I154">
        <v>1985.75</v>
      </c>
      <c r="J154">
        <v>116.75</v>
      </c>
      <c r="K154">
        <v>553</v>
      </c>
      <c r="L154" t="s">
        <v>33</v>
      </c>
      <c r="M154" t="s">
        <v>25</v>
      </c>
      <c r="N154" t="s">
        <v>98</v>
      </c>
      <c r="O154" s="5">
        <f t="shared" si="2"/>
        <v>0.27848419992446177</v>
      </c>
    </row>
    <row r="155" spans="1:15" x14ac:dyDescent="0.3">
      <c r="A155" t="s">
        <v>441</v>
      </c>
      <c r="B155" t="s">
        <v>121</v>
      </c>
      <c r="C155" t="s">
        <v>442</v>
      </c>
      <c r="D155" t="s">
        <v>51</v>
      </c>
      <c r="E155" t="s">
        <v>74</v>
      </c>
      <c r="F155" t="s">
        <v>75</v>
      </c>
      <c r="G155">
        <v>18</v>
      </c>
      <c r="H155">
        <v>38.26</v>
      </c>
      <c r="I155">
        <v>688.68</v>
      </c>
      <c r="J155">
        <v>18.78</v>
      </c>
      <c r="K155">
        <v>219.9</v>
      </c>
      <c r="L155" t="s">
        <v>33</v>
      </c>
      <c r="M155" t="s">
        <v>25</v>
      </c>
      <c r="N155" t="s">
        <v>76</v>
      </c>
      <c r="O155" s="5">
        <f t="shared" si="2"/>
        <v>0.31930649939013767</v>
      </c>
    </row>
    <row r="156" spans="1:15" x14ac:dyDescent="0.3">
      <c r="A156" t="s">
        <v>443</v>
      </c>
      <c r="B156" t="s">
        <v>444</v>
      </c>
      <c r="C156" t="s">
        <v>140</v>
      </c>
      <c r="D156" t="s">
        <v>116</v>
      </c>
      <c r="E156" t="s">
        <v>137</v>
      </c>
      <c r="F156" t="s">
        <v>68</v>
      </c>
      <c r="G156">
        <v>31</v>
      </c>
      <c r="H156">
        <v>46.66</v>
      </c>
      <c r="I156">
        <v>1446.46</v>
      </c>
      <c r="J156">
        <v>109.24</v>
      </c>
      <c r="K156">
        <v>469.22</v>
      </c>
      <c r="L156" t="s">
        <v>24</v>
      </c>
      <c r="M156" t="s">
        <v>41</v>
      </c>
      <c r="N156" t="s">
        <v>76</v>
      </c>
      <c r="O156" s="5">
        <f t="shared" si="2"/>
        <v>0.32439196382893409</v>
      </c>
    </row>
    <row r="157" spans="1:15" x14ac:dyDescent="0.3">
      <c r="A157" t="s">
        <v>445</v>
      </c>
      <c r="B157" t="s">
        <v>446</v>
      </c>
      <c r="C157" t="s">
        <v>447</v>
      </c>
      <c r="D157" t="s">
        <v>141</v>
      </c>
      <c r="E157" t="s">
        <v>46</v>
      </c>
      <c r="F157" t="s">
        <v>47</v>
      </c>
      <c r="G157">
        <v>41</v>
      </c>
      <c r="H157">
        <v>52.65</v>
      </c>
      <c r="I157">
        <v>2158.65</v>
      </c>
      <c r="J157">
        <v>110.1</v>
      </c>
      <c r="K157">
        <v>736.55</v>
      </c>
      <c r="L157" t="s">
        <v>33</v>
      </c>
      <c r="M157" t="s">
        <v>41</v>
      </c>
      <c r="N157" t="s">
        <v>142</v>
      </c>
      <c r="O157" s="5">
        <f t="shared" si="2"/>
        <v>0.34120862576147126</v>
      </c>
    </row>
    <row r="158" spans="1:15" x14ac:dyDescent="0.3">
      <c r="A158" t="s">
        <v>448</v>
      </c>
      <c r="B158" t="s">
        <v>449</v>
      </c>
      <c r="C158" t="s">
        <v>185</v>
      </c>
      <c r="D158" t="s">
        <v>127</v>
      </c>
      <c r="E158" t="s">
        <v>32</v>
      </c>
      <c r="F158" t="s">
        <v>23</v>
      </c>
      <c r="G158">
        <v>28</v>
      </c>
      <c r="H158">
        <v>22.66</v>
      </c>
      <c r="I158">
        <v>634.48</v>
      </c>
      <c r="J158">
        <v>15.55</v>
      </c>
      <c r="K158">
        <v>114.93</v>
      </c>
      <c r="L158" t="s">
        <v>48</v>
      </c>
      <c r="M158" t="s">
        <v>25</v>
      </c>
      <c r="N158" t="s">
        <v>76</v>
      </c>
      <c r="O158" s="5">
        <f t="shared" si="2"/>
        <v>0.1811404614802673</v>
      </c>
    </row>
    <row r="159" spans="1:15" x14ac:dyDescent="0.3">
      <c r="A159" t="s">
        <v>450</v>
      </c>
      <c r="B159" t="s">
        <v>451</v>
      </c>
      <c r="C159" t="s">
        <v>428</v>
      </c>
      <c r="D159" t="s">
        <v>62</v>
      </c>
      <c r="E159" t="s">
        <v>81</v>
      </c>
      <c r="F159" t="s">
        <v>68</v>
      </c>
      <c r="G159">
        <v>48</v>
      </c>
      <c r="H159">
        <v>25.07</v>
      </c>
      <c r="I159">
        <v>1203.3599999999999</v>
      </c>
      <c r="J159">
        <v>29.93</v>
      </c>
      <c r="K159">
        <v>429.43</v>
      </c>
      <c r="L159" t="s">
        <v>33</v>
      </c>
      <c r="M159" t="s">
        <v>34</v>
      </c>
      <c r="N159" t="s">
        <v>98</v>
      </c>
      <c r="O159" s="5">
        <f t="shared" si="2"/>
        <v>0.35685912777556178</v>
      </c>
    </row>
    <row r="160" spans="1:15" x14ac:dyDescent="0.3">
      <c r="A160" t="s">
        <v>452</v>
      </c>
      <c r="B160" t="s">
        <v>240</v>
      </c>
      <c r="C160" t="s">
        <v>44</v>
      </c>
      <c r="D160" t="s">
        <v>45</v>
      </c>
      <c r="E160" t="s">
        <v>32</v>
      </c>
      <c r="F160" t="s">
        <v>23</v>
      </c>
      <c r="G160">
        <v>31</v>
      </c>
      <c r="H160">
        <v>30.53</v>
      </c>
      <c r="I160">
        <v>946.43</v>
      </c>
      <c r="J160">
        <v>72.150000000000006</v>
      </c>
      <c r="K160">
        <v>316.27999999999997</v>
      </c>
      <c r="L160" t="s">
        <v>48</v>
      </c>
      <c r="M160" t="s">
        <v>34</v>
      </c>
      <c r="N160" t="s">
        <v>49</v>
      </c>
      <c r="O160" s="5">
        <f t="shared" si="2"/>
        <v>0.33418213708356664</v>
      </c>
    </row>
    <row r="161" spans="1:15" x14ac:dyDescent="0.3">
      <c r="A161" t="s">
        <v>453</v>
      </c>
      <c r="B161" t="s">
        <v>454</v>
      </c>
      <c r="C161" t="s">
        <v>455</v>
      </c>
      <c r="D161" t="s">
        <v>141</v>
      </c>
      <c r="E161" t="s">
        <v>67</v>
      </c>
      <c r="F161" t="s">
        <v>68</v>
      </c>
      <c r="G161">
        <v>33</v>
      </c>
      <c r="H161">
        <v>31</v>
      </c>
      <c r="I161">
        <v>1023</v>
      </c>
      <c r="J161">
        <v>63.94</v>
      </c>
      <c r="K161">
        <v>216.56</v>
      </c>
      <c r="L161" t="s">
        <v>33</v>
      </c>
      <c r="M161" t="s">
        <v>25</v>
      </c>
      <c r="N161" t="s">
        <v>142</v>
      </c>
      <c r="O161" s="5">
        <f t="shared" si="2"/>
        <v>0.21169110459433041</v>
      </c>
    </row>
    <row r="162" spans="1:15" x14ac:dyDescent="0.3">
      <c r="A162" t="s">
        <v>456</v>
      </c>
      <c r="B162" t="s">
        <v>457</v>
      </c>
      <c r="C162" t="s">
        <v>191</v>
      </c>
      <c r="D162" t="s">
        <v>31</v>
      </c>
      <c r="E162" t="s">
        <v>81</v>
      </c>
      <c r="F162" t="s">
        <v>68</v>
      </c>
      <c r="G162">
        <v>32</v>
      </c>
      <c r="H162">
        <v>20.86</v>
      </c>
      <c r="I162">
        <v>667.52</v>
      </c>
      <c r="J162">
        <v>21.62</v>
      </c>
      <c r="K162">
        <v>149.9</v>
      </c>
      <c r="L162" t="s">
        <v>48</v>
      </c>
      <c r="M162" t="s">
        <v>41</v>
      </c>
      <c r="N162" t="s">
        <v>35</v>
      </c>
      <c r="O162" s="5">
        <f t="shared" si="2"/>
        <v>0.22456255992329818</v>
      </c>
    </row>
    <row r="163" spans="1:15" x14ac:dyDescent="0.3">
      <c r="A163" t="s">
        <v>458</v>
      </c>
      <c r="B163" t="s">
        <v>330</v>
      </c>
      <c r="C163" t="s">
        <v>222</v>
      </c>
      <c r="D163" t="s">
        <v>241</v>
      </c>
      <c r="E163" t="s">
        <v>63</v>
      </c>
      <c r="F163" t="s">
        <v>47</v>
      </c>
      <c r="G163">
        <v>18</v>
      </c>
      <c r="H163">
        <v>24.61</v>
      </c>
      <c r="I163">
        <v>442.98</v>
      </c>
      <c r="J163">
        <v>26.99</v>
      </c>
      <c r="K163">
        <v>55.99</v>
      </c>
      <c r="L163" t="s">
        <v>48</v>
      </c>
      <c r="M163" t="s">
        <v>25</v>
      </c>
      <c r="N163" t="s">
        <v>35</v>
      </c>
      <c r="O163" s="5">
        <f t="shared" si="2"/>
        <v>0.12639396812497178</v>
      </c>
    </row>
    <row r="164" spans="1:15" x14ac:dyDescent="0.3">
      <c r="A164" t="s">
        <v>459</v>
      </c>
      <c r="B164" t="s">
        <v>460</v>
      </c>
      <c r="C164" t="s">
        <v>154</v>
      </c>
      <c r="D164" t="s">
        <v>116</v>
      </c>
      <c r="E164" t="s">
        <v>56</v>
      </c>
      <c r="F164" t="s">
        <v>57</v>
      </c>
      <c r="G164">
        <v>18</v>
      </c>
      <c r="H164">
        <v>64.83</v>
      </c>
      <c r="I164">
        <v>1166.94</v>
      </c>
      <c r="J164">
        <v>34.28</v>
      </c>
      <c r="K164">
        <v>412.66</v>
      </c>
      <c r="L164" t="s">
        <v>48</v>
      </c>
      <c r="M164" t="s">
        <v>25</v>
      </c>
      <c r="N164" t="s">
        <v>76</v>
      </c>
      <c r="O164" s="5">
        <f t="shared" si="2"/>
        <v>0.35362572197370901</v>
      </c>
    </row>
    <row r="165" spans="1:15" x14ac:dyDescent="0.3">
      <c r="A165" t="s">
        <v>461</v>
      </c>
      <c r="B165" t="s">
        <v>133</v>
      </c>
      <c r="C165" t="s">
        <v>462</v>
      </c>
      <c r="D165" t="s">
        <v>62</v>
      </c>
      <c r="E165" t="s">
        <v>63</v>
      </c>
      <c r="F165" t="s">
        <v>47</v>
      </c>
      <c r="G165">
        <v>49</v>
      </c>
      <c r="H165">
        <v>29.52</v>
      </c>
      <c r="I165">
        <v>1446.48</v>
      </c>
      <c r="J165">
        <v>104.7</v>
      </c>
      <c r="K165">
        <v>361.78</v>
      </c>
      <c r="L165" t="s">
        <v>48</v>
      </c>
      <c r="M165" t="s">
        <v>41</v>
      </c>
      <c r="N165" t="s">
        <v>98</v>
      </c>
      <c r="O165" s="5">
        <f t="shared" si="2"/>
        <v>0.25011061335103146</v>
      </c>
    </row>
    <row r="166" spans="1:15" x14ac:dyDescent="0.3">
      <c r="A166" t="s">
        <v>463</v>
      </c>
      <c r="B166" t="s">
        <v>464</v>
      </c>
      <c r="C166" t="s">
        <v>465</v>
      </c>
      <c r="D166" t="s">
        <v>141</v>
      </c>
      <c r="E166" t="s">
        <v>63</v>
      </c>
      <c r="F166" t="s">
        <v>47</v>
      </c>
      <c r="G166">
        <v>10</v>
      </c>
      <c r="H166">
        <v>26.73</v>
      </c>
      <c r="I166">
        <v>267.3</v>
      </c>
      <c r="J166">
        <v>10.210000000000001</v>
      </c>
      <c r="K166">
        <v>57.09</v>
      </c>
      <c r="L166" t="s">
        <v>48</v>
      </c>
      <c r="M166" t="s">
        <v>41</v>
      </c>
      <c r="N166" t="s">
        <v>142</v>
      </c>
      <c r="O166" s="5">
        <f t="shared" si="2"/>
        <v>0.21358024691358024</v>
      </c>
    </row>
    <row r="167" spans="1:15" x14ac:dyDescent="0.3">
      <c r="A167" t="s">
        <v>466</v>
      </c>
      <c r="B167" t="s">
        <v>467</v>
      </c>
      <c r="C167" t="s">
        <v>85</v>
      </c>
      <c r="D167" t="s">
        <v>31</v>
      </c>
      <c r="E167" t="s">
        <v>46</v>
      </c>
      <c r="F167" t="s">
        <v>47</v>
      </c>
      <c r="G167">
        <v>10</v>
      </c>
      <c r="H167">
        <v>54.45</v>
      </c>
      <c r="I167">
        <v>544.5</v>
      </c>
      <c r="J167">
        <v>16.59</v>
      </c>
      <c r="K167">
        <v>207.91</v>
      </c>
      <c r="L167" t="s">
        <v>24</v>
      </c>
      <c r="M167" t="s">
        <v>25</v>
      </c>
      <c r="N167" t="s">
        <v>35</v>
      </c>
      <c r="O167" s="5">
        <f t="shared" si="2"/>
        <v>0.38183654729109273</v>
      </c>
    </row>
    <row r="168" spans="1:15" x14ac:dyDescent="0.3">
      <c r="A168" t="s">
        <v>468</v>
      </c>
      <c r="B168" t="s">
        <v>469</v>
      </c>
      <c r="C168" t="s">
        <v>85</v>
      </c>
      <c r="D168" t="s">
        <v>70</v>
      </c>
      <c r="E168" t="s">
        <v>32</v>
      </c>
      <c r="F168" t="s">
        <v>23</v>
      </c>
      <c r="G168">
        <v>46</v>
      </c>
      <c r="H168">
        <v>30.06</v>
      </c>
      <c r="I168">
        <v>1382.76</v>
      </c>
      <c r="J168">
        <v>77.17</v>
      </c>
      <c r="K168">
        <v>477.59</v>
      </c>
      <c r="L168" t="s">
        <v>33</v>
      </c>
      <c r="M168" t="s">
        <v>34</v>
      </c>
      <c r="N168" t="s">
        <v>76</v>
      </c>
      <c r="O168" s="5">
        <f t="shared" si="2"/>
        <v>0.34538893228036677</v>
      </c>
    </row>
    <row r="169" spans="1:15" x14ac:dyDescent="0.3">
      <c r="A169" t="s">
        <v>470</v>
      </c>
      <c r="B169" t="s">
        <v>118</v>
      </c>
      <c r="C169" t="s">
        <v>471</v>
      </c>
      <c r="D169" t="s">
        <v>62</v>
      </c>
      <c r="E169" t="s">
        <v>81</v>
      </c>
      <c r="F169" t="s">
        <v>68</v>
      </c>
      <c r="G169">
        <v>25</v>
      </c>
      <c r="H169">
        <v>21.52</v>
      </c>
      <c r="I169">
        <v>538</v>
      </c>
      <c r="J169">
        <v>26.73</v>
      </c>
      <c r="K169">
        <v>123.77</v>
      </c>
      <c r="L169" t="s">
        <v>33</v>
      </c>
      <c r="M169" t="s">
        <v>25</v>
      </c>
      <c r="N169" t="s">
        <v>98</v>
      </c>
      <c r="O169" s="5">
        <f t="shared" si="2"/>
        <v>0.23005576208178438</v>
      </c>
    </row>
    <row r="170" spans="1:15" x14ac:dyDescent="0.3">
      <c r="A170" t="s">
        <v>472</v>
      </c>
      <c r="B170" t="s">
        <v>473</v>
      </c>
      <c r="C170" t="s">
        <v>334</v>
      </c>
      <c r="D170" t="s">
        <v>70</v>
      </c>
      <c r="E170" t="s">
        <v>32</v>
      </c>
      <c r="F170" t="s">
        <v>23</v>
      </c>
      <c r="G170">
        <v>5</v>
      </c>
      <c r="H170">
        <v>26.25</v>
      </c>
      <c r="I170">
        <v>131.25</v>
      </c>
      <c r="J170">
        <v>3.35</v>
      </c>
      <c r="K170">
        <v>37.9</v>
      </c>
      <c r="L170" t="s">
        <v>33</v>
      </c>
      <c r="M170" t="s">
        <v>34</v>
      </c>
      <c r="N170" t="s">
        <v>76</v>
      </c>
      <c r="O170" s="5">
        <f t="shared" si="2"/>
        <v>0.28876190476190478</v>
      </c>
    </row>
    <row r="171" spans="1:15" x14ac:dyDescent="0.3">
      <c r="A171" t="s">
        <v>474</v>
      </c>
      <c r="B171" t="s">
        <v>281</v>
      </c>
      <c r="C171" t="s">
        <v>475</v>
      </c>
      <c r="D171" t="s">
        <v>31</v>
      </c>
      <c r="E171" t="s">
        <v>74</v>
      </c>
      <c r="F171" t="s">
        <v>75</v>
      </c>
      <c r="G171">
        <v>10</v>
      </c>
      <c r="H171">
        <v>31.48</v>
      </c>
      <c r="I171">
        <v>314.8</v>
      </c>
      <c r="J171">
        <v>10.23</v>
      </c>
      <c r="K171">
        <v>54.57</v>
      </c>
      <c r="L171" t="s">
        <v>48</v>
      </c>
      <c r="M171" t="s">
        <v>41</v>
      </c>
      <c r="N171" t="s">
        <v>35</v>
      </c>
      <c r="O171" s="5">
        <f t="shared" si="2"/>
        <v>0.17334815756035576</v>
      </c>
    </row>
    <row r="172" spans="1:15" x14ac:dyDescent="0.3">
      <c r="A172" t="s">
        <v>476</v>
      </c>
      <c r="B172" t="s">
        <v>477</v>
      </c>
      <c r="C172" t="s">
        <v>177</v>
      </c>
      <c r="D172" t="s">
        <v>45</v>
      </c>
      <c r="E172" t="s">
        <v>63</v>
      </c>
      <c r="F172" t="s">
        <v>47</v>
      </c>
      <c r="G172">
        <v>21</v>
      </c>
      <c r="H172">
        <v>30.91</v>
      </c>
      <c r="I172">
        <v>649.11</v>
      </c>
      <c r="J172">
        <v>38.42</v>
      </c>
      <c r="K172">
        <v>190.69</v>
      </c>
      <c r="L172" t="s">
        <v>33</v>
      </c>
      <c r="M172" t="s">
        <v>41</v>
      </c>
      <c r="N172" t="s">
        <v>49</v>
      </c>
      <c r="O172" s="5">
        <f t="shared" si="2"/>
        <v>0.29377147170741474</v>
      </c>
    </row>
    <row r="173" spans="1:15" x14ac:dyDescent="0.3">
      <c r="A173" t="s">
        <v>478</v>
      </c>
      <c r="B173" t="s">
        <v>479</v>
      </c>
      <c r="C173" t="s">
        <v>480</v>
      </c>
      <c r="D173" t="s">
        <v>116</v>
      </c>
      <c r="E173" t="s">
        <v>86</v>
      </c>
      <c r="F173" t="s">
        <v>47</v>
      </c>
      <c r="G173">
        <v>29</v>
      </c>
      <c r="H173">
        <v>18.47</v>
      </c>
      <c r="I173">
        <v>535.63</v>
      </c>
      <c r="J173">
        <v>13.21</v>
      </c>
      <c r="K173">
        <v>152.66999999999999</v>
      </c>
      <c r="L173" t="s">
        <v>24</v>
      </c>
      <c r="M173" t="s">
        <v>25</v>
      </c>
      <c r="N173" t="s">
        <v>76</v>
      </c>
      <c r="O173" s="5">
        <f t="shared" si="2"/>
        <v>0.28502884453820732</v>
      </c>
    </row>
    <row r="174" spans="1:15" x14ac:dyDescent="0.3">
      <c r="A174" t="s">
        <v>481</v>
      </c>
      <c r="B174" t="s">
        <v>482</v>
      </c>
      <c r="C174" t="s">
        <v>185</v>
      </c>
      <c r="D174" t="s">
        <v>62</v>
      </c>
      <c r="E174" t="s">
        <v>22</v>
      </c>
      <c r="F174" t="s">
        <v>23</v>
      </c>
      <c r="G174">
        <v>36</v>
      </c>
      <c r="H174">
        <v>44.79</v>
      </c>
      <c r="I174">
        <v>1612.44</v>
      </c>
      <c r="J174">
        <v>68.599999999999994</v>
      </c>
      <c r="K174">
        <v>283.83999999999997</v>
      </c>
      <c r="L174" t="s">
        <v>48</v>
      </c>
      <c r="M174" t="s">
        <v>34</v>
      </c>
      <c r="N174" t="s">
        <v>98</v>
      </c>
      <c r="O174" s="5">
        <f t="shared" si="2"/>
        <v>0.1760313562055022</v>
      </c>
    </row>
    <row r="175" spans="1:15" x14ac:dyDescent="0.3">
      <c r="A175" t="s">
        <v>483</v>
      </c>
      <c r="B175" t="s">
        <v>484</v>
      </c>
      <c r="C175" t="s">
        <v>485</v>
      </c>
      <c r="D175" t="s">
        <v>45</v>
      </c>
      <c r="E175" t="s">
        <v>81</v>
      </c>
      <c r="F175" t="s">
        <v>68</v>
      </c>
      <c r="G175">
        <v>3</v>
      </c>
      <c r="H175">
        <v>18.86</v>
      </c>
      <c r="I175">
        <v>56.58</v>
      </c>
      <c r="J175">
        <v>2.61</v>
      </c>
      <c r="K175">
        <v>7.47</v>
      </c>
      <c r="L175" t="s">
        <v>33</v>
      </c>
      <c r="M175" t="s">
        <v>41</v>
      </c>
      <c r="N175" t="s">
        <v>49</v>
      </c>
      <c r="O175" s="5">
        <f t="shared" si="2"/>
        <v>0.1320254506892895</v>
      </c>
    </row>
    <row r="176" spans="1:15" x14ac:dyDescent="0.3">
      <c r="A176" t="s">
        <v>486</v>
      </c>
      <c r="B176" t="s">
        <v>311</v>
      </c>
      <c r="C176" t="s">
        <v>66</v>
      </c>
      <c r="D176" t="s">
        <v>51</v>
      </c>
      <c r="E176" t="s">
        <v>137</v>
      </c>
      <c r="F176" t="s">
        <v>68</v>
      </c>
      <c r="G176">
        <v>10</v>
      </c>
      <c r="H176">
        <v>45.86</v>
      </c>
      <c r="I176">
        <v>458.6</v>
      </c>
      <c r="J176">
        <v>14.4</v>
      </c>
      <c r="K176">
        <v>164.2</v>
      </c>
      <c r="L176" t="s">
        <v>48</v>
      </c>
      <c r="M176" t="s">
        <v>25</v>
      </c>
      <c r="N176" t="s">
        <v>76</v>
      </c>
      <c r="O176" s="5">
        <f t="shared" si="2"/>
        <v>0.35804622764936761</v>
      </c>
    </row>
    <row r="177" spans="1:15" x14ac:dyDescent="0.3">
      <c r="A177" t="s">
        <v>487</v>
      </c>
      <c r="B177" t="s">
        <v>488</v>
      </c>
      <c r="C177" t="s">
        <v>485</v>
      </c>
      <c r="D177" t="s">
        <v>37</v>
      </c>
      <c r="E177" t="s">
        <v>32</v>
      </c>
      <c r="F177" t="s">
        <v>23</v>
      </c>
      <c r="G177">
        <v>1</v>
      </c>
      <c r="H177">
        <v>24.64</v>
      </c>
      <c r="I177">
        <v>24.64</v>
      </c>
      <c r="J177">
        <v>0.65</v>
      </c>
      <c r="K177">
        <v>5.99</v>
      </c>
      <c r="L177" t="s">
        <v>48</v>
      </c>
      <c r="M177" t="s">
        <v>34</v>
      </c>
      <c r="N177" t="s">
        <v>35</v>
      </c>
      <c r="O177" s="5">
        <f t="shared" si="2"/>
        <v>0.24310064935064934</v>
      </c>
    </row>
    <row r="178" spans="1:15" x14ac:dyDescent="0.3">
      <c r="A178" t="s">
        <v>489</v>
      </c>
      <c r="B178" t="s">
        <v>347</v>
      </c>
      <c r="C178" t="s">
        <v>246</v>
      </c>
      <c r="D178" t="s">
        <v>37</v>
      </c>
      <c r="E178" t="s">
        <v>81</v>
      </c>
      <c r="F178" t="s">
        <v>68</v>
      </c>
      <c r="G178">
        <v>49</v>
      </c>
      <c r="H178">
        <v>22.8</v>
      </c>
      <c r="I178">
        <v>1117.2</v>
      </c>
      <c r="J178">
        <v>51.06</v>
      </c>
      <c r="K178">
        <v>306.64</v>
      </c>
      <c r="L178" t="s">
        <v>24</v>
      </c>
      <c r="M178" t="s">
        <v>34</v>
      </c>
      <c r="N178" t="s">
        <v>35</v>
      </c>
      <c r="O178" s="5">
        <f t="shared" si="2"/>
        <v>0.27447189402076616</v>
      </c>
    </row>
    <row r="179" spans="1:15" x14ac:dyDescent="0.3">
      <c r="A179" t="s">
        <v>490</v>
      </c>
      <c r="B179" t="s">
        <v>491</v>
      </c>
      <c r="C179" t="s">
        <v>307</v>
      </c>
      <c r="D179" t="s">
        <v>62</v>
      </c>
      <c r="E179" t="s">
        <v>22</v>
      </c>
      <c r="F179" t="s">
        <v>23</v>
      </c>
      <c r="G179">
        <v>32</v>
      </c>
      <c r="H179">
        <v>44.5</v>
      </c>
      <c r="I179">
        <v>1424</v>
      </c>
      <c r="J179">
        <v>43.92</v>
      </c>
      <c r="K179">
        <v>260.08</v>
      </c>
      <c r="L179" t="s">
        <v>48</v>
      </c>
      <c r="M179" t="s">
        <v>34</v>
      </c>
      <c r="N179" t="s">
        <v>98</v>
      </c>
      <c r="O179" s="5">
        <f t="shared" si="2"/>
        <v>0.18264044943820223</v>
      </c>
    </row>
    <row r="180" spans="1:15" x14ac:dyDescent="0.3">
      <c r="A180" t="s">
        <v>492</v>
      </c>
      <c r="B180" t="s">
        <v>493</v>
      </c>
      <c r="C180" t="s">
        <v>331</v>
      </c>
      <c r="D180" t="s">
        <v>45</v>
      </c>
      <c r="E180" t="s">
        <v>22</v>
      </c>
      <c r="F180" t="s">
        <v>23</v>
      </c>
      <c r="G180">
        <v>43</v>
      </c>
      <c r="H180">
        <v>55.74</v>
      </c>
      <c r="I180">
        <v>2396.8200000000002</v>
      </c>
      <c r="J180">
        <v>63.85</v>
      </c>
      <c r="K180">
        <v>827.97</v>
      </c>
      <c r="L180" t="s">
        <v>33</v>
      </c>
      <c r="M180" t="s">
        <v>41</v>
      </c>
      <c r="N180" t="s">
        <v>49</v>
      </c>
      <c r="O180" s="5">
        <f t="shared" si="2"/>
        <v>0.34544521490975544</v>
      </c>
    </row>
    <row r="181" spans="1:15" x14ac:dyDescent="0.3">
      <c r="A181" t="s">
        <v>494</v>
      </c>
      <c r="B181" t="s">
        <v>495</v>
      </c>
      <c r="C181" t="s">
        <v>170</v>
      </c>
      <c r="D181" t="s">
        <v>116</v>
      </c>
      <c r="E181" t="s">
        <v>81</v>
      </c>
      <c r="F181" t="s">
        <v>68</v>
      </c>
      <c r="G181">
        <v>19</v>
      </c>
      <c r="H181">
        <v>25.78</v>
      </c>
      <c r="I181">
        <v>489.82</v>
      </c>
      <c r="J181">
        <v>28.4</v>
      </c>
      <c r="K181">
        <v>166.92</v>
      </c>
      <c r="L181" t="s">
        <v>48</v>
      </c>
      <c r="M181" t="s">
        <v>34</v>
      </c>
      <c r="N181" t="s">
        <v>76</v>
      </c>
      <c r="O181" s="5">
        <f t="shared" si="2"/>
        <v>0.3407782450696174</v>
      </c>
    </row>
    <row r="182" spans="1:15" x14ac:dyDescent="0.3">
      <c r="A182" t="s">
        <v>496</v>
      </c>
      <c r="B182" t="s">
        <v>497</v>
      </c>
      <c r="C182" t="s">
        <v>391</v>
      </c>
      <c r="D182" t="s">
        <v>62</v>
      </c>
      <c r="E182" t="s">
        <v>32</v>
      </c>
      <c r="F182" t="s">
        <v>23</v>
      </c>
      <c r="G182">
        <v>43</v>
      </c>
      <c r="H182">
        <v>30.43</v>
      </c>
      <c r="I182">
        <v>1308.49</v>
      </c>
      <c r="J182">
        <v>35.340000000000003</v>
      </c>
      <c r="K182">
        <v>499.15</v>
      </c>
      <c r="L182" t="s">
        <v>33</v>
      </c>
      <c r="M182" t="s">
        <v>34</v>
      </c>
      <c r="N182" t="s">
        <v>98</v>
      </c>
      <c r="O182" s="5">
        <f t="shared" si="2"/>
        <v>0.38147024432743082</v>
      </c>
    </row>
    <row r="183" spans="1:15" x14ac:dyDescent="0.3">
      <c r="A183" t="s">
        <v>498</v>
      </c>
      <c r="B183" t="s">
        <v>454</v>
      </c>
      <c r="C183" t="s">
        <v>499</v>
      </c>
      <c r="D183" t="s">
        <v>171</v>
      </c>
      <c r="E183" t="s">
        <v>81</v>
      </c>
      <c r="F183" t="s">
        <v>68</v>
      </c>
      <c r="G183">
        <v>17</v>
      </c>
      <c r="H183">
        <v>18.71</v>
      </c>
      <c r="I183">
        <v>318.07</v>
      </c>
      <c r="J183">
        <v>22.03</v>
      </c>
      <c r="K183">
        <v>32.54</v>
      </c>
      <c r="L183" t="s">
        <v>48</v>
      </c>
      <c r="M183" t="s">
        <v>25</v>
      </c>
      <c r="N183" t="s">
        <v>35</v>
      </c>
      <c r="O183" s="5">
        <f t="shared" si="2"/>
        <v>0.10230452416134814</v>
      </c>
    </row>
    <row r="184" spans="1:15" x14ac:dyDescent="0.3">
      <c r="A184" t="s">
        <v>500</v>
      </c>
      <c r="B184" t="s">
        <v>268</v>
      </c>
      <c r="C184" t="s">
        <v>54</v>
      </c>
      <c r="D184" t="s">
        <v>51</v>
      </c>
      <c r="E184" t="s">
        <v>81</v>
      </c>
      <c r="F184" t="s">
        <v>68</v>
      </c>
      <c r="G184">
        <v>44</v>
      </c>
      <c r="H184">
        <v>23.87</v>
      </c>
      <c r="I184">
        <v>1050.28</v>
      </c>
      <c r="J184">
        <v>33.51</v>
      </c>
      <c r="K184">
        <v>334.77</v>
      </c>
      <c r="L184" t="s">
        <v>24</v>
      </c>
      <c r="M184" t="s">
        <v>34</v>
      </c>
      <c r="N184" t="s">
        <v>76</v>
      </c>
      <c r="O184" s="5">
        <f t="shared" si="2"/>
        <v>0.31874357314240009</v>
      </c>
    </row>
    <row r="185" spans="1:15" x14ac:dyDescent="0.3">
      <c r="A185" t="s">
        <v>501</v>
      </c>
      <c r="B185" t="s">
        <v>502</v>
      </c>
      <c r="C185" t="s">
        <v>194</v>
      </c>
      <c r="D185" t="s">
        <v>206</v>
      </c>
      <c r="E185" t="s">
        <v>46</v>
      </c>
      <c r="F185" t="s">
        <v>47</v>
      </c>
      <c r="G185">
        <v>12</v>
      </c>
      <c r="H185">
        <v>42.91</v>
      </c>
      <c r="I185">
        <v>514.91999999999996</v>
      </c>
      <c r="J185">
        <v>15.18</v>
      </c>
      <c r="K185">
        <v>115.74</v>
      </c>
      <c r="L185" t="s">
        <v>48</v>
      </c>
      <c r="M185" t="s">
        <v>41</v>
      </c>
      <c r="N185" t="s">
        <v>207</v>
      </c>
      <c r="O185" s="5">
        <f t="shared" si="2"/>
        <v>0.22477278023770683</v>
      </c>
    </row>
    <row r="186" spans="1:15" x14ac:dyDescent="0.3">
      <c r="A186" t="s">
        <v>503</v>
      </c>
      <c r="B186" t="s">
        <v>504</v>
      </c>
      <c r="C186" t="s">
        <v>505</v>
      </c>
      <c r="D186" t="s">
        <v>70</v>
      </c>
      <c r="E186" t="s">
        <v>56</v>
      </c>
      <c r="F186" t="s">
        <v>57</v>
      </c>
      <c r="G186">
        <v>21</v>
      </c>
      <c r="H186">
        <v>50.49</v>
      </c>
      <c r="I186">
        <v>1060.29</v>
      </c>
      <c r="J186">
        <v>32.340000000000003</v>
      </c>
      <c r="K186">
        <v>187.95</v>
      </c>
      <c r="L186" t="s">
        <v>48</v>
      </c>
      <c r="M186" t="s">
        <v>25</v>
      </c>
      <c r="N186" t="s">
        <v>76</v>
      </c>
      <c r="O186" s="5">
        <f t="shared" si="2"/>
        <v>0.17726282432164783</v>
      </c>
    </row>
    <row r="187" spans="1:15" x14ac:dyDescent="0.3">
      <c r="A187" t="s">
        <v>506</v>
      </c>
      <c r="B187" t="s">
        <v>454</v>
      </c>
      <c r="C187" t="s">
        <v>307</v>
      </c>
      <c r="D187" t="s">
        <v>37</v>
      </c>
      <c r="E187" t="s">
        <v>22</v>
      </c>
      <c r="F187" t="s">
        <v>23</v>
      </c>
      <c r="G187">
        <v>41</v>
      </c>
      <c r="H187">
        <v>43.18</v>
      </c>
      <c r="I187">
        <v>1770.38</v>
      </c>
      <c r="J187">
        <v>128.4</v>
      </c>
      <c r="K187">
        <v>206.98</v>
      </c>
      <c r="L187" t="s">
        <v>33</v>
      </c>
      <c r="M187" t="s">
        <v>41</v>
      </c>
      <c r="N187" t="s">
        <v>35</v>
      </c>
      <c r="O187" s="5">
        <f t="shared" si="2"/>
        <v>0.11691275319422947</v>
      </c>
    </row>
    <row r="188" spans="1:15" x14ac:dyDescent="0.3">
      <c r="A188" t="s">
        <v>507</v>
      </c>
      <c r="B188" t="s">
        <v>508</v>
      </c>
      <c r="C188" t="s">
        <v>162</v>
      </c>
      <c r="D188" t="s">
        <v>206</v>
      </c>
      <c r="E188" t="s">
        <v>86</v>
      </c>
      <c r="F188" t="s">
        <v>47</v>
      </c>
      <c r="G188">
        <v>37</v>
      </c>
      <c r="H188">
        <v>19.8</v>
      </c>
      <c r="I188">
        <v>732.6</v>
      </c>
      <c r="J188">
        <v>54.68</v>
      </c>
      <c r="K188">
        <v>206.17</v>
      </c>
      <c r="L188" t="s">
        <v>24</v>
      </c>
      <c r="M188" t="s">
        <v>34</v>
      </c>
      <c r="N188" t="s">
        <v>207</v>
      </c>
      <c r="O188" s="5">
        <f t="shared" si="2"/>
        <v>0.28142233142233142</v>
      </c>
    </row>
    <row r="189" spans="1:15" x14ac:dyDescent="0.3">
      <c r="A189" t="s">
        <v>509</v>
      </c>
      <c r="B189" t="s">
        <v>510</v>
      </c>
      <c r="C189" t="s">
        <v>511</v>
      </c>
      <c r="D189" t="s">
        <v>62</v>
      </c>
      <c r="E189" t="s">
        <v>86</v>
      </c>
      <c r="F189" t="s">
        <v>47</v>
      </c>
      <c r="G189">
        <v>4</v>
      </c>
      <c r="H189">
        <v>18.059999999999999</v>
      </c>
      <c r="I189">
        <v>72.239999999999995</v>
      </c>
      <c r="J189">
        <v>4.66</v>
      </c>
      <c r="K189">
        <v>16.579999999999998</v>
      </c>
      <c r="L189" t="s">
        <v>24</v>
      </c>
      <c r="M189" t="s">
        <v>25</v>
      </c>
      <c r="N189" t="s">
        <v>98</v>
      </c>
      <c r="O189" s="5">
        <f t="shared" si="2"/>
        <v>0.22951273532668881</v>
      </c>
    </row>
    <row r="190" spans="1:15" x14ac:dyDescent="0.3">
      <c r="A190" t="s">
        <v>512</v>
      </c>
      <c r="B190" t="s">
        <v>412</v>
      </c>
      <c r="C190" t="s">
        <v>391</v>
      </c>
      <c r="D190" t="s">
        <v>21</v>
      </c>
      <c r="E190" t="s">
        <v>22</v>
      </c>
      <c r="F190" t="s">
        <v>23</v>
      </c>
      <c r="G190">
        <v>40</v>
      </c>
      <c r="H190">
        <v>55.59</v>
      </c>
      <c r="I190">
        <v>2223.6</v>
      </c>
      <c r="J190">
        <v>74.569999999999993</v>
      </c>
      <c r="K190">
        <v>749.03</v>
      </c>
      <c r="L190" t="s">
        <v>24</v>
      </c>
      <c r="M190" t="s">
        <v>25</v>
      </c>
      <c r="N190" t="s">
        <v>98</v>
      </c>
      <c r="O190" s="5">
        <f t="shared" si="2"/>
        <v>0.3368546501169275</v>
      </c>
    </row>
    <row r="191" spans="1:15" x14ac:dyDescent="0.3">
      <c r="A191" t="s">
        <v>513</v>
      </c>
      <c r="B191" t="s">
        <v>327</v>
      </c>
      <c r="C191" t="s">
        <v>20</v>
      </c>
      <c r="D191" t="s">
        <v>127</v>
      </c>
      <c r="E191" t="s">
        <v>74</v>
      </c>
      <c r="F191" t="s">
        <v>75</v>
      </c>
      <c r="G191">
        <v>5</v>
      </c>
      <c r="H191">
        <v>31.58</v>
      </c>
      <c r="I191">
        <v>157.9</v>
      </c>
      <c r="J191">
        <v>3.73</v>
      </c>
      <c r="K191">
        <v>29.17</v>
      </c>
      <c r="L191" t="s">
        <v>24</v>
      </c>
      <c r="M191" t="s">
        <v>34</v>
      </c>
      <c r="N191" t="s">
        <v>76</v>
      </c>
      <c r="O191" s="5">
        <f t="shared" si="2"/>
        <v>0.18473717542748574</v>
      </c>
    </row>
    <row r="192" spans="1:15" x14ac:dyDescent="0.3">
      <c r="A192" t="s">
        <v>514</v>
      </c>
      <c r="B192" t="s">
        <v>515</v>
      </c>
      <c r="C192" t="s">
        <v>188</v>
      </c>
      <c r="D192" t="s">
        <v>55</v>
      </c>
      <c r="E192" t="s">
        <v>32</v>
      </c>
      <c r="F192" t="s">
        <v>23</v>
      </c>
      <c r="G192">
        <v>50</v>
      </c>
      <c r="H192">
        <v>26.67</v>
      </c>
      <c r="I192">
        <v>1333.5</v>
      </c>
      <c r="J192">
        <v>80.150000000000006</v>
      </c>
      <c r="K192">
        <v>353.35</v>
      </c>
      <c r="L192" t="s">
        <v>48</v>
      </c>
      <c r="M192" t="s">
        <v>25</v>
      </c>
      <c r="N192" t="s">
        <v>98</v>
      </c>
      <c r="O192" s="5">
        <f t="shared" si="2"/>
        <v>0.26497937757780277</v>
      </c>
    </row>
    <row r="193" spans="1:15" x14ac:dyDescent="0.3">
      <c r="A193" t="s">
        <v>516</v>
      </c>
      <c r="B193" t="s">
        <v>517</v>
      </c>
      <c r="C193" t="s">
        <v>352</v>
      </c>
      <c r="D193" t="s">
        <v>116</v>
      </c>
      <c r="E193" t="s">
        <v>81</v>
      </c>
      <c r="F193" t="s">
        <v>68</v>
      </c>
      <c r="G193">
        <v>17</v>
      </c>
      <c r="H193">
        <v>20.68</v>
      </c>
      <c r="I193">
        <v>351.56</v>
      </c>
      <c r="J193">
        <v>18.47</v>
      </c>
      <c r="K193">
        <v>69.59</v>
      </c>
      <c r="L193" t="s">
        <v>48</v>
      </c>
      <c r="M193" t="s">
        <v>34</v>
      </c>
      <c r="N193" t="s">
        <v>76</v>
      </c>
      <c r="O193" s="5">
        <f t="shared" si="2"/>
        <v>0.19794629650699738</v>
      </c>
    </row>
    <row r="194" spans="1:15" x14ac:dyDescent="0.3">
      <c r="A194" t="s">
        <v>518</v>
      </c>
      <c r="B194" t="s">
        <v>259</v>
      </c>
      <c r="C194" t="s">
        <v>440</v>
      </c>
      <c r="D194" t="s">
        <v>141</v>
      </c>
      <c r="E194" t="s">
        <v>22</v>
      </c>
      <c r="F194" t="s">
        <v>23</v>
      </c>
      <c r="G194">
        <v>29</v>
      </c>
      <c r="H194">
        <v>55.19</v>
      </c>
      <c r="I194">
        <v>1600.51</v>
      </c>
      <c r="J194">
        <v>103.06</v>
      </c>
      <c r="K194">
        <v>482.45</v>
      </c>
      <c r="L194" t="s">
        <v>24</v>
      </c>
      <c r="M194" t="s">
        <v>41</v>
      </c>
      <c r="N194" t="s">
        <v>142</v>
      </c>
      <c r="O194" s="5">
        <f t="shared" si="2"/>
        <v>0.30143516754034649</v>
      </c>
    </row>
    <row r="195" spans="1:15" x14ac:dyDescent="0.3">
      <c r="A195" t="s">
        <v>519</v>
      </c>
      <c r="B195" t="s">
        <v>520</v>
      </c>
      <c r="C195" t="s">
        <v>521</v>
      </c>
      <c r="D195" t="s">
        <v>116</v>
      </c>
      <c r="E195" t="s">
        <v>22</v>
      </c>
      <c r="F195" t="s">
        <v>23</v>
      </c>
      <c r="G195">
        <v>34</v>
      </c>
      <c r="H195">
        <v>61.62</v>
      </c>
      <c r="I195">
        <v>2095.08</v>
      </c>
      <c r="J195">
        <v>80.13</v>
      </c>
      <c r="K195">
        <v>824.95</v>
      </c>
      <c r="L195" t="s">
        <v>33</v>
      </c>
      <c r="M195" t="s">
        <v>25</v>
      </c>
      <c r="N195" t="s">
        <v>76</v>
      </c>
      <c r="O195" s="5">
        <f t="shared" si="2"/>
        <v>0.39375584703209426</v>
      </c>
    </row>
    <row r="196" spans="1:15" x14ac:dyDescent="0.3">
      <c r="A196" t="s">
        <v>522</v>
      </c>
      <c r="B196" t="s">
        <v>306</v>
      </c>
      <c r="C196" t="s">
        <v>277</v>
      </c>
      <c r="D196" t="s">
        <v>62</v>
      </c>
      <c r="E196" t="s">
        <v>67</v>
      </c>
      <c r="F196" t="s">
        <v>68</v>
      </c>
      <c r="G196">
        <v>10</v>
      </c>
      <c r="H196">
        <v>40.03</v>
      </c>
      <c r="I196">
        <v>400.3</v>
      </c>
      <c r="J196">
        <v>25.8</v>
      </c>
      <c r="K196">
        <v>149.5</v>
      </c>
      <c r="L196" t="s">
        <v>48</v>
      </c>
      <c r="M196" t="s">
        <v>25</v>
      </c>
      <c r="N196" t="s">
        <v>98</v>
      </c>
      <c r="O196" s="5">
        <f t="shared" si="2"/>
        <v>0.37346989757681737</v>
      </c>
    </row>
    <row r="197" spans="1:15" x14ac:dyDescent="0.3">
      <c r="A197" t="s">
        <v>523</v>
      </c>
      <c r="B197" t="s">
        <v>524</v>
      </c>
      <c r="C197" t="s">
        <v>134</v>
      </c>
      <c r="D197" t="s">
        <v>123</v>
      </c>
      <c r="E197" t="s">
        <v>63</v>
      </c>
      <c r="F197" t="s">
        <v>47</v>
      </c>
      <c r="G197">
        <v>23</v>
      </c>
      <c r="H197">
        <v>31.3</v>
      </c>
      <c r="I197">
        <v>719.9</v>
      </c>
      <c r="J197">
        <v>47.88</v>
      </c>
      <c r="K197">
        <v>212.02</v>
      </c>
      <c r="L197" t="s">
        <v>33</v>
      </c>
      <c r="M197" t="s">
        <v>34</v>
      </c>
      <c r="N197" t="s">
        <v>76</v>
      </c>
      <c r="O197" s="5">
        <f t="shared" si="2"/>
        <v>0.29451312682316994</v>
      </c>
    </row>
    <row r="198" spans="1:15" x14ac:dyDescent="0.3">
      <c r="A198" t="s">
        <v>525</v>
      </c>
      <c r="B198" t="s">
        <v>105</v>
      </c>
      <c r="C198" t="s">
        <v>148</v>
      </c>
      <c r="D198" t="s">
        <v>62</v>
      </c>
      <c r="E198" t="s">
        <v>22</v>
      </c>
      <c r="F198" t="s">
        <v>23</v>
      </c>
      <c r="G198">
        <v>37</v>
      </c>
      <c r="H198">
        <v>50.39</v>
      </c>
      <c r="I198">
        <v>1864.43</v>
      </c>
      <c r="J198">
        <v>60.06</v>
      </c>
      <c r="K198">
        <v>509.37</v>
      </c>
      <c r="L198" t="s">
        <v>33</v>
      </c>
      <c r="M198" t="s">
        <v>34</v>
      </c>
      <c r="N198" t="s">
        <v>98</v>
      </c>
      <c r="O198" s="5">
        <f t="shared" si="2"/>
        <v>0.27320414282113031</v>
      </c>
    </row>
    <row r="199" spans="1:15" x14ac:dyDescent="0.3">
      <c r="A199" t="s">
        <v>526</v>
      </c>
      <c r="B199" t="s">
        <v>527</v>
      </c>
      <c r="C199" t="s">
        <v>442</v>
      </c>
      <c r="D199" t="s">
        <v>21</v>
      </c>
      <c r="E199" t="s">
        <v>86</v>
      </c>
      <c r="F199" t="s">
        <v>47</v>
      </c>
      <c r="G199">
        <v>38</v>
      </c>
      <c r="H199">
        <v>16.97</v>
      </c>
      <c r="I199">
        <v>644.86</v>
      </c>
      <c r="J199">
        <v>40</v>
      </c>
      <c r="K199">
        <v>120.36</v>
      </c>
      <c r="L199" t="s">
        <v>48</v>
      </c>
      <c r="M199" t="s">
        <v>25</v>
      </c>
      <c r="N199" t="s">
        <v>98</v>
      </c>
      <c r="O199" s="5">
        <f t="shared" ref="O199:O262" si="3">K199/I199</f>
        <v>0.18664516329125702</v>
      </c>
    </row>
    <row r="200" spans="1:15" x14ac:dyDescent="0.3">
      <c r="A200" t="s">
        <v>528</v>
      </c>
      <c r="B200" t="s">
        <v>408</v>
      </c>
      <c r="C200" t="s">
        <v>328</v>
      </c>
      <c r="D200" t="s">
        <v>141</v>
      </c>
      <c r="E200" t="s">
        <v>63</v>
      </c>
      <c r="F200" t="s">
        <v>47</v>
      </c>
      <c r="G200">
        <v>2</v>
      </c>
      <c r="H200">
        <v>35.92</v>
      </c>
      <c r="I200">
        <v>71.84</v>
      </c>
      <c r="J200">
        <v>2.34</v>
      </c>
      <c r="K200">
        <v>29.5</v>
      </c>
      <c r="L200" t="s">
        <v>48</v>
      </c>
      <c r="M200" t="s">
        <v>34</v>
      </c>
      <c r="N200" t="s">
        <v>142</v>
      </c>
      <c r="O200" s="5">
        <f t="shared" si="3"/>
        <v>0.41063474387527837</v>
      </c>
    </row>
    <row r="201" spans="1:15" x14ac:dyDescent="0.3">
      <c r="A201" t="s">
        <v>529</v>
      </c>
      <c r="B201" t="s">
        <v>530</v>
      </c>
      <c r="C201" t="s">
        <v>85</v>
      </c>
      <c r="D201" t="s">
        <v>45</v>
      </c>
      <c r="E201" t="s">
        <v>63</v>
      </c>
      <c r="F201" t="s">
        <v>47</v>
      </c>
      <c r="G201">
        <v>48</v>
      </c>
      <c r="H201">
        <v>31.87</v>
      </c>
      <c r="I201">
        <v>1529.76</v>
      </c>
      <c r="J201">
        <v>89.85</v>
      </c>
      <c r="K201">
        <v>479.91</v>
      </c>
      <c r="L201" t="s">
        <v>48</v>
      </c>
      <c r="M201" t="s">
        <v>25</v>
      </c>
      <c r="N201" t="s">
        <v>49</v>
      </c>
      <c r="O201" s="5">
        <f t="shared" si="3"/>
        <v>0.31371587700031378</v>
      </c>
    </row>
    <row r="202" spans="1:15" x14ac:dyDescent="0.3">
      <c r="A202" t="s">
        <v>531</v>
      </c>
      <c r="B202" t="s">
        <v>532</v>
      </c>
      <c r="C202" t="s">
        <v>352</v>
      </c>
      <c r="D202" t="s">
        <v>206</v>
      </c>
      <c r="E202" t="s">
        <v>56</v>
      </c>
      <c r="F202" t="s">
        <v>57</v>
      </c>
      <c r="G202">
        <v>46</v>
      </c>
      <c r="H202">
        <v>70</v>
      </c>
      <c r="I202">
        <v>3220</v>
      </c>
      <c r="J202">
        <v>160.11000000000001</v>
      </c>
      <c r="K202">
        <v>1219.8900000000001</v>
      </c>
      <c r="L202" t="s">
        <v>33</v>
      </c>
      <c r="M202" t="s">
        <v>34</v>
      </c>
      <c r="N202" t="s">
        <v>207</v>
      </c>
      <c r="O202" s="5">
        <f t="shared" si="3"/>
        <v>0.37884782608695655</v>
      </c>
    </row>
    <row r="203" spans="1:15" x14ac:dyDescent="0.3">
      <c r="A203" t="s">
        <v>533</v>
      </c>
      <c r="B203" t="s">
        <v>534</v>
      </c>
      <c r="C203" t="s">
        <v>480</v>
      </c>
      <c r="D203" t="s">
        <v>116</v>
      </c>
      <c r="E203" t="s">
        <v>22</v>
      </c>
      <c r="F203" t="s">
        <v>23</v>
      </c>
      <c r="G203">
        <v>45</v>
      </c>
      <c r="H203">
        <v>57.7</v>
      </c>
      <c r="I203">
        <v>2596.5</v>
      </c>
      <c r="J203">
        <v>102.52</v>
      </c>
      <c r="K203">
        <v>918.98</v>
      </c>
      <c r="L203" t="s">
        <v>33</v>
      </c>
      <c r="M203" t="s">
        <v>25</v>
      </c>
      <c r="N203" t="s">
        <v>76</v>
      </c>
      <c r="O203" s="5">
        <f t="shared" si="3"/>
        <v>0.35393029077604471</v>
      </c>
    </row>
    <row r="204" spans="1:15" x14ac:dyDescent="0.3">
      <c r="A204" t="s">
        <v>535</v>
      </c>
      <c r="B204" t="s">
        <v>536</v>
      </c>
      <c r="C204" t="s">
        <v>191</v>
      </c>
      <c r="D204" t="s">
        <v>127</v>
      </c>
      <c r="E204" t="s">
        <v>86</v>
      </c>
      <c r="F204" t="s">
        <v>47</v>
      </c>
      <c r="G204">
        <v>23</v>
      </c>
      <c r="H204">
        <v>20.23</v>
      </c>
      <c r="I204">
        <v>465.29</v>
      </c>
      <c r="J204">
        <v>17.29</v>
      </c>
      <c r="K204">
        <v>154.75</v>
      </c>
      <c r="L204" t="s">
        <v>48</v>
      </c>
      <c r="M204" t="s">
        <v>25</v>
      </c>
      <c r="N204" t="s">
        <v>76</v>
      </c>
      <c r="O204" s="5">
        <f t="shared" si="3"/>
        <v>0.33258827827806314</v>
      </c>
    </row>
    <row r="205" spans="1:15" x14ac:dyDescent="0.3">
      <c r="A205" t="s">
        <v>537</v>
      </c>
      <c r="B205" t="s">
        <v>224</v>
      </c>
      <c r="C205" t="s">
        <v>194</v>
      </c>
      <c r="D205" t="s">
        <v>37</v>
      </c>
      <c r="E205" t="s">
        <v>32</v>
      </c>
      <c r="F205" t="s">
        <v>23</v>
      </c>
      <c r="G205">
        <v>10</v>
      </c>
      <c r="H205">
        <v>22.96</v>
      </c>
      <c r="I205">
        <v>229.6</v>
      </c>
      <c r="J205">
        <v>18.260000000000002</v>
      </c>
      <c r="K205">
        <v>31.34</v>
      </c>
      <c r="L205" t="s">
        <v>24</v>
      </c>
      <c r="M205" t="s">
        <v>41</v>
      </c>
      <c r="N205" t="s">
        <v>35</v>
      </c>
      <c r="O205" s="5">
        <f t="shared" si="3"/>
        <v>0.13649825783972125</v>
      </c>
    </row>
    <row r="206" spans="1:15" x14ac:dyDescent="0.3">
      <c r="A206" t="s">
        <v>538</v>
      </c>
      <c r="B206" t="s">
        <v>493</v>
      </c>
      <c r="C206" t="s">
        <v>539</v>
      </c>
      <c r="D206" t="s">
        <v>45</v>
      </c>
      <c r="E206" t="s">
        <v>22</v>
      </c>
      <c r="F206" t="s">
        <v>23</v>
      </c>
      <c r="G206">
        <v>40</v>
      </c>
      <c r="H206">
        <v>54.84</v>
      </c>
      <c r="I206">
        <v>2193.6</v>
      </c>
      <c r="J206">
        <v>89.26</v>
      </c>
      <c r="K206">
        <v>704.34</v>
      </c>
      <c r="L206" t="s">
        <v>33</v>
      </c>
      <c r="M206" t="s">
        <v>25</v>
      </c>
      <c r="N206" t="s">
        <v>49</v>
      </c>
      <c r="O206" s="5">
        <f t="shared" si="3"/>
        <v>0.32108862144420136</v>
      </c>
    </row>
    <row r="207" spans="1:15" x14ac:dyDescent="0.3">
      <c r="A207" t="s">
        <v>540</v>
      </c>
      <c r="B207" t="s">
        <v>541</v>
      </c>
      <c r="C207" t="s">
        <v>266</v>
      </c>
      <c r="D207" t="s">
        <v>116</v>
      </c>
      <c r="E207" t="s">
        <v>74</v>
      </c>
      <c r="F207" t="s">
        <v>75</v>
      </c>
      <c r="G207">
        <v>7</v>
      </c>
      <c r="H207">
        <v>36.43</v>
      </c>
      <c r="I207">
        <v>255.01</v>
      </c>
      <c r="J207">
        <v>6.3</v>
      </c>
      <c r="K207">
        <v>73.709999999999994</v>
      </c>
      <c r="L207" t="s">
        <v>24</v>
      </c>
      <c r="M207" t="s">
        <v>34</v>
      </c>
      <c r="N207" t="s">
        <v>76</v>
      </c>
      <c r="O207" s="5">
        <f t="shared" si="3"/>
        <v>0.28904748833379079</v>
      </c>
    </row>
    <row r="208" spans="1:15" x14ac:dyDescent="0.3">
      <c r="A208" t="s">
        <v>542</v>
      </c>
      <c r="B208" t="s">
        <v>543</v>
      </c>
      <c r="C208" t="s">
        <v>328</v>
      </c>
      <c r="D208" t="s">
        <v>62</v>
      </c>
      <c r="E208" t="s">
        <v>86</v>
      </c>
      <c r="F208" t="s">
        <v>47</v>
      </c>
      <c r="G208">
        <v>39</v>
      </c>
      <c r="H208">
        <v>19.48</v>
      </c>
      <c r="I208">
        <v>759.72</v>
      </c>
      <c r="J208">
        <v>40.090000000000003</v>
      </c>
      <c r="K208">
        <v>222.38</v>
      </c>
      <c r="L208" t="s">
        <v>48</v>
      </c>
      <c r="M208" t="s">
        <v>34</v>
      </c>
      <c r="N208" t="s">
        <v>98</v>
      </c>
      <c r="O208" s="5">
        <f t="shared" si="3"/>
        <v>0.29271310482809454</v>
      </c>
    </row>
    <row r="209" spans="1:15" x14ac:dyDescent="0.3">
      <c r="A209" t="s">
        <v>544</v>
      </c>
      <c r="B209" t="s">
        <v>444</v>
      </c>
      <c r="C209" t="s">
        <v>428</v>
      </c>
      <c r="D209" t="s">
        <v>141</v>
      </c>
      <c r="E209" t="s">
        <v>67</v>
      </c>
      <c r="F209" t="s">
        <v>68</v>
      </c>
      <c r="G209">
        <v>35</v>
      </c>
      <c r="H209">
        <v>38.83</v>
      </c>
      <c r="I209">
        <v>1359.05</v>
      </c>
      <c r="J209">
        <v>93.92</v>
      </c>
      <c r="K209">
        <v>477.63</v>
      </c>
      <c r="L209" t="s">
        <v>48</v>
      </c>
      <c r="M209" t="s">
        <v>34</v>
      </c>
      <c r="N209" t="s">
        <v>142</v>
      </c>
      <c r="O209" s="5">
        <f t="shared" si="3"/>
        <v>0.35144402339869762</v>
      </c>
    </row>
    <row r="210" spans="1:15" x14ac:dyDescent="0.3">
      <c r="A210" t="s">
        <v>545</v>
      </c>
      <c r="B210" t="s">
        <v>404</v>
      </c>
      <c r="C210" t="s">
        <v>232</v>
      </c>
      <c r="D210" t="s">
        <v>51</v>
      </c>
      <c r="E210" t="s">
        <v>63</v>
      </c>
      <c r="F210" t="s">
        <v>47</v>
      </c>
      <c r="G210">
        <v>39</v>
      </c>
      <c r="H210">
        <v>32.76</v>
      </c>
      <c r="I210">
        <v>1277.6400000000001</v>
      </c>
      <c r="J210">
        <v>35.81</v>
      </c>
      <c r="K210">
        <v>461.83</v>
      </c>
      <c r="L210" t="s">
        <v>33</v>
      </c>
      <c r="M210" t="s">
        <v>41</v>
      </c>
      <c r="N210" t="s">
        <v>76</v>
      </c>
      <c r="O210" s="5">
        <f t="shared" si="3"/>
        <v>0.36147114993268836</v>
      </c>
    </row>
    <row r="211" spans="1:15" x14ac:dyDescent="0.3">
      <c r="A211" t="s">
        <v>546</v>
      </c>
      <c r="B211" t="s">
        <v>547</v>
      </c>
      <c r="C211" t="s">
        <v>301</v>
      </c>
      <c r="D211" t="s">
        <v>21</v>
      </c>
      <c r="E211" t="s">
        <v>46</v>
      </c>
      <c r="F211" t="s">
        <v>47</v>
      </c>
      <c r="G211">
        <v>8</v>
      </c>
      <c r="H211">
        <v>39.869999999999997</v>
      </c>
      <c r="I211">
        <v>318.95999999999998</v>
      </c>
      <c r="J211">
        <v>15.95</v>
      </c>
      <c r="K211">
        <v>47.01</v>
      </c>
      <c r="L211" t="s">
        <v>48</v>
      </c>
      <c r="M211" t="s">
        <v>41</v>
      </c>
      <c r="N211" t="s">
        <v>98</v>
      </c>
      <c r="O211" s="5">
        <f t="shared" si="3"/>
        <v>0.14738525206922498</v>
      </c>
    </row>
    <row r="212" spans="1:15" x14ac:dyDescent="0.3">
      <c r="A212" t="s">
        <v>548</v>
      </c>
      <c r="B212" t="s">
        <v>153</v>
      </c>
      <c r="C212" t="s">
        <v>417</v>
      </c>
      <c r="D212" t="s">
        <v>123</v>
      </c>
      <c r="E212" t="s">
        <v>56</v>
      </c>
      <c r="F212" t="s">
        <v>57</v>
      </c>
      <c r="G212">
        <v>10</v>
      </c>
      <c r="H212">
        <v>63.1</v>
      </c>
      <c r="I212">
        <v>631</v>
      </c>
      <c r="J212">
        <v>26.93</v>
      </c>
      <c r="K212">
        <v>204.07</v>
      </c>
      <c r="L212" t="s">
        <v>33</v>
      </c>
      <c r="M212" t="s">
        <v>34</v>
      </c>
      <c r="N212" t="s">
        <v>76</v>
      </c>
      <c r="O212" s="5">
        <f t="shared" si="3"/>
        <v>0.32340729001584784</v>
      </c>
    </row>
    <row r="213" spans="1:15" x14ac:dyDescent="0.3">
      <c r="A213" t="s">
        <v>549</v>
      </c>
      <c r="B213" t="s">
        <v>550</v>
      </c>
      <c r="C213" t="s">
        <v>162</v>
      </c>
      <c r="D213" t="s">
        <v>241</v>
      </c>
      <c r="E213" t="s">
        <v>46</v>
      </c>
      <c r="F213" t="s">
        <v>47</v>
      </c>
      <c r="G213">
        <v>3</v>
      </c>
      <c r="H213">
        <v>55.1</v>
      </c>
      <c r="I213">
        <v>165.3</v>
      </c>
      <c r="J213">
        <v>9.17</v>
      </c>
      <c r="K213">
        <v>60.13</v>
      </c>
      <c r="L213" t="s">
        <v>24</v>
      </c>
      <c r="M213" t="s">
        <v>25</v>
      </c>
      <c r="N213" t="s">
        <v>35</v>
      </c>
      <c r="O213" s="5">
        <f t="shared" si="3"/>
        <v>0.36376285541439807</v>
      </c>
    </row>
    <row r="214" spans="1:15" x14ac:dyDescent="0.3">
      <c r="A214" t="s">
        <v>551</v>
      </c>
      <c r="B214" t="s">
        <v>552</v>
      </c>
      <c r="C214" t="s">
        <v>119</v>
      </c>
      <c r="D214" t="s">
        <v>70</v>
      </c>
      <c r="E214" t="s">
        <v>81</v>
      </c>
      <c r="F214" t="s">
        <v>68</v>
      </c>
      <c r="G214">
        <v>26</v>
      </c>
      <c r="H214">
        <v>19.809999999999999</v>
      </c>
      <c r="I214">
        <v>515.05999999999995</v>
      </c>
      <c r="J214">
        <v>10.3</v>
      </c>
      <c r="K214">
        <v>101.76</v>
      </c>
      <c r="L214" t="s">
        <v>48</v>
      </c>
      <c r="M214" t="s">
        <v>34</v>
      </c>
      <c r="N214" t="s">
        <v>76</v>
      </c>
      <c r="O214" s="5">
        <f t="shared" si="3"/>
        <v>0.19756921523705978</v>
      </c>
    </row>
    <row r="215" spans="1:15" x14ac:dyDescent="0.3">
      <c r="A215" t="s">
        <v>553</v>
      </c>
      <c r="B215" t="s">
        <v>554</v>
      </c>
      <c r="C215" t="s">
        <v>174</v>
      </c>
      <c r="D215" t="s">
        <v>123</v>
      </c>
      <c r="E215" t="s">
        <v>56</v>
      </c>
      <c r="F215" t="s">
        <v>57</v>
      </c>
      <c r="G215">
        <v>17</v>
      </c>
      <c r="H215">
        <v>53.34</v>
      </c>
      <c r="I215">
        <v>906.78</v>
      </c>
      <c r="J215">
        <v>30.6</v>
      </c>
      <c r="K215">
        <v>196.18</v>
      </c>
      <c r="L215" t="s">
        <v>24</v>
      </c>
      <c r="M215" t="s">
        <v>34</v>
      </c>
      <c r="N215" t="s">
        <v>76</v>
      </c>
      <c r="O215" s="5">
        <f t="shared" si="3"/>
        <v>0.21634795650543684</v>
      </c>
    </row>
    <row r="216" spans="1:15" x14ac:dyDescent="0.3">
      <c r="A216" t="s">
        <v>555</v>
      </c>
      <c r="B216" t="s">
        <v>556</v>
      </c>
      <c r="C216" t="s">
        <v>151</v>
      </c>
      <c r="D216" t="s">
        <v>51</v>
      </c>
      <c r="E216" t="s">
        <v>63</v>
      </c>
      <c r="F216" t="s">
        <v>47</v>
      </c>
      <c r="G216">
        <v>17</v>
      </c>
      <c r="H216">
        <v>28.23</v>
      </c>
      <c r="I216">
        <v>479.91</v>
      </c>
      <c r="J216">
        <v>31.88</v>
      </c>
      <c r="K216">
        <v>108.03</v>
      </c>
      <c r="L216" t="s">
        <v>33</v>
      </c>
      <c r="M216" t="s">
        <v>25</v>
      </c>
      <c r="N216" t="s">
        <v>76</v>
      </c>
      <c r="O216" s="5">
        <f t="shared" si="3"/>
        <v>0.22510470713258734</v>
      </c>
    </row>
    <row r="217" spans="1:15" x14ac:dyDescent="0.3">
      <c r="A217" t="s">
        <v>557</v>
      </c>
      <c r="B217" t="s">
        <v>558</v>
      </c>
      <c r="C217" t="s">
        <v>559</v>
      </c>
      <c r="D217" t="s">
        <v>241</v>
      </c>
      <c r="E217" t="s">
        <v>32</v>
      </c>
      <c r="F217" t="s">
        <v>23</v>
      </c>
      <c r="G217">
        <v>42</v>
      </c>
      <c r="H217">
        <v>25.26</v>
      </c>
      <c r="I217">
        <v>1060.92</v>
      </c>
      <c r="J217">
        <v>77.05</v>
      </c>
      <c r="K217">
        <v>227.87</v>
      </c>
      <c r="L217" t="s">
        <v>24</v>
      </c>
      <c r="M217" t="s">
        <v>41</v>
      </c>
      <c r="N217" t="s">
        <v>35</v>
      </c>
      <c r="O217" s="5">
        <f t="shared" si="3"/>
        <v>0.21478528069976999</v>
      </c>
    </row>
    <row r="218" spans="1:15" x14ac:dyDescent="0.3">
      <c r="A218" t="s">
        <v>560</v>
      </c>
      <c r="B218" t="s">
        <v>561</v>
      </c>
      <c r="C218" t="s">
        <v>238</v>
      </c>
      <c r="D218" t="s">
        <v>70</v>
      </c>
      <c r="E218" t="s">
        <v>32</v>
      </c>
      <c r="F218" t="s">
        <v>23</v>
      </c>
      <c r="G218">
        <v>2</v>
      </c>
      <c r="H218">
        <v>27.27</v>
      </c>
      <c r="I218">
        <v>54.54</v>
      </c>
      <c r="J218">
        <v>1.45</v>
      </c>
      <c r="K218">
        <v>17.09</v>
      </c>
      <c r="L218" t="s">
        <v>24</v>
      </c>
      <c r="M218" t="s">
        <v>41</v>
      </c>
      <c r="N218" t="s">
        <v>76</v>
      </c>
      <c r="O218" s="5">
        <f t="shared" si="3"/>
        <v>0.31334800146681335</v>
      </c>
    </row>
    <row r="219" spans="1:15" x14ac:dyDescent="0.3">
      <c r="A219" t="s">
        <v>562</v>
      </c>
      <c r="B219" t="s">
        <v>563</v>
      </c>
      <c r="C219" t="s">
        <v>369</v>
      </c>
      <c r="D219" t="s">
        <v>123</v>
      </c>
      <c r="E219" t="s">
        <v>137</v>
      </c>
      <c r="F219" t="s">
        <v>68</v>
      </c>
      <c r="G219">
        <v>48</v>
      </c>
      <c r="H219">
        <v>44.95</v>
      </c>
      <c r="I219">
        <v>2157.6</v>
      </c>
      <c r="J219">
        <v>148.41</v>
      </c>
      <c r="K219">
        <v>665.19</v>
      </c>
      <c r="L219" t="s">
        <v>24</v>
      </c>
      <c r="M219" t="s">
        <v>25</v>
      </c>
      <c r="N219" t="s">
        <v>76</v>
      </c>
      <c r="O219" s="5">
        <f t="shared" si="3"/>
        <v>0.30830088987764187</v>
      </c>
    </row>
    <row r="220" spans="1:15" x14ac:dyDescent="0.3">
      <c r="A220" t="s">
        <v>564</v>
      </c>
      <c r="B220" t="s">
        <v>400</v>
      </c>
      <c r="C220" t="s">
        <v>559</v>
      </c>
      <c r="D220" t="s">
        <v>116</v>
      </c>
      <c r="E220" t="s">
        <v>63</v>
      </c>
      <c r="F220" t="s">
        <v>47</v>
      </c>
      <c r="G220">
        <v>23</v>
      </c>
      <c r="H220">
        <v>28.6</v>
      </c>
      <c r="I220">
        <v>657.8</v>
      </c>
      <c r="J220">
        <v>13.36</v>
      </c>
      <c r="K220">
        <v>184.44</v>
      </c>
      <c r="L220" t="s">
        <v>24</v>
      </c>
      <c r="M220" t="s">
        <v>41</v>
      </c>
      <c r="N220" t="s">
        <v>76</v>
      </c>
      <c r="O220" s="5">
        <f t="shared" si="3"/>
        <v>0.28038917604135</v>
      </c>
    </row>
    <row r="221" spans="1:15" x14ac:dyDescent="0.3">
      <c r="A221" t="s">
        <v>565</v>
      </c>
      <c r="B221" t="s">
        <v>309</v>
      </c>
      <c r="C221" t="s">
        <v>174</v>
      </c>
      <c r="D221" t="s">
        <v>171</v>
      </c>
      <c r="E221" t="s">
        <v>81</v>
      </c>
      <c r="F221" t="s">
        <v>68</v>
      </c>
      <c r="G221">
        <v>18</v>
      </c>
      <c r="H221">
        <v>26.1</v>
      </c>
      <c r="I221">
        <v>469.8</v>
      </c>
      <c r="J221">
        <v>19.52</v>
      </c>
      <c r="K221">
        <v>171.28</v>
      </c>
      <c r="L221" t="s">
        <v>48</v>
      </c>
      <c r="M221" t="s">
        <v>25</v>
      </c>
      <c r="N221" t="s">
        <v>35</v>
      </c>
      <c r="O221" s="5">
        <f t="shared" si="3"/>
        <v>0.36458067262664962</v>
      </c>
    </row>
    <row r="222" spans="1:15" x14ac:dyDescent="0.3">
      <c r="A222" t="s">
        <v>566</v>
      </c>
      <c r="B222" t="s">
        <v>567</v>
      </c>
      <c r="C222" t="s">
        <v>568</v>
      </c>
      <c r="D222" t="s">
        <v>62</v>
      </c>
      <c r="E222" t="s">
        <v>137</v>
      </c>
      <c r="F222" t="s">
        <v>68</v>
      </c>
      <c r="G222">
        <v>21</v>
      </c>
      <c r="H222">
        <v>37.450000000000003</v>
      </c>
      <c r="I222">
        <v>786.45</v>
      </c>
      <c r="J222">
        <v>62.4</v>
      </c>
      <c r="K222">
        <v>136.05000000000001</v>
      </c>
      <c r="L222" t="s">
        <v>24</v>
      </c>
      <c r="M222" t="s">
        <v>41</v>
      </c>
      <c r="N222" t="s">
        <v>98</v>
      </c>
      <c r="O222" s="5">
        <f t="shared" si="3"/>
        <v>0.17299256151058554</v>
      </c>
    </row>
    <row r="223" spans="1:15" x14ac:dyDescent="0.3">
      <c r="A223" t="s">
        <v>569</v>
      </c>
      <c r="B223" t="s">
        <v>570</v>
      </c>
      <c r="C223" t="s">
        <v>511</v>
      </c>
      <c r="D223" t="s">
        <v>116</v>
      </c>
      <c r="E223" t="s">
        <v>63</v>
      </c>
      <c r="F223" t="s">
        <v>47</v>
      </c>
      <c r="G223">
        <v>25</v>
      </c>
      <c r="H223">
        <v>28.54</v>
      </c>
      <c r="I223">
        <v>713.5</v>
      </c>
      <c r="J223">
        <v>50.38</v>
      </c>
      <c r="K223">
        <v>163.12</v>
      </c>
      <c r="L223" t="s">
        <v>24</v>
      </c>
      <c r="M223" t="s">
        <v>25</v>
      </c>
      <c r="N223" t="s">
        <v>76</v>
      </c>
      <c r="O223" s="5">
        <f t="shared" si="3"/>
        <v>0.22861948142957253</v>
      </c>
    </row>
    <row r="224" spans="1:15" x14ac:dyDescent="0.3">
      <c r="A224" t="s">
        <v>571</v>
      </c>
      <c r="B224" t="s">
        <v>303</v>
      </c>
      <c r="C224" t="s">
        <v>182</v>
      </c>
      <c r="D224" t="s">
        <v>21</v>
      </c>
      <c r="E224" t="s">
        <v>74</v>
      </c>
      <c r="F224" t="s">
        <v>75</v>
      </c>
      <c r="G224">
        <v>11</v>
      </c>
      <c r="H224">
        <v>38.07</v>
      </c>
      <c r="I224">
        <v>418.77</v>
      </c>
      <c r="J224">
        <v>29.02</v>
      </c>
      <c r="K224">
        <v>114.75</v>
      </c>
      <c r="L224" t="s">
        <v>33</v>
      </c>
      <c r="M224" t="s">
        <v>25</v>
      </c>
      <c r="N224" t="s">
        <v>98</v>
      </c>
      <c r="O224" s="5">
        <f t="shared" si="3"/>
        <v>0.27401676337846553</v>
      </c>
    </row>
    <row r="225" spans="1:15" x14ac:dyDescent="0.3">
      <c r="A225" t="s">
        <v>572</v>
      </c>
      <c r="B225" t="s">
        <v>573</v>
      </c>
      <c r="C225" t="s">
        <v>574</v>
      </c>
      <c r="D225" t="s">
        <v>55</v>
      </c>
      <c r="E225" t="s">
        <v>81</v>
      </c>
      <c r="F225" t="s">
        <v>68</v>
      </c>
      <c r="G225">
        <v>18</v>
      </c>
      <c r="H225">
        <v>19.32</v>
      </c>
      <c r="I225">
        <v>347.76</v>
      </c>
      <c r="J225">
        <v>21.34</v>
      </c>
      <c r="K225">
        <v>47.42</v>
      </c>
      <c r="L225" t="s">
        <v>33</v>
      </c>
      <c r="M225" t="s">
        <v>25</v>
      </c>
      <c r="N225" t="s">
        <v>98</v>
      </c>
      <c r="O225" s="5">
        <f t="shared" si="3"/>
        <v>0.13635840809753855</v>
      </c>
    </row>
    <row r="226" spans="1:15" x14ac:dyDescent="0.3">
      <c r="A226" t="s">
        <v>575</v>
      </c>
      <c r="B226" t="s">
        <v>281</v>
      </c>
      <c r="C226" t="s">
        <v>110</v>
      </c>
      <c r="D226" t="s">
        <v>31</v>
      </c>
      <c r="E226" t="s">
        <v>137</v>
      </c>
      <c r="F226" t="s">
        <v>68</v>
      </c>
      <c r="G226">
        <v>42</v>
      </c>
      <c r="H226">
        <v>50.02</v>
      </c>
      <c r="I226">
        <v>2100.84</v>
      </c>
      <c r="J226">
        <v>89.65</v>
      </c>
      <c r="K226">
        <v>835.19</v>
      </c>
      <c r="L226" t="s">
        <v>33</v>
      </c>
      <c r="M226" t="s">
        <v>34</v>
      </c>
      <c r="N226" t="s">
        <v>35</v>
      </c>
      <c r="O226" s="5">
        <f t="shared" si="3"/>
        <v>0.39755050360808059</v>
      </c>
    </row>
    <row r="227" spans="1:15" x14ac:dyDescent="0.3">
      <c r="A227" t="s">
        <v>576</v>
      </c>
      <c r="B227" t="s">
        <v>577</v>
      </c>
      <c r="C227" t="s">
        <v>410</v>
      </c>
      <c r="D227" t="s">
        <v>206</v>
      </c>
      <c r="E227" t="s">
        <v>137</v>
      </c>
      <c r="F227" t="s">
        <v>68</v>
      </c>
      <c r="G227">
        <v>13</v>
      </c>
      <c r="H227">
        <v>49.39</v>
      </c>
      <c r="I227">
        <v>642.07000000000005</v>
      </c>
      <c r="J227">
        <v>38.32</v>
      </c>
      <c r="K227">
        <v>239.75</v>
      </c>
      <c r="L227" t="s">
        <v>33</v>
      </c>
      <c r="M227" t="s">
        <v>25</v>
      </c>
      <c r="N227" t="s">
        <v>207</v>
      </c>
      <c r="O227" s="5">
        <f t="shared" si="3"/>
        <v>0.37340165402526199</v>
      </c>
    </row>
    <row r="228" spans="1:15" x14ac:dyDescent="0.3">
      <c r="A228" t="s">
        <v>578</v>
      </c>
      <c r="B228" t="s">
        <v>579</v>
      </c>
      <c r="C228" t="s">
        <v>188</v>
      </c>
      <c r="D228" t="s">
        <v>31</v>
      </c>
      <c r="E228" t="s">
        <v>32</v>
      </c>
      <c r="F228" t="s">
        <v>23</v>
      </c>
      <c r="G228">
        <v>15</v>
      </c>
      <c r="H228">
        <v>22.86</v>
      </c>
      <c r="I228">
        <v>342.9</v>
      </c>
      <c r="J228">
        <v>27.16</v>
      </c>
      <c r="K228">
        <v>45.74</v>
      </c>
      <c r="L228" t="s">
        <v>48</v>
      </c>
      <c r="M228" t="s">
        <v>41</v>
      </c>
      <c r="N228" t="s">
        <v>35</v>
      </c>
      <c r="O228" s="5">
        <f t="shared" si="3"/>
        <v>0.13339165937591135</v>
      </c>
    </row>
    <row r="229" spans="1:15" x14ac:dyDescent="0.3">
      <c r="A229" t="s">
        <v>580</v>
      </c>
      <c r="B229" t="s">
        <v>581</v>
      </c>
      <c r="C229" t="s">
        <v>568</v>
      </c>
      <c r="D229" t="s">
        <v>70</v>
      </c>
      <c r="E229" t="s">
        <v>74</v>
      </c>
      <c r="F229" t="s">
        <v>75</v>
      </c>
      <c r="G229">
        <v>37</v>
      </c>
      <c r="H229">
        <v>37.270000000000003</v>
      </c>
      <c r="I229">
        <v>1378.99</v>
      </c>
      <c r="J229">
        <v>92.92</v>
      </c>
      <c r="K229">
        <v>361.07</v>
      </c>
      <c r="L229" t="s">
        <v>24</v>
      </c>
      <c r="M229" t="s">
        <v>25</v>
      </c>
      <c r="N229" t="s">
        <v>76</v>
      </c>
      <c r="O229" s="5">
        <f t="shared" si="3"/>
        <v>0.26183656154141799</v>
      </c>
    </row>
    <row r="230" spans="1:15" x14ac:dyDescent="0.3">
      <c r="A230" t="s">
        <v>582</v>
      </c>
      <c r="B230" t="s">
        <v>583</v>
      </c>
      <c r="C230" t="s">
        <v>61</v>
      </c>
      <c r="D230" t="s">
        <v>171</v>
      </c>
      <c r="E230" t="s">
        <v>22</v>
      </c>
      <c r="F230" t="s">
        <v>23</v>
      </c>
      <c r="G230">
        <v>49</v>
      </c>
      <c r="H230">
        <v>54.05</v>
      </c>
      <c r="I230">
        <v>2648.45</v>
      </c>
      <c r="J230">
        <v>66.8</v>
      </c>
      <c r="K230">
        <v>866.65</v>
      </c>
      <c r="L230" t="s">
        <v>48</v>
      </c>
      <c r="M230" t="s">
        <v>25</v>
      </c>
      <c r="N230" t="s">
        <v>35</v>
      </c>
      <c r="O230" s="5">
        <f t="shared" si="3"/>
        <v>0.32722913402178633</v>
      </c>
    </row>
    <row r="231" spans="1:15" x14ac:dyDescent="0.3">
      <c r="A231" t="s">
        <v>584</v>
      </c>
      <c r="B231" t="s">
        <v>585</v>
      </c>
      <c r="C231" t="s">
        <v>586</v>
      </c>
      <c r="D231" t="s">
        <v>31</v>
      </c>
      <c r="E231" t="s">
        <v>86</v>
      </c>
      <c r="F231" t="s">
        <v>47</v>
      </c>
      <c r="G231">
        <v>33</v>
      </c>
      <c r="H231">
        <v>20.059999999999999</v>
      </c>
      <c r="I231">
        <v>661.98</v>
      </c>
      <c r="J231">
        <v>50.02</v>
      </c>
      <c r="K231">
        <v>191.21</v>
      </c>
      <c r="L231" t="s">
        <v>48</v>
      </c>
      <c r="M231" t="s">
        <v>34</v>
      </c>
      <c r="N231" t="s">
        <v>35</v>
      </c>
      <c r="O231" s="5">
        <f t="shared" si="3"/>
        <v>0.28884558445874498</v>
      </c>
    </row>
    <row r="232" spans="1:15" x14ac:dyDescent="0.3">
      <c r="A232" t="s">
        <v>587</v>
      </c>
      <c r="B232" t="s">
        <v>588</v>
      </c>
      <c r="C232" t="s">
        <v>328</v>
      </c>
      <c r="D232" t="s">
        <v>241</v>
      </c>
      <c r="E232" t="s">
        <v>137</v>
      </c>
      <c r="F232" t="s">
        <v>68</v>
      </c>
      <c r="G232">
        <v>49</v>
      </c>
      <c r="H232">
        <v>35.68</v>
      </c>
      <c r="I232">
        <v>1748.32</v>
      </c>
      <c r="J232">
        <v>124.47</v>
      </c>
      <c r="K232">
        <v>251.85</v>
      </c>
      <c r="L232" t="s">
        <v>48</v>
      </c>
      <c r="M232" t="s">
        <v>41</v>
      </c>
      <c r="N232" t="s">
        <v>35</v>
      </c>
      <c r="O232" s="5">
        <f t="shared" si="3"/>
        <v>0.14405257618742565</v>
      </c>
    </row>
    <row r="233" spans="1:15" x14ac:dyDescent="0.3">
      <c r="A233" t="s">
        <v>589</v>
      </c>
      <c r="B233" t="s">
        <v>590</v>
      </c>
      <c r="C233" t="s">
        <v>40</v>
      </c>
      <c r="D233" t="s">
        <v>70</v>
      </c>
      <c r="E233" t="s">
        <v>74</v>
      </c>
      <c r="F233" t="s">
        <v>75</v>
      </c>
      <c r="G233">
        <v>23</v>
      </c>
      <c r="H233">
        <v>30.89</v>
      </c>
      <c r="I233">
        <v>710.47</v>
      </c>
      <c r="J233">
        <v>18.739999999999998</v>
      </c>
      <c r="K233">
        <v>116.73</v>
      </c>
      <c r="L233" t="s">
        <v>33</v>
      </c>
      <c r="M233" t="s">
        <v>25</v>
      </c>
      <c r="N233" t="s">
        <v>76</v>
      </c>
      <c r="O233" s="5">
        <f t="shared" si="3"/>
        <v>0.16429968893830843</v>
      </c>
    </row>
    <row r="234" spans="1:15" x14ac:dyDescent="0.3">
      <c r="A234" t="s">
        <v>591</v>
      </c>
      <c r="B234" t="s">
        <v>101</v>
      </c>
      <c r="C234" t="s">
        <v>44</v>
      </c>
      <c r="D234" t="s">
        <v>171</v>
      </c>
      <c r="E234" t="s">
        <v>22</v>
      </c>
      <c r="F234" t="s">
        <v>23</v>
      </c>
      <c r="G234">
        <v>14</v>
      </c>
      <c r="H234">
        <v>59.6</v>
      </c>
      <c r="I234">
        <v>834.4</v>
      </c>
      <c r="J234">
        <v>19.11</v>
      </c>
      <c r="K234">
        <v>325.29000000000002</v>
      </c>
      <c r="L234" t="s">
        <v>33</v>
      </c>
      <c r="M234" t="s">
        <v>34</v>
      </c>
      <c r="N234" t="s">
        <v>35</v>
      </c>
      <c r="O234" s="5">
        <f t="shared" si="3"/>
        <v>0.38984899328859063</v>
      </c>
    </row>
    <row r="235" spans="1:15" x14ac:dyDescent="0.3">
      <c r="A235" t="s">
        <v>592</v>
      </c>
      <c r="B235" t="s">
        <v>314</v>
      </c>
      <c r="C235" t="s">
        <v>480</v>
      </c>
      <c r="D235" t="s">
        <v>241</v>
      </c>
      <c r="E235" t="s">
        <v>67</v>
      </c>
      <c r="F235" t="s">
        <v>68</v>
      </c>
      <c r="G235">
        <v>3</v>
      </c>
      <c r="H235">
        <v>28.36</v>
      </c>
      <c r="I235">
        <v>85.08</v>
      </c>
      <c r="J235">
        <v>4.46</v>
      </c>
      <c r="K235">
        <v>13.12</v>
      </c>
      <c r="L235" t="s">
        <v>24</v>
      </c>
      <c r="M235" t="s">
        <v>34</v>
      </c>
      <c r="N235" t="s">
        <v>35</v>
      </c>
      <c r="O235" s="5">
        <f t="shared" si="3"/>
        <v>0.15420780441936999</v>
      </c>
    </row>
    <row r="236" spans="1:15" x14ac:dyDescent="0.3">
      <c r="A236" t="s">
        <v>593</v>
      </c>
      <c r="B236" t="s">
        <v>398</v>
      </c>
      <c r="C236" t="s">
        <v>216</v>
      </c>
      <c r="D236" t="s">
        <v>241</v>
      </c>
      <c r="E236" t="s">
        <v>86</v>
      </c>
      <c r="F236" t="s">
        <v>47</v>
      </c>
      <c r="G236">
        <v>28</v>
      </c>
      <c r="H236">
        <v>22.13</v>
      </c>
      <c r="I236">
        <v>619.64</v>
      </c>
      <c r="J236">
        <v>17.2</v>
      </c>
      <c r="K236">
        <v>245.44</v>
      </c>
      <c r="L236" t="s">
        <v>33</v>
      </c>
      <c r="M236" t="s">
        <v>41</v>
      </c>
      <c r="N236" t="s">
        <v>35</v>
      </c>
      <c r="O236" s="5">
        <f t="shared" si="3"/>
        <v>0.39610096184881544</v>
      </c>
    </row>
    <row r="237" spans="1:15" x14ac:dyDescent="0.3">
      <c r="A237" t="s">
        <v>594</v>
      </c>
      <c r="B237" t="s">
        <v>388</v>
      </c>
      <c r="C237" t="s">
        <v>372</v>
      </c>
      <c r="D237" t="s">
        <v>21</v>
      </c>
      <c r="E237" t="s">
        <v>32</v>
      </c>
      <c r="F237" t="s">
        <v>23</v>
      </c>
      <c r="G237">
        <v>28</v>
      </c>
      <c r="H237">
        <v>27.62</v>
      </c>
      <c r="I237">
        <v>773.36</v>
      </c>
      <c r="J237">
        <v>29.88</v>
      </c>
      <c r="K237">
        <v>239.48</v>
      </c>
      <c r="L237" t="s">
        <v>24</v>
      </c>
      <c r="M237" t="s">
        <v>25</v>
      </c>
      <c r="N237" t="s">
        <v>98</v>
      </c>
      <c r="O237" s="5">
        <f t="shared" si="3"/>
        <v>0.30966173580221368</v>
      </c>
    </row>
    <row r="238" spans="1:15" x14ac:dyDescent="0.3">
      <c r="A238" t="s">
        <v>595</v>
      </c>
      <c r="B238" t="s">
        <v>596</v>
      </c>
      <c r="C238" t="s">
        <v>194</v>
      </c>
      <c r="D238" t="s">
        <v>55</v>
      </c>
      <c r="E238" t="s">
        <v>74</v>
      </c>
      <c r="F238" t="s">
        <v>75</v>
      </c>
      <c r="G238">
        <v>40</v>
      </c>
      <c r="H238">
        <v>34.229999999999997</v>
      </c>
      <c r="I238">
        <v>1369.2</v>
      </c>
      <c r="J238">
        <v>78.03</v>
      </c>
      <c r="K238">
        <v>291.17</v>
      </c>
      <c r="L238" t="s">
        <v>24</v>
      </c>
      <c r="M238" t="s">
        <v>25</v>
      </c>
      <c r="N238" t="s">
        <v>98</v>
      </c>
      <c r="O238" s="5">
        <f t="shared" si="3"/>
        <v>0.21265702600058428</v>
      </c>
    </row>
    <row r="239" spans="1:15" x14ac:dyDescent="0.3">
      <c r="A239" t="s">
        <v>597</v>
      </c>
      <c r="B239" t="s">
        <v>598</v>
      </c>
      <c r="C239" t="s">
        <v>285</v>
      </c>
      <c r="D239" t="s">
        <v>127</v>
      </c>
      <c r="E239" t="s">
        <v>56</v>
      </c>
      <c r="F239" t="s">
        <v>57</v>
      </c>
      <c r="G239">
        <v>9</v>
      </c>
      <c r="H239">
        <v>52.2</v>
      </c>
      <c r="I239">
        <v>469.8</v>
      </c>
      <c r="J239">
        <v>31.5</v>
      </c>
      <c r="K239">
        <v>78.3</v>
      </c>
      <c r="L239" t="s">
        <v>48</v>
      </c>
      <c r="M239" t="s">
        <v>41</v>
      </c>
      <c r="N239" t="s">
        <v>76</v>
      </c>
      <c r="O239" s="5">
        <f t="shared" si="3"/>
        <v>0.16666666666666666</v>
      </c>
    </row>
    <row r="240" spans="1:15" x14ac:dyDescent="0.3">
      <c r="A240" t="s">
        <v>599</v>
      </c>
      <c r="B240" t="s">
        <v>205</v>
      </c>
      <c r="C240" t="s">
        <v>372</v>
      </c>
      <c r="D240" t="s">
        <v>171</v>
      </c>
      <c r="E240" t="s">
        <v>74</v>
      </c>
      <c r="F240" t="s">
        <v>75</v>
      </c>
      <c r="G240">
        <v>31</v>
      </c>
      <c r="H240">
        <v>43.54</v>
      </c>
      <c r="I240">
        <v>1349.74</v>
      </c>
      <c r="J240">
        <v>99.86</v>
      </c>
      <c r="K240">
        <v>474.88</v>
      </c>
      <c r="L240" t="s">
        <v>24</v>
      </c>
      <c r="M240" t="s">
        <v>34</v>
      </c>
      <c r="N240" t="s">
        <v>35</v>
      </c>
      <c r="O240" s="5">
        <f t="shared" si="3"/>
        <v>0.35183072295405038</v>
      </c>
    </row>
    <row r="241" spans="1:15" x14ac:dyDescent="0.3">
      <c r="A241" t="s">
        <v>600</v>
      </c>
      <c r="B241" t="s">
        <v>479</v>
      </c>
      <c r="C241" t="s">
        <v>185</v>
      </c>
      <c r="D241" t="s">
        <v>123</v>
      </c>
      <c r="E241" t="s">
        <v>81</v>
      </c>
      <c r="F241" t="s">
        <v>68</v>
      </c>
      <c r="G241">
        <v>31</v>
      </c>
      <c r="H241">
        <v>18.63</v>
      </c>
      <c r="I241">
        <v>577.53</v>
      </c>
      <c r="J241">
        <v>36.65</v>
      </c>
      <c r="K241">
        <v>60.38</v>
      </c>
      <c r="L241" t="s">
        <v>48</v>
      </c>
      <c r="M241" t="s">
        <v>25</v>
      </c>
      <c r="N241" t="s">
        <v>76</v>
      </c>
      <c r="O241" s="5">
        <f t="shared" si="3"/>
        <v>0.1045486814537773</v>
      </c>
    </row>
    <row r="242" spans="1:15" x14ac:dyDescent="0.3">
      <c r="A242" t="s">
        <v>601</v>
      </c>
      <c r="B242" t="s">
        <v>602</v>
      </c>
      <c r="C242" t="s">
        <v>442</v>
      </c>
      <c r="D242" t="s">
        <v>127</v>
      </c>
      <c r="E242" t="s">
        <v>63</v>
      </c>
      <c r="F242" t="s">
        <v>47</v>
      </c>
      <c r="G242">
        <v>38</v>
      </c>
      <c r="H242">
        <v>27.28</v>
      </c>
      <c r="I242">
        <v>1036.6400000000001</v>
      </c>
      <c r="J242">
        <v>38.770000000000003</v>
      </c>
      <c r="K242">
        <v>237.87</v>
      </c>
      <c r="L242" t="s">
        <v>24</v>
      </c>
      <c r="M242" t="s">
        <v>41</v>
      </c>
      <c r="N242" t="s">
        <v>76</v>
      </c>
      <c r="O242" s="5">
        <f t="shared" si="3"/>
        <v>0.22946249421206974</v>
      </c>
    </row>
    <row r="243" spans="1:15" x14ac:dyDescent="0.3">
      <c r="A243" t="s">
        <v>603</v>
      </c>
      <c r="B243" t="s">
        <v>482</v>
      </c>
      <c r="C243" t="s">
        <v>328</v>
      </c>
      <c r="D243" t="s">
        <v>45</v>
      </c>
      <c r="E243" t="s">
        <v>32</v>
      </c>
      <c r="F243" t="s">
        <v>23</v>
      </c>
      <c r="G243">
        <v>50</v>
      </c>
      <c r="H243">
        <v>30.97</v>
      </c>
      <c r="I243">
        <v>1548.5</v>
      </c>
      <c r="J243">
        <v>82.09</v>
      </c>
      <c r="K243">
        <v>566.41</v>
      </c>
      <c r="L243" t="s">
        <v>33</v>
      </c>
      <c r="M243" t="s">
        <v>34</v>
      </c>
      <c r="N243" t="s">
        <v>49</v>
      </c>
      <c r="O243" s="5">
        <f t="shared" si="3"/>
        <v>0.36577978689053919</v>
      </c>
    </row>
    <row r="244" spans="1:15" x14ac:dyDescent="0.3">
      <c r="A244" t="s">
        <v>604</v>
      </c>
      <c r="B244" t="s">
        <v>118</v>
      </c>
      <c r="C244" t="s">
        <v>126</v>
      </c>
      <c r="D244" t="s">
        <v>127</v>
      </c>
      <c r="E244" t="s">
        <v>56</v>
      </c>
      <c r="F244" t="s">
        <v>57</v>
      </c>
      <c r="G244">
        <v>17</v>
      </c>
      <c r="H244">
        <v>60.91</v>
      </c>
      <c r="I244">
        <v>1035.47</v>
      </c>
      <c r="J244">
        <v>54.09</v>
      </c>
      <c r="K244">
        <v>301.38</v>
      </c>
      <c r="L244" t="s">
        <v>48</v>
      </c>
      <c r="M244" t="s">
        <v>25</v>
      </c>
      <c r="N244" t="s">
        <v>76</v>
      </c>
      <c r="O244" s="5">
        <f t="shared" si="3"/>
        <v>0.29105623533274744</v>
      </c>
    </row>
    <row r="245" spans="1:15" x14ac:dyDescent="0.3">
      <c r="A245" t="s">
        <v>605</v>
      </c>
      <c r="B245" t="s">
        <v>606</v>
      </c>
      <c r="C245" t="s">
        <v>437</v>
      </c>
      <c r="D245" t="s">
        <v>51</v>
      </c>
      <c r="E245" t="s">
        <v>63</v>
      </c>
      <c r="F245" t="s">
        <v>47</v>
      </c>
      <c r="G245">
        <v>25</v>
      </c>
      <c r="H245">
        <v>31.15</v>
      </c>
      <c r="I245">
        <v>778.75</v>
      </c>
      <c r="J245">
        <v>47.45</v>
      </c>
      <c r="K245">
        <v>231.3</v>
      </c>
      <c r="L245" t="s">
        <v>24</v>
      </c>
      <c r="M245" t="s">
        <v>41</v>
      </c>
      <c r="N245" t="s">
        <v>76</v>
      </c>
      <c r="O245" s="5">
        <f t="shared" si="3"/>
        <v>0.29701444622792939</v>
      </c>
    </row>
    <row r="246" spans="1:15" x14ac:dyDescent="0.3">
      <c r="A246" t="s">
        <v>607</v>
      </c>
      <c r="B246" t="s">
        <v>608</v>
      </c>
      <c r="C246" t="s">
        <v>462</v>
      </c>
      <c r="D246" t="s">
        <v>171</v>
      </c>
      <c r="E246" t="s">
        <v>32</v>
      </c>
      <c r="F246" t="s">
        <v>23</v>
      </c>
      <c r="G246">
        <v>30</v>
      </c>
      <c r="H246">
        <v>31.12</v>
      </c>
      <c r="I246">
        <v>933.6</v>
      </c>
      <c r="J246">
        <v>50.88</v>
      </c>
      <c r="K246">
        <v>342.72</v>
      </c>
      <c r="L246" t="s">
        <v>33</v>
      </c>
      <c r="M246" t="s">
        <v>34</v>
      </c>
      <c r="N246" t="s">
        <v>35</v>
      </c>
      <c r="O246" s="5">
        <f t="shared" si="3"/>
        <v>0.36709511568123393</v>
      </c>
    </row>
    <row r="247" spans="1:15" x14ac:dyDescent="0.3">
      <c r="A247" t="s">
        <v>609</v>
      </c>
      <c r="B247" t="s">
        <v>610</v>
      </c>
      <c r="C247" t="s">
        <v>182</v>
      </c>
      <c r="D247" t="s">
        <v>62</v>
      </c>
      <c r="E247" t="s">
        <v>81</v>
      </c>
      <c r="F247" t="s">
        <v>68</v>
      </c>
      <c r="G247">
        <v>17</v>
      </c>
      <c r="H247">
        <v>19.64</v>
      </c>
      <c r="I247">
        <v>333.88</v>
      </c>
      <c r="J247">
        <v>22.23</v>
      </c>
      <c r="K247">
        <v>48.15</v>
      </c>
      <c r="L247" t="s">
        <v>48</v>
      </c>
      <c r="M247" t="s">
        <v>41</v>
      </c>
      <c r="N247" t="s">
        <v>98</v>
      </c>
      <c r="O247" s="5">
        <f t="shared" si="3"/>
        <v>0.14421348987660237</v>
      </c>
    </row>
    <row r="248" spans="1:15" x14ac:dyDescent="0.3">
      <c r="A248" t="s">
        <v>611</v>
      </c>
      <c r="B248" t="s">
        <v>612</v>
      </c>
      <c r="C248" t="s">
        <v>613</v>
      </c>
      <c r="D248" t="s">
        <v>21</v>
      </c>
      <c r="E248" t="s">
        <v>46</v>
      </c>
      <c r="F248" t="s">
        <v>47</v>
      </c>
      <c r="G248">
        <v>37</v>
      </c>
      <c r="H248">
        <v>57.35</v>
      </c>
      <c r="I248">
        <v>2121.9499999999998</v>
      </c>
      <c r="J248">
        <v>147.38999999999999</v>
      </c>
      <c r="K248">
        <v>790.56</v>
      </c>
      <c r="L248" t="s">
        <v>24</v>
      </c>
      <c r="M248" t="s">
        <v>25</v>
      </c>
      <c r="N248" t="s">
        <v>98</v>
      </c>
      <c r="O248" s="5">
        <f t="shared" si="3"/>
        <v>0.37256297273734068</v>
      </c>
    </row>
    <row r="249" spans="1:15" x14ac:dyDescent="0.3">
      <c r="A249" t="s">
        <v>614</v>
      </c>
      <c r="B249" t="s">
        <v>615</v>
      </c>
      <c r="C249" t="s">
        <v>20</v>
      </c>
      <c r="D249" t="s">
        <v>37</v>
      </c>
      <c r="E249" t="s">
        <v>22</v>
      </c>
      <c r="F249" t="s">
        <v>23</v>
      </c>
      <c r="G249">
        <v>45</v>
      </c>
      <c r="H249">
        <v>42.6</v>
      </c>
      <c r="I249">
        <v>1917</v>
      </c>
      <c r="J249">
        <v>104.27</v>
      </c>
      <c r="K249">
        <v>237.73</v>
      </c>
      <c r="L249" t="s">
        <v>33</v>
      </c>
      <c r="M249" t="s">
        <v>41</v>
      </c>
      <c r="N249" t="s">
        <v>35</v>
      </c>
      <c r="O249" s="5">
        <f t="shared" si="3"/>
        <v>0.12401147626499738</v>
      </c>
    </row>
    <row r="250" spans="1:15" x14ac:dyDescent="0.3">
      <c r="A250" t="s">
        <v>616</v>
      </c>
      <c r="B250" t="s">
        <v>617</v>
      </c>
      <c r="C250" t="s">
        <v>165</v>
      </c>
      <c r="D250" t="s">
        <v>31</v>
      </c>
      <c r="E250" t="s">
        <v>63</v>
      </c>
      <c r="F250" t="s">
        <v>47</v>
      </c>
      <c r="G250">
        <v>25</v>
      </c>
      <c r="H250">
        <v>31.82</v>
      </c>
      <c r="I250">
        <v>795.5</v>
      </c>
      <c r="J250">
        <v>37.33</v>
      </c>
      <c r="K250">
        <v>258.17</v>
      </c>
      <c r="L250" t="s">
        <v>24</v>
      </c>
      <c r="M250" t="s">
        <v>34</v>
      </c>
      <c r="N250" t="s">
        <v>35</v>
      </c>
      <c r="O250" s="5">
        <f t="shared" si="3"/>
        <v>0.32453802639849155</v>
      </c>
    </row>
    <row r="251" spans="1:15" x14ac:dyDescent="0.3">
      <c r="A251" t="s">
        <v>618</v>
      </c>
      <c r="B251" t="s">
        <v>105</v>
      </c>
      <c r="C251" t="s">
        <v>200</v>
      </c>
      <c r="D251" t="s">
        <v>70</v>
      </c>
      <c r="E251" t="s">
        <v>74</v>
      </c>
      <c r="F251" t="s">
        <v>75</v>
      </c>
      <c r="G251">
        <v>17</v>
      </c>
      <c r="H251">
        <v>36.270000000000003</v>
      </c>
      <c r="I251">
        <v>616.59</v>
      </c>
      <c r="J251">
        <v>22.76</v>
      </c>
      <c r="K251">
        <v>168.83</v>
      </c>
      <c r="L251" t="s">
        <v>48</v>
      </c>
      <c r="M251" t="s">
        <v>25</v>
      </c>
      <c r="N251" t="s">
        <v>76</v>
      </c>
      <c r="O251" s="5">
        <f t="shared" si="3"/>
        <v>0.27381241992247685</v>
      </c>
    </row>
    <row r="252" spans="1:15" x14ac:dyDescent="0.3">
      <c r="A252" t="s">
        <v>619</v>
      </c>
      <c r="B252" t="s">
        <v>620</v>
      </c>
      <c r="C252" t="s">
        <v>334</v>
      </c>
      <c r="D252" t="s">
        <v>123</v>
      </c>
      <c r="E252" t="s">
        <v>32</v>
      </c>
      <c r="F252" t="s">
        <v>23</v>
      </c>
      <c r="G252">
        <v>4</v>
      </c>
      <c r="H252">
        <v>27.01</v>
      </c>
      <c r="I252">
        <v>108.04</v>
      </c>
      <c r="J252">
        <v>4.7300000000000004</v>
      </c>
      <c r="K252">
        <v>31.31</v>
      </c>
      <c r="L252" t="s">
        <v>48</v>
      </c>
      <c r="M252" t="s">
        <v>41</v>
      </c>
      <c r="N252" t="s">
        <v>76</v>
      </c>
      <c r="O252" s="5">
        <f t="shared" si="3"/>
        <v>0.28980007404664937</v>
      </c>
    </row>
    <row r="253" spans="1:15" x14ac:dyDescent="0.3">
      <c r="A253" t="s">
        <v>621</v>
      </c>
      <c r="B253" t="s">
        <v>173</v>
      </c>
      <c r="C253" t="s">
        <v>369</v>
      </c>
      <c r="D253" t="s">
        <v>62</v>
      </c>
      <c r="E253" t="s">
        <v>22</v>
      </c>
      <c r="F253" t="s">
        <v>23</v>
      </c>
      <c r="G253">
        <v>22</v>
      </c>
      <c r="H253">
        <v>57.6</v>
      </c>
      <c r="I253">
        <v>1267.2</v>
      </c>
      <c r="J253">
        <v>35.32</v>
      </c>
      <c r="K253">
        <v>461.88</v>
      </c>
      <c r="L253" t="s">
        <v>48</v>
      </c>
      <c r="M253" t="s">
        <v>25</v>
      </c>
      <c r="N253" t="s">
        <v>98</v>
      </c>
      <c r="O253" s="5">
        <f t="shared" si="3"/>
        <v>0.36448863636363632</v>
      </c>
    </row>
    <row r="254" spans="1:15" x14ac:dyDescent="0.3">
      <c r="A254" t="s">
        <v>622</v>
      </c>
      <c r="B254" t="s">
        <v>623</v>
      </c>
      <c r="C254" t="s">
        <v>417</v>
      </c>
      <c r="D254" t="s">
        <v>241</v>
      </c>
      <c r="E254" t="s">
        <v>74</v>
      </c>
      <c r="F254" t="s">
        <v>75</v>
      </c>
      <c r="G254">
        <v>24</v>
      </c>
      <c r="H254">
        <v>43.34</v>
      </c>
      <c r="I254">
        <v>1040.1600000000001</v>
      </c>
      <c r="J254">
        <v>41.18</v>
      </c>
      <c r="K254">
        <v>398.98</v>
      </c>
      <c r="L254" t="s">
        <v>24</v>
      </c>
      <c r="M254" t="s">
        <v>41</v>
      </c>
      <c r="N254" t="s">
        <v>35</v>
      </c>
      <c r="O254" s="5">
        <f t="shared" si="3"/>
        <v>0.38357560375326871</v>
      </c>
    </row>
    <row r="255" spans="1:15" x14ac:dyDescent="0.3">
      <c r="A255" t="s">
        <v>624</v>
      </c>
      <c r="B255" t="s">
        <v>625</v>
      </c>
      <c r="C255" t="s">
        <v>266</v>
      </c>
      <c r="D255" t="s">
        <v>62</v>
      </c>
      <c r="E255" t="s">
        <v>56</v>
      </c>
      <c r="F255" t="s">
        <v>57</v>
      </c>
      <c r="G255">
        <v>37</v>
      </c>
      <c r="H255">
        <v>71.8</v>
      </c>
      <c r="I255">
        <v>2656.6</v>
      </c>
      <c r="J255">
        <v>60.3</v>
      </c>
      <c r="K255">
        <v>1116.3</v>
      </c>
      <c r="L255" t="s">
        <v>33</v>
      </c>
      <c r="M255" t="s">
        <v>25</v>
      </c>
      <c r="N255" t="s">
        <v>98</v>
      </c>
      <c r="O255" s="5">
        <f t="shared" si="3"/>
        <v>0.42019875028231574</v>
      </c>
    </row>
    <row r="256" spans="1:15" x14ac:dyDescent="0.3">
      <c r="A256" t="s">
        <v>626</v>
      </c>
      <c r="B256" t="s">
        <v>627</v>
      </c>
      <c r="C256" t="s">
        <v>613</v>
      </c>
      <c r="D256" t="s">
        <v>123</v>
      </c>
      <c r="E256" t="s">
        <v>63</v>
      </c>
      <c r="F256" t="s">
        <v>47</v>
      </c>
      <c r="G256">
        <v>24</v>
      </c>
      <c r="H256">
        <v>29.11</v>
      </c>
      <c r="I256">
        <v>698.64</v>
      </c>
      <c r="J256">
        <v>53.99</v>
      </c>
      <c r="K256">
        <v>164.65</v>
      </c>
      <c r="L256" t="s">
        <v>48</v>
      </c>
      <c r="M256" t="s">
        <v>41</v>
      </c>
      <c r="N256" t="s">
        <v>76</v>
      </c>
      <c r="O256" s="5">
        <f t="shared" si="3"/>
        <v>0.23567216305965877</v>
      </c>
    </row>
    <row r="257" spans="1:15" x14ac:dyDescent="0.3">
      <c r="A257" t="s">
        <v>628</v>
      </c>
      <c r="B257" t="s">
        <v>629</v>
      </c>
      <c r="C257" t="s">
        <v>630</v>
      </c>
      <c r="D257" t="s">
        <v>127</v>
      </c>
      <c r="E257" t="s">
        <v>67</v>
      </c>
      <c r="F257" t="s">
        <v>68</v>
      </c>
      <c r="G257">
        <v>6</v>
      </c>
      <c r="H257">
        <v>27.91</v>
      </c>
      <c r="I257">
        <v>167.46</v>
      </c>
      <c r="J257">
        <v>10.01</v>
      </c>
      <c r="K257">
        <v>22.45</v>
      </c>
      <c r="L257" t="s">
        <v>24</v>
      </c>
      <c r="M257" t="s">
        <v>25</v>
      </c>
      <c r="N257" t="s">
        <v>76</v>
      </c>
      <c r="O257" s="5">
        <f t="shared" si="3"/>
        <v>0.1340618655201242</v>
      </c>
    </row>
    <row r="258" spans="1:15" x14ac:dyDescent="0.3">
      <c r="A258" t="s">
        <v>631</v>
      </c>
      <c r="B258" t="s">
        <v>602</v>
      </c>
      <c r="C258" t="s">
        <v>44</v>
      </c>
      <c r="D258" t="s">
        <v>51</v>
      </c>
      <c r="E258" t="s">
        <v>67</v>
      </c>
      <c r="F258" t="s">
        <v>68</v>
      </c>
      <c r="G258">
        <v>28</v>
      </c>
      <c r="H258">
        <v>27.29</v>
      </c>
      <c r="I258">
        <v>764.12</v>
      </c>
      <c r="J258">
        <v>25.78</v>
      </c>
      <c r="K258">
        <v>108.34</v>
      </c>
      <c r="L258" t="s">
        <v>48</v>
      </c>
      <c r="M258" t="s">
        <v>25</v>
      </c>
      <c r="N258" t="s">
        <v>76</v>
      </c>
      <c r="O258" s="5">
        <f t="shared" si="3"/>
        <v>0.1417840129822541</v>
      </c>
    </row>
    <row r="259" spans="1:15" x14ac:dyDescent="0.3">
      <c r="A259" t="s">
        <v>632</v>
      </c>
      <c r="B259" t="s">
        <v>633</v>
      </c>
      <c r="C259" t="s">
        <v>505</v>
      </c>
      <c r="D259" t="s">
        <v>62</v>
      </c>
      <c r="E259" t="s">
        <v>67</v>
      </c>
      <c r="F259" t="s">
        <v>68</v>
      </c>
      <c r="G259">
        <v>47</v>
      </c>
      <c r="H259">
        <v>35.880000000000003</v>
      </c>
      <c r="I259">
        <v>1686.36</v>
      </c>
      <c r="J259">
        <v>70.3</v>
      </c>
      <c r="K259">
        <v>558.55999999999995</v>
      </c>
      <c r="L259" t="s">
        <v>24</v>
      </c>
      <c r="M259" t="s">
        <v>34</v>
      </c>
      <c r="N259" t="s">
        <v>98</v>
      </c>
      <c r="O259" s="5">
        <f t="shared" si="3"/>
        <v>0.33122227756825351</v>
      </c>
    </row>
    <row r="260" spans="1:15" x14ac:dyDescent="0.3">
      <c r="A260" t="s">
        <v>634</v>
      </c>
      <c r="B260" t="s">
        <v>617</v>
      </c>
      <c r="C260" t="s">
        <v>317</v>
      </c>
      <c r="D260" t="s">
        <v>171</v>
      </c>
      <c r="E260" t="s">
        <v>81</v>
      </c>
      <c r="F260" t="s">
        <v>68</v>
      </c>
      <c r="G260">
        <v>19</v>
      </c>
      <c r="H260">
        <v>27.47</v>
      </c>
      <c r="I260">
        <v>521.92999999999995</v>
      </c>
      <c r="J260">
        <v>31.29</v>
      </c>
      <c r="K260">
        <v>196.14</v>
      </c>
      <c r="L260" t="s">
        <v>33</v>
      </c>
      <c r="M260" t="s">
        <v>41</v>
      </c>
      <c r="N260" t="s">
        <v>35</v>
      </c>
      <c r="O260" s="5">
        <f t="shared" si="3"/>
        <v>0.37579752074032918</v>
      </c>
    </row>
    <row r="261" spans="1:15" x14ac:dyDescent="0.3">
      <c r="A261" t="s">
        <v>635</v>
      </c>
      <c r="B261" t="s">
        <v>294</v>
      </c>
      <c r="C261" t="s">
        <v>216</v>
      </c>
      <c r="D261" t="s">
        <v>206</v>
      </c>
      <c r="E261" t="s">
        <v>63</v>
      </c>
      <c r="F261" t="s">
        <v>47</v>
      </c>
      <c r="G261">
        <v>13</v>
      </c>
      <c r="H261">
        <v>29.26</v>
      </c>
      <c r="I261">
        <v>380.38</v>
      </c>
      <c r="J261">
        <v>9.4700000000000006</v>
      </c>
      <c r="K261">
        <v>110.91</v>
      </c>
      <c r="L261" t="s">
        <v>33</v>
      </c>
      <c r="M261" t="s">
        <v>41</v>
      </c>
      <c r="N261" t="s">
        <v>207</v>
      </c>
      <c r="O261" s="5">
        <f t="shared" si="3"/>
        <v>0.29157684420842317</v>
      </c>
    </row>
    <row r="262" spans="1:15" x14ac:dyDescent="0.3">
      <c r="A262" t="s">
        <v>636</v>
      </c>
      <c r="B262" t="s">
        <v>598</v>
      </c>
      <c r="C262" t="s">
        <v>485</v>
      </c>
      <c r="D262" t="s">
        <v>241</v>
      </c>
      <c r="E262" t="s">
        <v>32</v>
      </c>
      <c r="F262" t="s">
        <v>23</v>
      </c>
      <c r="G262">
        <v>4</v>
      </c>
      <c r="H262">
        <v>26.17</v>
      </c>
      <c r="I262">
        <v>104.68</v>
      </c>
      <c r="J262">
        <v>6.33</v>
      </c>
      <c r="K262">
        <v>26.35</v>
      </c>
      <c r="L262" t="s">
        <v>24</v>
      </c>
      <c r="M262" t="s">
        <v>34</v>
      </c>
      <c r="N262" t="s">
        <v>35</v>
      </c>
      <c r="O262" s="5">
        <f t="shared" si="3"/>
        <v>0.25171952617500953</v>
      </c>
    </row>
    <row r="263" spans="1:15" x14ac:dyDescent="0.3">
      <c r="A263" t="s">
        <v>637</v>
      </c>
      <c r="B263" t="s">
        <v>638</v>
      </c>
      <c r="C263" t="s">
        <v>266</v>
      </c>
      <c r="D263" t="s">
        <v>241</v>
      </c>
      <c r="E263" t="s">
        <v>67</v>
      </c>
      <c r="F263" t="s">
        <v>68</v>
      </c>
      <c r="G263">
        <v>43</v>
      </c>
      <c r="H263">
        <v>37.32</v>
      </c>
      <c r="I263">
        <v>1604.76</v>
      </c>
      <c r="J263">
        <v>61.01</v>
      </c>
      <c r="K263">
        <v>576.25</v>
      </c>
      <c r="L263" t="s">
        <v>24</v>
      </c>
      <c r="M263" t="s">
        <v>34</v>
      </c>
      <c r="N263" t="s">
        <v>35</v>
      </c>
      <c r="O263" s="5">
        <f t="shared" ref="O263:O326" si="4">K263/I263</f>
        <v>0.35908796330915527</v>
      </c>
    </row>
    <row r="264" spans="1:15" x14ac:dyDescent="0.3">
      <c r="A264" t="s">
        <v>639</v>
      </c>
      <c r="B264" t="s">
        <v>640</v>
      </c>
      <c r="C264" t="s">
        <v>465</v>
      </c>
      <c r="D264" t="s">
        <v>141</v>
      </c>
      <c r="E264" t="s">
        <v>32</v>
      </c>
      <c r="F264" t="s">
        <v>23</v>
      </c>
      <c r="G264">
        <v>27</v>
      </c>
      <c r="H264">
        <v>23.05</v>
      </c>
      <c r="I264">
        <v>622.35</v>
      </c>
      <c r="J264">
        <v>20.440000000000001</v>
      </c>
      <c r="K264">
        <v>115.91</v>
      </c>
      <c r="L264" t="s">
        <v>48</v>
      </c>
      <c r="M264" t="s">
        <v>34</v>
      </c>
      <c r="N264" t="s">
        <v>142</v>
      </c>
      <c r="O264" s="5">
        <f t="shared" si="4"/>
        <v>0.18624568169036715</v>
      </c>
    </row>
    <row r="265" spans="1:15" x14ac:dyDescent="0.3">
      <c r="A265" t="s">
        <v>641</v>
      </c>
      <c r="B265" t="s">
        <v>642</v>
      </c>
      <c r="C265" t="s">
        <v>643</v>
      </c>
      <c r="D265" t="s">
        <v>127</v>
      </c>
      <c r="E265" t="s">
        <v>86</v>
      </c>
      <c r="F265" t="s">
        <v>47</v>
      </c>
      <c r="G265">
        <v>38</v>
      </c>
      <c r="H265">
        <v>19.02</v>
      </c>
      <c r="I265">
        <v>722.76</v>
      </c>
      <c r="J265">
        <v>14.63</v>
      </c>
      <c r="K265">
        <v>223.63</v>
      </c>
      <c r="L265" t="s">
        <v>33</v>
      </c>
      <c r="M265" t="s">
        <v>34</v>
      </c>
      <c r="N265" t="s">
        <v>76</v>
      </c>
      <c r="O265" s="5">
        <f t="shared" si="4"/>
        <v>0.30941114616193482</v>
      </c>
    </row>
    <row r="266" spans="1:15" x14ac:dyDescent="0.3">
      <c r="A266" t="s">
        <v>644</v>
      </c>
      <c r="B266" t="s">
        <v>645</v>
      </c>
      <c r="C266" t="s">
        <v>646</v>
      </c>
      <c r="D266" t="s">
        <v>55</v>
      </c>
      <c r="E266" t="s">
        <v>56</v>
      </c>
      <c r="F266" t="s">
        <v>57</v>
      </c>
      <c r="G266">
        <v>10</v>
      </c>
      <c r="H266">
        <v>70.94</v>
      </c>
      <c r="I266">
        <v>709.4</v>
      </c>
      <c r="J266">
        <v>18.64</v>
      </c>
      <c r="K266">
        <v>290.76</v>
      </c>
      <c r="L266" t="s">
        <v>33</v>
      </c>
      <c r="M266" t="s">
        <v>41</v>
      </c>
      <c r="N266" t="s">
        <v>98</v>
      </c>
      <c r="O266" s="5">
        <f t="shared" si="4"/>
        <v>0.40986749365661124</v>
      </c>
    </row>
    <row r="267" spans="1:15" x14ac:dyDescent="0.3">
      <c r="A267" t="s">
        <v>647</v>
      </c>
      <c r="B267" t="s">
        <v>648</v>
      </c>
      <c r="C267" t="s">
        <v>442</v>
      </c>
      <c r="D267" t="s">
        <v>116</v>
      </c>
      <c r="E267" t="s">
        <v>74</v>
      </c>
      <c r="F267" t="s">
        <v>75</v>
      </c>
      <c r="G267">
        <v>17</v>
      </c>
      <c r="H267">
        <v>38.28</v>
      </c>
      <c r="I267">
        <v>650.76</v>
      </c>
      <c r="J267">
        <v>38.43</v>
      </c>
      <c r="K267">
        <v>187.33</v>
      </c>
      <c r="L267" t="s">
        <v>33</v>
      </c>
      <c r="M267" t="s">
        <v>41</v>
      </c>
      <c r="N267" t="s">
        <v>76</v>
      </c>
      <c r="O267" s="5">
        <f t="shared" si="4"/>
        <v>0.28786342123056119</v>
      </c>
    </row>
    <row r="268" spans="1:15" x14ac:dyDescent="0.3">
      <c r="A268" t="s">
        <v>649</v>
      </c>
      <c r="B268" t="s">
        <v>650</v>
      </c>
      <c r="C268" t="s">
        <v>574</v>
      </c>
      <c r="D268" t="s">
        <v>21</v>
      </c>
      <c r="E268" t="s">
        <v>46</v>
      </c>
      <c r="F268" t="s">
        <v>47</v>
      </c>
      <c r="G268">
        <v>10</v>
      </c>
      <c r="H268">
        <v>38.799999999999997</v>
      </c>
      <c r="I268">
        <v>388</v>
      </c>
      <c r="J268">
        <v>16.39</v>
      </c>
      <c r="K268">
        <v>51.61</v>
      </c>
      <c r="L268" t="s">
        <v>48</v>
      </c>
      <c r="M268" t="s">
        <v>34</v>
      </c>
      <c r="N268" t="s">
        <v>98</v>
      </c>
      <c r="O268" s="5">
        <f t="shared" si="4"/>
        <v>0.13301546391752578</v>
      </c>
    </row>
    <row r="269" spans="1:15" x14ac:dyDescent="0.3">
      <c r="A269" t="s">
        <v>651</v>
      </c>
      <c r="B269" t="s">
        <v>652</v>
      </c>
      <c r="C269" t="s">
        <v>266</v>
      </c>
      <c r="D269" t="s">
        <v>51</v>
      </c>
      <c r="E269" t="s">
        <v>74</v>
      </c>
      <c r="F269" t="s">
        <v>75</v>
      </c>
      <c r="G269">
        <v>3</v>
      </c>
      <c r="H269">
        <v>33.840000000000003</v>
      </c>
      <c r="I269">
        <v>101.52</v>
      </c>
      <c r="J269">
        <v>2.3199999999999998</v>
      </c>
      <c r="K269">
        <v>24.2</v>
      </c>
      <c r="L269" t="s">
        <v>48</v>
      </c>
      <c r="M269" t="s">
        <v>41</v>
      </c>
      <c r="N269" t="s">
        <v>76</v>
      </c>
      <c r="O269" s="5">
        <f t="shared" si="4"/>
        <v>0.23837667454688732</v>
      </c>
    </row>
    <row r="270" spans="1:15" x14ac:dyDescent="0.3">
      <c r="A270" t="s">
        <v>653</v>
      </c>
      <c r="B270" t="s">
        <v>654</v>
      </c>
      <c r="C270" t="s">
        <v>317</v>
      </c>
      <c r="D270" t="s">
        <v>241</v>
      </c>
      <c r="E270" t="s">
        <v>81</v>
      </c>
      <c r="F270" t="s">
        <v>68</v>
      </c>
      <c r="G270">
        <v>20</v>
      </c>
      <c r="H270">
        <v>21.12</v>
      </c>
      <c r="I270">
        <v>422.4</v>
      </c>
      <c r="J270">
        <v>22.08</v>
      </c>
      <c r="K270">
        <v>90.32</v>
      </c>
      <c r="L270" t="s">
        <v>33</v>
      </c>
      <c r="M270" t="s">
        <v>41</v>
      </c>
      <c r="N270" t="s">
        <v>35</v>
      </c>
      <c r="O270" s="5">
        <f t="shared" si="4"/>
        <v>0.21382575757575756</v>
      </c>
    </row>
    <row r="271" spans="1:15" x14ac:dyDescent="0.3">
      <c r="A271" t="s">
        <v>655</v>
      </c>
      <c r="B271" t="s">
        <v>656</v>
      </c>
      <c r="C271" t="s">
        <v>440</v>
      </c>
      <c r="D271" t="s">
        <v>141</v>
      </c>
      <c r="E271" t="s">
        <v>22</v>
      </c>
      <c r="F271" t="s">
        <v>23</v>
      </c>
      <c r="G271">
        <v>1</v>
      </c>
      <c r="H271">
        <v>58.15</v>
      </c>
      <c r="I271">
        <v>58.15</v>
      </c>
      <c r="J271">
        <v>4.2</v>
      </c>
      <c r="K271">
        <v>18.95</v>
      </c>
      <c r="L271" t="s">
        <v>33</v>
      </c>
      <c r="M271" t="s">
        <v>34</v>
      </c>
      <c r="N271" t="s">
        <v>142</v>
      </c>
      <c r="O271" s="5">
        <f t="shared" si="4"/>
        <v>0.32588134135855545</v>
      </c>
    </row>
    <row r="272" spans="1:15" x14ac:dyDescent="0.3">
      <c r="A272" t="s">
        <v>657</v>
      </c>
      <c r="B272" t="s">
        <v>658</v>
      </c>
      <c r="C272" t="s">
        <v>157</v>
      </c>
      <c r="D272" t="s">
        <v>45</v>
      </c>
      <c r="E272" t="s">
        <v>46</v>
      </c>
      <c r="F272" t="s">
        <v>47</v>
      </c>
      <c r="G272">
        <v>32</v>
      </c>
      <c r="H272">
        <v>45.96</v>
      </c>
      <c r="I272">
        <v>1470.72</v>
      </c>
      <c r="J272">
        <v>82.77</v>
      </c>
      <c r="K272">
        <v>363.95</v>
      </c>
      <c r="L272" t="s">
        <v>24</v>
      </c>
      <c r="M272" t="s">
        <v>34</v>
      </c>
      <c r="N272" t="s">
        <v>49</v>
      </c>
      <c r="O272" s="5">
        <f t="shared" si="4"/>
        <v>0.24746382724107918</v>
      </c>
    </row>
    <row r="273" spans="1:15" x14ac:dyDescent="0.3">
      <c r="A273" t="s">
        <v>659</v>
      </c>
      <c r="B273" t="s">
        <v>660</v>
      </c>
      <c r="C273" t="s">
        <v>471</v>
      </c>
      <c r="D273" t="s">
        <v>37</v>
      </c>
      <c r="E273" t="s">
        <v>86</v>
      </c>
      <c r="F273" t="s">
        <v>47</v>
      </c>
      <c r="G273">
        <v>37</v>
      </c>
      <c r="H273">
        <v>16.82</v>
      </c>
      <c r="I273">
        <v>622.34</v>
      </c>
      <c r="J273">
        <v>32.9</v>
      </c>
      <c r="K273">
        <v>117.69</v>
      </c>
      <c r="L273" t="s">
        <v>48</v>
      </c>
      <c r="M273" t="s">
        <v>34</v>
      </c>
      <c r="N273" t="s">
        <v>35</v>
      </c>
      <c r="O273" s="5">
        <f t="shared" si="4"/>
        <v>0.18910884725391264</v>
      </c>
    </row>
    <row r="274" spans="1:15" x14ac:dyDescent="0.3">
      <c r="A274" t="s">
        <v>661</v>
      </c>
      <c r="B274" t="s">
        <v>662</v>
      </c>
      <c r="C274" t="s">
        <v>66</v>
      </c>
      <c r="D274" t="s">
        <v>37</v>
      </c>
      <c r="E274" t="s">
        <v>46</v>
      </c>
      <c r="F274" t="s">
        <v>47</v>
      </c>
      <c r="G274">
        <v>18</v>
      </c>
      <c r="H274">
        <v>54.62</v>
      </c>
      <c r="I274">
        <v>983.16</v>
      </c>
      <c r="J274">
        <v>22.61</v>
      </c>
      <c r="K274">
        <v>384.55</v>
      </c>
      <c r="L274" t="s">
        <v>48</v>
      </c>
      <c r="M274" t="s">
        <v>34</v>
      </c>
      <c r="N274" t="s">
        <v>35</v>
      </c>
      <c r="O274" s="5">
        <f t="shared" si="4"/>
        <v>0.39113674274787424</v>
      </c>
    </row>
    <row r="275" spans="1:15" x14ac:dyDescent="0.3">
      <c r="A275" t="s">
        <v>663</v>
      </c>
      <c r="B275" t="s">
        <v>664</v>
      </c>
      <c r="C275" t="s">
        <v>170</v>
      </c>
      <c r="D275" t="s">
        <v>37</v>
      </c>
      <c r="E275" t="s">
        <v>86</v>
      </c>
      <c r="F275" t="s">
        <v>47</v>
      </c>
      <c r="G275">
        <v>30</v>
      </c>
      <c r="H275">
        <v>22.83</v>
      </c>
      <c r="I275">
        <v>684.9</v>
      </c>
      <c r="J275">
        <v>32.31</v>
      </c>
      <c r="K275">
        <v>270.08999999999997</v>
      </c>
      <c r="L275" t="s">
        <v>24</v>
      </c>
      <c r="M275" t="s">
        <v>34</v>
      </c>
      <c r="N275" t="s">
        <v>35</v>
      </c>
      <c r="O275" s="5">
        <f t="shared" si="4"/>
        <v>0.3943495400788436</v>
      </c>
    </row>
    <row r="276" spans="1:15" x14ac:dyDescent="0.3">
      <c r="A276" t="s">
        <v>665</v>
      </c>
      <c r="B276" t="s">
        <v>388</v>
      </c>
      <c r="C276" t="s">
        <v>666</v>
      </c>
      <c r="D276" t="s">
        <v>171</v>
      </c>
      <c r="E276" t="s">
        <v>46</v>
      </c>
      <c r="F276" t="s">
        <v>47</v>
      </c>
      <c r="G276">
        <v>39</v>
      </c>
      <c r="H276">
        <v>47.02</v>
      </c>
      <c r="I276">
        <v>1833.78</v>
      </c>
      <c r="J276">
        <v>50.01</v>
      </c>
      <c r="K276">
        <v>535.77</v>
      </c>
      <c r="L276" t="s">
        <v>48</v>
      </c>
      <c r="M276" t="s">
        <v>34</v>
      </c>
      <c r="N276" t="s">
        <v>35</v>
      </c>
      <c r="O276" s="5">
        <f t="shared" si="4"/>
        <v>0.29216699931289469</v>
      </c>
    </row>
    <row r="277" spans="1:15" x14ac:dyDescent="0.3">
      <c r="A277" t="s">
        <v>667</v>
      </c>
      <c r="B277" t="s">
        <v>668</v>
      </c>
      <c r="C277" t="s">
        <v>145</v>
      </c>
      <c r="D277" t="s">
        <v>21</v>
      </c>
      <c r="E277" t="s">
        <v>137</v>
      </c>
      <c r="F277" t="s">
        <v>68</v>
      </c>
      <c r="G277">
        <v>22</v>
      </c>
      <c r="H277">
        <v>43.32</v>
      </c>
      <c r="I277">
        <v>953.04</v>
      </c>
      <c r="J277">
        <v>71.3</v>
      </c>
      <c r="K277">
        <v>265.74</v>
      </c>
      <c r="L277" t="s">
        <v>33</v>
      </c>
      <c r="M277" t="s">
        <v>41</v>
      </c>
      <c r="N277" t="s">
        <v>98</v>
      </c>
      <c r="O277" s="5">
        <f t="shared" si="4"/>
        <v>0.27883404683958701</v>
      </c>
    </row>
    <row r="278" spans="1:15" x14ac:dyDescent="0.3">
      <c r="A278" t="s">
        <v>669</v>
      </c>
      <c r="B278" t="s">
        <v>670</v>
      </c>
      <c r="C278" t="s">
        <v>475</v>
      </c>
      <c r="D278" t="s">
        <v>127</v>
      </c>
      <c r="E278" t="s">
        <v>67</v>
      </c>
      <c r="F278" t="s">
        <v>68</v>
      </c>
      <c r="G278">
        <v>6</v>
      </c>
      <c r="H278">
        <v>31.69</v>
      </c>
      <c r="I278">
        <v>190.14</v>
      </c>
      <c r="J278">
        <v>12.52</v>
      </c>
      <c r="K278">
        <v>42.62</v>
      </c>
      <c r="L278" t="s">
        <v>48</v>
      </c>
      <c r="M278" t="s">
        <v>34</v>
      </c>
      <c r="N278" t="s">
        <v>76</v>
      </c>
      <c r="O278" s="5">
        <f t="shared" si="4"/>
        <v>0.22415062585463344</v>
      </c>
    </row>
    <row r="279" spans="1:15" x14ac:dyDescent="0.3">
      <c r="A279" t="s">
        <v>671</v>
      </c>
      <c r="B279" t="s">
        <v>672</v>
      </c>
      <c r="C279" t="s">
        <v>317</v>
      </c>
      <c r="D279" t="s">
        <v>241</v>
      </c>
      <c r="E279" t="s">
        <v>22</v>
      </c>
      <c r="F279" t="s">
        <v>23</v>
      </c>
      <c r="G279">
        <v>19</v>
      </c>
      <c r="H279">
        <v>53.28</v>
      </c>
      <c r="I279">
        <v>1012.32</v>
      </c>
      <c r="J279">
        <v>27.24</v>
      </c>
      <c r="K279">
        <v>320.08</v>
      </c>
      <c r="L279" t="s">
        <v>48</v>
      </c>
      <c r="M279" t="s">
        <v>34</v>
      </c>
      <c r="N279" t="s">
        <v>35</v>
      </c>
      <c r="O279" s="5">
        <f t="shared" si="4"/>
        <v>0.31618460565828982</v>
      </c>
    </row>
    <row r="280" spans="1:15" x14ac:dyDescent="0.3">
      <c r="A280" t="s">
        <v>673</v>
      </c>
      <c r="B280" t="s">
        <v>530</v>
      </c>
      <c r="C280" t="s">
        <v>246</v>
      </c>
      <c r="D280" t="s">
        <v>21</v>
      </c>
      <c r="E280" t="s">
        <v>22</v>
      </c>
      <c r="F280" t="s">
        <v>23</v>
      </c>
      <c r="G280">
        <v>47</v>
      </c>
      <c r="H280">
        <v>47.53</v>
      </c>
      <c r="I280">
        <v>2233.91</v>
      </c>
      <c r="J280">
        <v>128.91</v>
      </c>
      <c r="K280">
        <v>460</v>
      </c>
      <c r="L280" t="s">
        <v>33</v>
      </c>
      <c r="M280" t="s">
        <v>25</v>
      </c>
      <c r="N280" t="s">
        <v>98</v>
      </c>
      <c r="O280" s="5">
        <f t="shared" si="4"/>
        <v>0.20591697964555422</v>
      </c>
    </row>
    <row r="281" spans="1:15" x14ac:dyDescent="0.3">
      <c r="A281" t="s">
        <v>674</v>
      </c>
      <c r="B281" t="s">
        <v>675</v>
      </c>
      <c r="C281" t="s">
        <v>455</v>
      </c>
      <c r="D281" t="s">
        <v>116</v>
      </c>
      <c r="E281" t="s">
        <v>63</v>
      </c>
      <c r="F281" t="s">
        <v>47</v>
      </c>
      <c r="G281">
        <v>12</v>
      </c>
      <c r="H281">
        <v>24.02</v>
      </c>
      <c r="I281">
        <v>288.24</v>
      </c>
      <c r="J281">
        <v>9.8000000000000007</v>
      </c>
      <c r="K281">
        <v>38.44</v>
      </c>
      <c r="L281" t="s">
        <v>24</v>
      </c>
      <c r="M281" t="s">
        <v>41</v>
      </c>
      <c r="N281" t="s">
        <v>76</v>
      </c>
      <c r="O281" s="5">
        <f t="shared" si="4"/>
        <v>0.133361087982237</v>
      </c>
    </row>
    <row r="282" spans="1:15" x14ac:dyDescent="0.3">
      <c r="A282" t="s">
        <v>676</v>
      </c>
      <c r="B282" t="s">
        <v>577</v>
      </c>
      <c r="C282" t="s">
        <v>574</v>
      </c>
      <c r="D282" t="s">
        <v>116</v>
      </c>
      <c r="E282" t="s">
        <v>86</v>
      </c>
      <c r="F282" t="s">
        <v>47</v>
      </c>
      <c r="G282">
        <v>32</v>
      </c>
      <c r="H282">
        <v>15.64</v>
      </c>
      <c r="I282">
        <v>500.48</v>
      </c>
      <c r="J282">
        <v>24.69</v>
      </c>
      <c r="K282">
        <v>67.790000000000006</v>
      </c>
      <c r="L282" t="s">
        <v>48</v>
      </c>
      <c r="M282" t="s">
        <v>25</v>
      </c>
      <c r="N282" t="s">
        <v>76</v>
      </c>
      <c r="O282" s="5">
        <f t="shared" si="4"/>
        <v>0.13544996803069054</v>
      </c>
    </row>
    <row r="283" spans="1:15" x14ac:dyDescent="0.3">
      <c r="A283" t="s">
        <v>677</v>
      </c>
      <c r="B283" t="s">
        <v>495</v>
      </c>
      <c r="C283" t="s">
        <v>381</v>
      </c>
      <c r="D283" t="s">
        <v>206</v>
      </c>
      <c r="E283" t="s">
        <v>46</v>
      </c>
      <c r="F283" t="s">
        <v>47</v>
      </c>
      <c r="G283">
        <v>22</v>
      </c>
      <c r="H283">
        <v>42.54</v>
      </c>
      <c r="I283">
        <v>935.88</v>
      </c>
      <c r="J283">
        <v>45.37</v>
      </c>
      <c r="K283">
        <v>186.51</v>
      </c>
      <c r="L283" t="s">
        <v>24</v>
      </c>
      <c r="M283" t="s">
        <v>41</v>
      </c>
      <c r="N283" t="s">
        <v>207</v>
      </c>
      <c r="O283" s="5">
        <f t="shared" si="4"/>
        <v>0.1992883703038851</v>
      </c>
    </row>
    <row r="284" spans="1:15" x14ac:dyDescent="0.3">
      <c r="A284" t="s">
        <v>678</v>
      </c>
      <c r="B284" t="s">
        <v>679</v>
      </c>
      <c r="C284" t="s">
        <v>499</v>
      </c>
      <c r="D284" t="s">
        <v>70</v>
      </c>
      <c r="E284" t="s">
        <v>74</v>
      </c>
      <c r="F284" t="s">
        <v>75</v>
      </c>
      <c r="G284">
        <v>37</v>
      </c>
      <c r="H284">
        <v>43.55</v>
      </c>
      <c r="I284">
        <v>1611.35</v>
      </c>
      <c r="J284">
        <v>67.78</v>
      </c>
      <c r="K284">
        <v>618.57000000000005</v>
      </c>
      <c r="L284" t="s">
        <v>33</v>
      </c>
      <c r="M284" t="s">
        <v>34</v>
      </c>
      <c r="N284" t="s">
        <v>76</v>
      </c>
      <c r="O284" s="5">
        <f t="shared" si="4"/>
        <v>0.38388307940546751</v>
      </c>
    </row>
    <row r="285" spans="1:15" x14ac:dyDescent="0.3">
      <c r="A285" t="s">
        <v>680</v>
      </c>
      <c r="B285" t="s">
        <v>349</v>
      </c>
      <c r="C285" t="s">
        <v>182</v>
      </c>
      <c r="D285" t="s">
        <v>45</v>
      </c>
      <c r="E285" t="s">
        <v>81</v>
      </c>
      <c r="F285" t="s">
        <v>68</v>
      </c>
      <c r="G285">
        <v>42</v>
      </c>
      <c r="H285">
        <v>20.260000000000002</v>
      </c>
      <c r="I285">
        <v>850.92</v>
      </c>
      <c r="J285">
        <v>22.43</v>
      </c>
      <c r="K285">
        <v>177.49</v>
      </c>
      <c r="L285" t="s">
        <v>48</v>
      </c>
      <c r="M285" t="s">
        <v>41</v>
      </c>
      <c r="N285" t="s">
        <v>49</v>
      </c>
      <c r="O285" s="5">
        <f t="shared" si="4"/>
        <v>0.20858600103417479</v>
      </c>
    </row>
    <row r="286" spans="1:15" x14ac:dyDescent="0.3">
      <c r="A286" t="s">
        <v>681</v>
      </c>
      <c r="B286" t="s">
        <v>682</v>
      </c>
      <c r="C286" t="s">
        <v>113</v>
      </c>
      <c r="D286" t="s">
        <v>55</v>
      </c>
      <c r="E286" t="s">
        <v>32</v>
      </c>
      <c r="F286" t="s">
        <v>23</v>
      </c>
      <c r="G286">
        <v>43</v>
      </c>
      <c r="H286">
        <v>24.08</v>
      </c>
      <c r="I286">
        <v>1035.44</v>
      </c>
      <c r="J286">
        <v>35.07</v>
      </c>
      <c r="K286">
        <v>226.37</v>
      </c>
      <c r="L286" t="s">
        <v>33</v>
      </c>
      <c r="M286" t="s">
        <v>41</v>
      </c>
      <c r="N286" t="s">
        <v>98</v>
      </c>
      <c r="O286" s="5">
        <f t="shared" si="4"/>
        <v>0.21862203507687553</v>
      </c>
    </row>
    <row r="287" spans="1:15" x14ac:dyDescent="0.3">
      <c r="A287" t="s">
        <v>683</v>
      </c>
      <c r="B287" t="s">
        <v>366</v>
      </c>
      <c r="C287" t="s">
        <v>471</v>
      </c>
      <c r="D287" t="s">
        <v>241</v>
      </c>
      <c r="E287" t="s">
        <v>56</v>
      </c>
      <c r="F287" t="s">
        <v>57</v>
      </c>
      <c r="G287">
        <v>14</v>
      </c>
      <c r="H287">
        <v>69.010000000000005</v>
      </c>
      <c r="I287">
        <v>966.14</v>
      </c>
      <c r="J287">
        <v>32.67</v>
      </c>
      <c r="K287">
        <v>373.47</v>
      </c>
      <c r="L287" t="s">
        <v>33</v>
      </c>
      <c r="M287" t="s">
        <v>25</v>
      </c>
      <c r="N287" t="s">
        <v>35</v>
      </c>
      <c r="O287" s="5">
        <f t="shared" si="4"/>
        <v>0.38655888380565967</v>
      </c>
    </row>
    <row r="288" spans="1:15" x14ac:dyDescent="0.3">
      <c r="A288" t="s">
        <v>684</v>
      </c>
      <c r="B288" t="s">
        <v>435</v>
      </c>
      <c r="C288" t="s">
        <v>188</v>
      </c>
      <c r="D288" t="s">
        <v>206</v>
      </c>
      <c r="E288" t="s">
        <v>63</v>
      </c>
      <c r="F288" t="s">
        <v>47</v>
      </c>
      <c r="G288">
        <v>29</v>
      </c>
      <c r="H288">
        <v>28.29</v>
      </c>
      <c r="I288">
        <v>820.41</v>
      </c>
      <c r="J288">
        <v>63.15</v>
      </c>
      <c r="K288">
        <v>177.26</v>
      </c>
      <c r="L288" t="s">
        <v>48</v>
      </c>
      <c r="M288" t="s">
        <v>41</v>
      </c>
      <c r="N288" t="s">
        <v>207</v>
      </c>
      <c r="O288" s="5">
        <f t="shared" si="4"/>
        <v>0.21606270035713851</v>
      </c>
    </row>
    <row r="289" spans="1:15" x14ac:dyDescent="0.3">
      <c r="A289" t="s">
        <v>685</v>
      </c>
      <c r="B289" t="s">
        <v>686</v>
      </c>
      <c r="C289" t="s">
        <v>352</v>
      </c>
      <c r="D289" t="s">
        <v>62</v>
      </c>
      <c r="E289" t="s">
        <v>81</v>
      </c>
      <c r="F289" t="s">
        <v>68</v>
      </c>
      <c r="G289">
        <v>29</v>
      </c>
      <c r="H289">
        <v>26.51</v>
      </c>
      <c r="I289">
        <v>768.79</v>
      </c>
      <c r="J289">
        <v>15.66</v>
      </c>
      <c r="K289">
        <v>303.63</v>
      </c>
      <c r="L289" t="s">
        <v>33</v>
      </c>
      <c r="M289" t="s">
        <v>25</v>
      </c>
      <c r="N289" t="s">
        <v>98</v>
      </c>
      <c r="O289" s="5">
        <f t="shared" si="4"/>
        <v>0.3949453036589966</v>
      </c>
    </row>
    <row r="290" spans="1:15" x14ac:dyDescent="0.3">
      <c r="A290" t="s">
        <v>687</v>
      </c>
      <c r="B290" t="s">
        <v>688</v>
      </c>
      <c r="C290" t="s">
        <v>194</v>
      </c>
      <c r="D290" t="s">
        <v>55</v>
      </c>
      <c r="E290" t="s">
        <v>22</v>
      </c>
      <c r="F290" t="s">
        <v>23</v>
      </c>
      <c r="G290">
        <v>11</v>
      </c>
      <c r="H290">
        <v>58.07</v>
      </c>
      <c r="I290">
        <v>638.77</v>
      </c>
      <c r="J290">
        <v>43.89</v>
      </c>
      <c r="K290">
        <v>209.88</v>
      </c>
      <c r="L290" t="s">
        <v>24</v>
      </c>
      <c r="M290" t="s">
        <v>34</v>
      </c>
      <c r="N290" t="s">
        <v>98</v>
      </c>
      <c r="O290" s="5">
        <f t="shared" si="4"/>
        <v>0.32856896848630962</v>
      </c>
    </row>
    <row r="291" spans="1:15" x14ac:dyDescent="0.3">
      <c r="A291" t="s">
        <v>689</v>
      </c>
      <c r="B291" t="s">
        <v>536</v>
      </c>
      <c r="C291" t="s">
        <v>177</v>
      </c>
      <c r="D291" t="s">
        <v>31</v>
      </c>
      <c r="E291" t="s">
        <v>46</v>
      </c>
      <c r="F291" t="s">
        <v>47</v>
      </c>
      <c r="G291">
        <v>3</v>
      </c>
      <c r="H291">
        <v>48.76</v>
      </c>
      <c r="I291">
        <v>146.28</v>
      </c>
      <c r="J291">
        <v>10.45</v>
      </c>
      <c r="K291">
        <v>39.83</v>
      </c>
      <c r="L291" t="s">
        <v>48</v>
      </c>
      <c r="M291" t="s">
        <v>34</v>
      </c>
      <c r="N291" t="s">
        <v>35</v>
      </c>
      <c r="O291" s="5">
        <f t="shared" si="4"/>
        <v>0.2722860267979218</v>
      </c>
    </row>
    <row r="292" spans="1:15" x14ac:dyDescent="0.3">
      <c r="A292" t="s">
        <v>690</v>
      </c>
      <c r="B292" t="s">
        <v>691</v>
      </c>
      <c r="C292" t="s">
        <v>257</v>
      </c>
      <c r="D292" t="s">
        <v>70</v>
      </c>
      <c r="E292" t="s">
        <v>63</v>
      </c>
      <c r="F292" t="s">
        <v>47</v>
      </c>
      <c r="G292">
        <v>49</v>
      </c>
      <c r="H292">
        <v>30.46</v>
      </c>
      <c r="I292">
        <v>1492.54</v>
      </c>
      <c r="J292">
        <v>51.82</v>
      </c>
      <c r="K292">
        <v>460.72</v>
      </c>
      <c r="L292" t="s">
        <v>33</v>
      </c>
      <c r="M292" t="s">
        <v>25</v>
      </c>
      <c r="N292" t="s">
        <v>76</v>
      </c>
      <c r="O292" s="5">
        <f t="shared" si="4"/>
        <v>0.30868184437268015</v>
      </c>
    </row>
    <row r="293" spans="1:15" x14ac:dyDescent="0.3">
      <c r="A293" t="s">
        <v>692</v>
      </c>
      <c r="B293" t="s">
        <v>131</v>
      </c>
      <c r="C293" t="s">
        <v>40</v>
      </c>
      <c r="D293" t="s">
        <v>51</v>
      </c>
      <c r="E293" t="s">
        <v>137</v>
      </c>
      <c r="F293" t="s">
        <v>68</v>
      </c>
      <c r="G293">
        <v>25</v>
      </c>
      <c r="H293">
        <v>35.21</v>
      </c>
      <c r="I293">
        <v>880.25</v>
      </c>
      <c r="J293">
        <v>39.799999999999997</v>
      </c>
      <c r="K293">
        <v>140.44999999999999</v>
      </c>
      <c r="L293" t="s">
        <v>48</v>
      </c>
      <c r="M293" t="s">
        <v>34</v>
      </c>
      <c r="N293" t="s">
        <v>76</v>
      </c>
      <c r="O293" s="5">
        <f t="shared" si="4"/>
        <v>0.1595569440499858</v>
      </c>
    </row>
    <row r="294" spans="1:15" x14ac:dyDescent="0.3">
      <c r="A294" t="s">
        <v>693</v>
      </c>
      <c r="B294" t="s">
        <v>694</v>
      </c>
      <c r="C294" t="s">
        <v>352</v>
      </c>
      <c r="D294" t="s">
        <v>21</v>
      </c>
      <c r="E294" t="s">
        <v>137</v>
      </c>
      <c r="F294" t="s">
        <v>68</v>
      </c>
      <c r="G294">
        <v>37</v>
      </c>
      <c r="H294">
        <v>44.82</v>
      </c>
      <c r="I294">
        <v>1658.34</v>
      </c>
      <c r="J294">
        <v>65.75</v>
      </c>
      <c r="K294">
        <v>556.59</v>
      </c>
      <c r="L294" t="s">
        <v>33</v>
      </c>
      <c r="M294" t="s">
        <v>34</v>
      </c>
      <c r="N294" t="s">
        <v>98</v>
      </c>
      <c r="O294" s="5">
        <f t="shared" si="4"/>
        <v>0.33563081153442603</v>
      </c>
    </row>
    <row r="295" spans="1:15" x14ac:dyDescent="0.3">
      <c r="A295" t="s">
        <v>695</v>
      </c>
      <c r="B295" t="s">
        <v>696</v>
      </c>
      <c r="C295" t="s">
        <v>485</v>
      </c>
      <c r="D295" t="s">
        <v>241</v>
      </c>
      <c r="E295" t="s">
        <v>81</v>
      </c>
      <c r="F295" t="s">
        <v>68</v>
      </c>
      <c r="G295">
        <v>11</v>
      </c>
      <c r="H295">
        <v>18.75</v>
      </c>
      <c r="I295">
        <v>206.25</v>
      </c>
      <c r="J295">
        <v>11.67</v>
      </c>
      <c r="K295">
        <v>24.08</v>
      </c>
      <c r="L295" t="s">
        <v>24</v>
      </c>
      <c r="M295" t="s">
        <v>25</v>
      </c>
      <c r="N295" t="s">
        <v>35</v>
      </c>
      <c r="O295" s="5">
        <f t="shared" si="4"/>
        <v>0.11675151515151515</v>
      </c>
    </row>
    <row r="296" spans="1:15" x14ac:dyDescent="0.3">
      <c r="A296" t="s">
        <v>697</v>
      </c>
      <c r="B296" t="s">
        <v>488</v>
      </c>
      <c r="C296" t="s">
        <v>352</v>
      </c>
      <c r="D296" t="s">
        <v>45</v>
      </c>
      <c r="E296" t="s">
        <v>63</v>
      </c>
      <c r="F296" t="s">
        <v>47</v>
      </c>
      <c r="G296">
        <v>37</v>
      </c>
      <c r="H296">
        <v>31.66</v>
      </c>
      <c r="I296">
        <v>1171.42</v>
      </c>
      <c r="J296">
        <v>58.95</v>
      </c>
      <c r="K296">
        <v>372.47</v>
      </c>
      <c r="L296" t="s">
        <v>48</v>
      </c>
      <c r="M296" t="s">
        <v>25</v>
      </c>
      <c r="N296" t="s">
        <v>49</v>
      </c>
      <c r="O296" s="5">
        <f t="shared" si="4"/>
        <v>0.31796452169162215</v>
      </c>
    </row>
    <row r="297" spans="1:15" x14ac:dyDescent="0.3">
      <c r="A297" t="s">
        <v>698</v>
      </c>
      <c r="B297" t="s">
        <v>699</v>
      </c>
      <c r="C297" t="s">
        <v>475</v>
      </c>
      <c r="D297" t="s">
        <v>31</v>
      </c>
      <c r="E297" t="s">
        <v>63</v>
      </c>
      <c r="F297" t="s">
        <v>47</v>
      </c>
      <c r="G297">
        <v>17</v>
      </c>
      <c r="H297">
        <v>32.74</v>
      </c>
      <c r="I297">
        <v>556.58000000000004</v>
      </c>
      <c r="J297">
        <v>14.68</v>
      </c>
      <c r="K297">
        <v>201.9</v>
      </c>
      <c r="L297" t="s">
        <v>33</v>
      </c>
      <c r="M297" t="s">
        <v>34</v>
      </c>
      <c r="N297" t="s">
        <v>35</v>
      </c>
      <c r="O297" s="5">
        <f t="shared" si="4"/>
        <v>0.36275108699558012</v>
      </c>
    </row>
    <row r="298" spans="1:15" x14ac:dyDescent="0.3">
      <c r="A298" t="s">
        <v>700</v>
      </c>
      <c r="B298" t="s">
        <v>701</v>
      </c>
      <c r="C298" t="s">
        <v>113</v>
      </c>
      <c r="D298" t="s">
        <v>21</v>
      </c>
      <c r="E298" t="s">
        <v>137</v>
      </c>
      <c r="F298" t="s">
        <v>68</v>
      </c>
      <c r="G298">
        <v>7</v>
      </c>
      <c r="H298">
        <v>46.64</v>
      </c>
      <c r="I298">
        <v>326.48</v>
      </c>
      <c r="J298">
        <v>25.19</v>
      </c>
      <c r="K298">
        <v>105.29</v>
      </c>
      <c r="L298" t="s">
        <v>33</v>
      </c>
      <c r="M298" t="s">
        <v>41</v>
      </c>
      <c r="N298" t="s">
        <v>98</v>
      </c>
      <c r="O298" s="5">
        <f t="shared" si="4"/>
        <v>0.32250061259495222</v>
      </c>
    </row>
    <row r="299" spans="1:15" x14ac:dyDescent="0.3">
      <c r="A299" t="s">
        <v>702</v>
      </c>
      <c r="B299" t="s">
        <v>703</v>
      </c>
      <c r="C299" t="s">
        <v>216</v>
      </c>
      <c r="D299" t="s">
        <v>123</v>
      </c>
      <c r="E299" t="s">
        <v>32</v>
      </c>
      <c r="F299" t="s">
        <v>23</v>
      </c>
      <c r="G299">
        <v>16</v>
      </c>
      <c r="H299">
        <v>24.77</v>
      </c>
      <c r="I299">
        <v>396.32</v>
      </c>
      <c r="J299">
        <v>15.6</v>
      </c>
      <c r="K299">
        <v>92.72</v>
      </c>
      <c r="L299" t="s">
        <v>24</v>
      </c>
      <c r="M299" t="s">
        <v>41</v>
      </c>
      <c r="N299" t="s">
        <v>76</v>
      </c>
      <c r="O299" s="5">
        <f t="shared" si="4"/>
        <v>0.23395236172789666</v>
      </c>
    </row>
    <row r="300" spans="1:15" x14ac:dyDescent="0.3">
      <c r="A300" t="s">
        <v>704</v>
      </c>
      <c r="B300" t="s">
        <v>406</v>
      </c>
      <c r="C300" t="s">
        <v>85</v>
      </c>
      <c r="D300" t="s">
        <v>62</v>
      </c>
      <c r="E300" t="s">
        <v>56</v>
      </c>
      <c r="F300" t="s">
        <v>57</v>
      </c>
      <c r="G300">
        <v>39</v>
      </c>
      <c r="H300">
        <v>56.5</v>
      </c>
      <c r="I300">
        <v>2203.5</v>
      </c>
      <c r="J300">
        <v>141.58000000000001</v>
      </c>
      <c r="K300">
        <v>501.92</v>
      </c>
      <c r="L300" t="s">
        <v>48</v>
      </c>
      <c r="M300" t="s">
        <v>25</v>
      </c>
      <c r="N300" t="s">
        <v>98</v>
      </c>
      <c r="O300" s="5">
        <f t="shared" si="4"/>
        <v>0.2277830723848423</v>
      </c>
    </row>
    <row r="301" spans="1:15" x14ac:dyDescent="0.3">
      <c r="A301" t="s">
        <v>705</v>
      </c>
      <c r="B301" t="s">
        <v>706</v>
      </c>
      <c r="C301" t="s">
        <v>574</v>
      </c>
      <c r="D301" t="s">
        <v>70</v>
      </c>
      <c r="E301" t="s">
        <v>81</v>
      </c>
      <c r="F301" t="s">
        <v>68</v>
      </c>
      <c r="G301">
        <v>1</v>
      </c>
      <c r="H301">
        <v>24.01</v>
      </c>
      <c r="I301">
        <v>24.01</v>
      </c>
      <c r="J301">
        <v>1.58</v>
      </c>
      <c r="K301">
        <v>6.93</v>
      </c>
      <c r="L301" t="s">
        <v>24</v>
      </c>
      <c r="M301" t="s">
        <v>25</v>
      </c>
      <c r="N301" t="s">
        <v>76</v>
      </c>
      <c r="O301" s="5">
        <f t="shared" si="4"/>
        <v>0.28862973760932942</v>
      </c>
    </row>
    <row r="302" spans="1:15" x14ac:dyDescent="0.3">
      <c r="A302" t="s">
        <v>707</v>
      </c>
      <c r="B302" t="s">
        <v>187</v>
      </c>
      <c r="C302" t="s">
        <v>162</v>
      </c>
      <c r="D302" t="s">
        <v>70</v>
      </c>
      <c r="E302" t="s">
        <v>74</v>
      </c>
      <c r="F302" t="s">
        <v>75</v>
      </c>
      <c r="G302">
        <v>45</v>
      </c>
      <c r="H302">
        <v>35.99</v>
      </c>
      <c r="I302">
        <v>1619.55</v>
      </c>
      <c r="J302">
        <v>49.95</v>
      </c>
      <c r="K302">
        <v>444.6</v>
      </c>
      <c r="L302" t="s">
        <v>24</v>
      </c>
      <c r="M302" t="s">
        <v>34</v>
      </c>
      <c r="N302" t="s">
        <v>76</v>
      </c>
      <c r="O302" s="5">
        <f t="shared" si="4"/>
        <v>0.27452070019449848</v>
      </c>
    </row>
    <row r="303" spans="1:15" x14ac:dyDescent="0.3">
      <c r="A303" t="s">
        <v>708</v>
      </c>
      <c r="B303" t="s">
        <v>303</v>
      </c>
      <c r="C303" t="s">
        <v>266</v>
      </c>
      <c r="D303" t="s">
        <v>116</v>
      </c>
      <c r="E303" t="s">
        <v>63</v>
      </c>
      <c r="F303" t="s">
        <v>47</v>
      </c>
      <c r="G303">
        <v>5</v>
      </c>
      <c r="H303">
        <v>25.45</v>
      </c>
      <c r="I303">
        <v>127.25</v>
      </c>
      <c r="J303">
        <v>7.22</v>
      </c>
      <c r="K303">
        <v>20.03</v>
      </c>
      <c r="L303" t="s">
        <v>48</v>
      </c>
      <c r="M303" t="s">
        <v>41</v>
      </c>
      <c r="N303" t="s">
        <v>76</v>
      </c>
      <c r="O303" s="5">
        <f t="shared" si="4"/>
        <v>0.15740667976424363</v>
      </c>
    </row>
    <row r="304" spans="1:15" x14ac:dyDescent="0.3">
      <c r="A304" t="s">
        <v>709</v>
      </c>
      <c r="B304" t="s">
        <v>395</v>
      </c>
      <c r="C304" t="s">
        <v>162</v>
      </c>
      <c r="D304" t="s">
        <v>127</v>
      </c>
      <c r="E304" t="s">
        <v>81</v>
      </c>
      <c r="F304" t="s">
        <v>68</v>
      </c>
      <c r="G304">
        <v>24</v>
      </c>
      <c r="H304">
        <v>19.53</v>
      </c>
      <c r="I304">
        <v>468.72</v>
      </c>
      <c r="J304">
        <v>14.12</v>
      </c>
      <c r="K304">
        <v>82.6</v>
      </c>
      <c r="L304" t="s">
        <v>24</v>
      </c>
      <c r="M304" t="s">
        <v>25</v>
      </c>
      <c r="N304" t="s">
        <v>76</v>
      </c>
      <c r="O304" s="5">
        <f t="shared" si="4"/>
        <v>0.17622461170848266</v>
      </c>
    </row>
    <row r="305" spans="1:15" x14ac:dyDescent="0.3">
      <c r="A305" t="s">
        <v>710</v>
      </c>
      <c r="B305" t="s">
        <v>164</v>
      </c>
      <c r="C305" t="s">
        <v>30</v>
      </c>
      <c r="D305" t="s">
        <v>55</v>
      </c>
      <c r="E305" t="s">
        <v>86</v>
      </c>
      <c r="F305" t="s">
        <v>47</v>
      </c>
      <c r="G305">
        <v>28</v>
      </c>
      <c r="H305">
        <v>22.33</v>
      </c>
      <c r="I305">
        <v>625.24</v>
      </c>
      <c r="J305">
        <v>44.24</v>
      </c>
      <c r="K305">
        <v>224</v>
      </c>
      <c r="L305" t="s">
        <v>24</v>
      </c>
      <c r="M305" t="s">
        <v>25</v>
      </c>
      <c r="N305" t="s">
        <v>98</v>
      </c>
      <c r="O305" s="5">
        <f t="shared" si="4"/>
        <v>0.35826242722794449</v>
      </c>
    </row>
    <row r="306" spans="1:15" x14ac:dyDescent="0.3">
      <c r="A306" t="s">
        <v>711</v>
      </c>
      <c r="B306" t="s">
        <v>712</v>
      </c>
      <c r="C306" t="s">
        <v>148</v>
      </c>
      <c r="D306" t="s">
        <v>37</v>
      </c>
      <c r="E306" t="s">
        <v>46</v>
      </c>
      <c r="F306" t="s">
        <v>47</v>
      </c>
      <c r="G306">
        <v>49</v>
      </c>
      <c r="H306">
        <v>39.31</v>
      </c>
      <c r="I306">
        <v>1926.19</v>
      </c>
      <c r="J306">
        <v>69.7</v>
      </c>
      <c r="K306">
        <v>288.49</v>
      </c>
      <c r="L306" t="s">
        <v>33</v>
      </c>
      <c r="M306" t="s">
        <v>25</v>
      </c>
      <c r="N306" t="s">
        <v>35</v>
      </c>
      <c r="O306" s="5">
        <f t="shared" si="4"/>
        <v>0.14977234852221225</v>
      </c>
    </row>
    <row r="307" spans="1:15" x14ac:dyDescent="0.3">
      <c r="A307" t="s">
        <v>713</v>
      </c>
      <c r="B307" t="s">
        <v>714</v>
      </c>
      <c r="C307" t="s">
        <v>290</v>
      </c>
      <c r="D307" t="s">
        <v>70</v>
      </c>
      <c r="E307" t="s">
        <v>81</v>
      </c>
      <c r="F307" t="s">
        <v>68</v>
      </c>
      <c r="G307">
        <v>6</v>
      </c>
      <c r="H307">
        <v>22.95</v>
      </c>
      <c r="I307">
        <v>137.69999999999999</v>
      </c>
      <c r="J307">
        <v>5.63</v>
      </c>
      <c r="K307">
        <v>39.07</v>
      </c>
      <c r="L307" t="s">
        <v>33</v>
      </c>
      <c r="M307" t="s">
        <v>34</v>
      </c>
      <c r="N307" t="s">
        <v>76</v>
      </c>
      <c r="O307" s="5">
        <f t="shared" si="4"/>
        <v>0.28373275236020334</v>
      </c>
    </row>
    <row r="308" spans="1:15" x14ac:dyDescent="0.3">
      <c r="A308" t="s">
        <v>715</v>
      </c>
      <c r="B308" t="s">
        <v>612</v>
      </c>
      <c r="C308" t="s">
        <v>246</v>
      </c>
      <c r="D308" t="s">
        <v>62</v>
      </c>
      <c r="E308" t="s">
        <v>63</v>
      </c>
      <c r="F308" t="s">
        <v>47</v>
      </c>
      <c r="G308">
        <v>35</v>
      </c>
      <c r="H308">
        <v>27.72</v>
      </c>
      <c r="I308">
        <v>970.2</v>
      </c>
      <c r="J308">
        <v>61.74</v>
      </c>
      <c r="K308">
        <v>208.46</v>
      </c>
      <c r="L308" t="s">
        <v>24</v>
      </c>
      <c r="M308" t="s">
        <v>41</v>
      </c>
      <c r="N308" t="s">
        <v>98</v>
      </c>
      <c r="O308" s="5">
        <f t="shared" si="4"/>
        <v>0.21486291486291487</v>
      </c>
    </row>
    <row r="309" spans="1:15" x14ac:dyDescent="0.3">
      <c r="A309" t="s">
        <v>716</v>
      </c>
      <c r="B309" t="s">
        <v>261</v>
      </c>
      <c r="C309" t="s">
        <v>232</v>
      </c>
      <c r="D309" t="s">
        <v>51</v>
      </c>
      <c r="E309" t="s">
        <v>56</v>
      </c>
      <c r="F309" t="s">
        <v>57</v>
      </c>
      <c r="G309">
        <v>34</v>
      </c>
      <c r="H309">
        <v>64.75</v>
      </c>
      <c r="I309">
        <v>2201.5</v>
      </c>
      <c r="J309">
        <v>68.05</v>
      </c>
      <c r="K309">
        <v>773.45</v>
      </c>
      <c r="L309" t="s">
        <v>48</v>
      </c>
      <c r="M309" t="s">
        <v>41</v>
      </c>
      <c r="N309" t="s">
        <v>76</v>
      </c>
      <c r="O309" s="5">
        <f t="shared" si="4"/>
        <v>0.35132863956393368</v>
      </c>
    </row>
    <row r="310" spans="1:15" x14ac:dyDescent="0.3">
      <c r="A310" t="s">
        <v>717</v>
      </c>
      <c r="B310" t="s">
        <v>718</v>
      </c>
      <c r="C310" t="s">
        <v>191</v>
      </c>
      <c r="D310" t="s">
        <v>206</v>
      </c>
      <c r="E310" t="s">
        <v>63</v>
      </c>
      <c r="F310" t="s">
        <v>47</v>
      </c>
      <c r="G310">
        <v>49</v>
      </c>
      <c r="H310">
        <v>26.02</v>
      </c>
      <c r="I310">
        <v>1274.98</v>
      </c>
      <c r="J310">
        <v>61.84</v>
      </c>
      <c r="K310">
        <v>233.14</v>
      </c>
      <c r="L310" t="s">
        <v>48</v>
      </c>
      <c r="M310" t="s">
        <v>34</v>
      </c>
      <c r="N310" t="s">
        <v>207</v>
      </c>
      <c r="O310" s="5">
        <f t="shared" si="4"/>
        <v>0.18285777031796577</v>
      </c>
    </row>
    <row r="311" spans="1:15" x14ac:dyDescent="0.3">
      <c r="A311" t="s">
        <v>719</v>
      </c>
      <c r="B311" t="s">
        <v>263</v>
      </c>
      <c r="C311" t="s">
        <v>391</v>
      </c>
      <c r="D311" t="s">
        <v>45</v>
      </c>
      <c r="E311" t="s">
        <v>74</v>
      </c>
      <c r="F311" t="s">
        <v>75</v>
      </c>
      <c r="G311">
        <v>1</v>
      </c>
      <c r="H311">
        <v>32.979999999999997</v>
      </c>
      <c r="I311">
        <v>32.979999999999997</v>
      </c>
      <c r="J311">
        <v>1.89</v>
      </c>
      <c r="K311">
        <v>6.09</v>
      </c>
      <c r="L311" t="s">
        <v>48</v>
      </c>
      <c r="M311" t="s">
        <v>34</v>
      </c>
      <c r="N311" t="s">
        <v>49</v>
      </c>
      <c r="O311" s="5">
        <f t="shared" si="4"/>
        <v>0.18465736810187994</v>
      </c>
    </row>
    <row r="312" spans="1:15" x14ac:dyDescent="0.3">
      <c r="A312" t="s">
        <v>720</v>
      </c>
      <c r="B312" t="s">
        <v>294</v>
      </c>
      <c r="C312" t="s">
        <v>499</v>
      </c>
      <c r="D312" t="s">
        <v>45</v>
      </c>
      <c r="E312" t="s">
        <v>86</v>
      </c>
      <c r="F312" t="s">
        <v>47</v>
      </c>
      <c r="G312">
        <v>18</v>
      </c>
      <c r="H312">
        <v>20.09</v>
      </c>
      <c r="I312">
        <v>361.62</v>
      </c>
      <c r="J312">
        <v>8.3800000000000008</v>
      </c>
      <c r="K312">
        <v>123.74</v>
      </c>
      <c r="L312" t="s">
        <v>24</v>
      </c>
      <c r="M312" t="s">
        <v>25</v>
      </c>
      <c r="N312" t="s">
        <v>49</v>
      </c>
      <c r="O312" s="5">
        <f t="shared" si="4"/>
        <v>0.34218240141585088</v>
      </c>
    </row>
    <row r="313" spans="1:15" x14ac:dyDescent="0.3">
      <c r="A313" t="s">
        <v>721</v>
      </c>
      <c r="B313" t="s">
        <v>679</v>
      </c>
      <c r="C313" t="s">
        <v>266</v>
      </c>
      <c r="D313" t="s">
        <v>70</v>
      </c>
      <c r="E313" t="s">
        <v>22</v>
      </c>
      <c r="F313" t="s">
        <v>23</v>
      </c>
      <c r="G313">
        <v>39</v>
      </c>
      <c r="H313">
        <v>49.59</v>
      </c>
      <c r="I313">
        <v>1934.01</v>
      </c>
      <c r="J313">
        <v>62.79</v>
      </c>
      <c r="K313">
        <v>506.22</v>
      </c>
      <c r="L313" t="s">
        <v>33</v>
      </c>
      <c r="M313" t="s">
        <v>34</v>
      </c>
      <c r="N313" t="s">
        <v>76</v>
      </c>
      <c r="O313" s="5">
        <f t="shared" si="4"/>
        <v>0.26174631982254487</v>
      </c>
    </row>
    <row r="314" spans="1:15" x14ac:dyDescent="0.3">
      <c r="A314" t="s">
        <v>722</v>
      </c>
      <c r="B314" t="s">
        <v>723</v>
      </c>
      <c r="C314" t="s">
        <v>462</v>
      </c>
      <c r="D314" t="s">
        <v>55</v>
      </c>
      <c r="E314" t="s">
        <v>46</v>
      </c>
      <c r="F314" t="s">
        <v>47</v>
      </c>
      <c r="G314">
        <v>6</v>
      </c>
      <c r="H314">
        <v>41.99</v>
      </c>
      <c r="I314">
        <v>251.94</v>
      </c>
      <c r="J314">
        <v>10.76</v>
      </c>
      <c r="K314">
        <v>49.18</v>
      </c>
      <c r="L314" t="s">
        <v>24</v>
      </c>
      <c r="M314" t="s">
        <v>25</v>
      </c>
      <c r="N314" t="s">
        <v>98</v>
      </c>
      <c r="O314" s="5">
        <f t="shared" si="4"/>
        <v>0.19520520758910853</v>
      </c>
    </row>
    <row r="315" spans="1:15" x14ac:dyDescent="0.3">
      <c r="A315" t="s">
        <v>724</v>
      </c>
      <c r="B315" t="s">
        <v>243</v>
      </c>
      <c r="C315" t="s">
        <v>113</v>
      </c>
      <c r="D315" t="s">
        <v>116</v>
      </c>
      <c r="E315" t="s">
        <v>22</v>
      </c>
      <c r="F315" t="s">
        <v>23</v>
      </c>
      <c r="G315">
        <v>12</v>
      </c>
      <c r="H315">
        <v>47.4</v>
      </c>
      <c r="I315">
        <v>568.79999999999995</v>
      </c>
      <c r="J315">
        <v>23.31</v>
      </c>
      <c r="K315">
        <v>125.49</v>
      </c>
      <c r="L315" t="s">
        <v>48</v>
      </c>
      <c r="M315" t="s">
        <v>25</v>
      </c>
      <c r="N315" t="s">
        <v>76</v>
      </c>
      <c r="O315" s="5">
        <f t="shared" si="4"/>
        <v>0.22062236286919831</v>
      </c>
    </row>
    <row r="316" spans="1:15" x14ac:dyDescent="0.3">
      <c r="A316" t="s">
        <v>725</v>
      </c>
      <c r="B316" t="s">
        <v>726</v>
      </c>
      <c r="C316" t="s">
        <v>396</v>
      </c>
      <c r="D316" t="s">
        <v>123</v>
      </c>
      <c r="E316" t="s">
        <v>63</v>
      </c>
      <c r="F316" t="s">
        <v>47</v>
      </c>
      <c r="G316">
        <v>50</v>
      </c>
      <c r="H316">
        <v>34.28</v>
      </c>
      <c r="I316">
        <v>1714</v>
      </c>
      <c r="J316">
        <v>59.84</v>
      </c>
      <c r="K316">
        <v>654.16</v>
      </c>
      <c r="L316" t="s">
        <v>24</v>
      </c>
      <c r="M316" t="s">
        <v>25</v>
      </c>
      <c r="N316" t="s">
        <v>76</v>
      </c>
      <c r="O316" s="5">
        <f t="shared" si="4"/>
        <v>0.38165694282380397</v>
      </c>
    </row>
    <row r="317" spans="1:15" x14ac:dyDescent="0.3">
      <c r="A317" t="s">
        <v>727</v>
      </c>
      <c r="B317" t="s">
        <v>728</v>
      </c>
      <c r="C317" t="s">
        <v>323</v>
      </c>
      <c r="D317" t="s">
        <v>141</v>
      </c>
      <c r="E317" t="s">
        <v>32</v>
      </c>
      <c r="F317" t="s">
        <v>23</v>
      </c>
      <c r="G317">
        <v>50</v>
      </c>
      <c r="H317">
        <v>29.39</v>
      </c>
      <c r="I317">
        <v>1469.5</v>
      </c>
      <c r="J317">
        <v>101.51</v>
      </c>
      <c r="K317">
        <v>467.99</v>
      </c>
      <c r="L317" t="s">
        <v>48</v>
      </c>
      <c r="M317" t="s">
        <v>41</v>
      </c>
      <c r="N317" t="s">
        <v>142</v>
      </c>
      <c r="O317" s="5">
        <f t="shared" si="4"/>
        <v>0.31846886696155158</v>
      </c>
    </row>
    <row r="318" spans="1:15" x14ac:dyDescent="0.3">
      <c r="A318" t="s">
        <v>729</v>
      </c>
      <c r="B318" t="s">
        <v>423</v>
      </c>
      <c r="C318" t="s">
        <v>182</v>
      </c>
      <c r="D318" t="s">
        <v>45</v>
      </c>
      <c r="E318" t="s">
        <v>32</v>
      </c>
      <c r="F318" t="s">
        <v>23</v>
      </c>
      <c r="G318">
        <v>46</v>
      </c>
      <c r="H318">
        <v>30.34</v>
      </c>
      <c r="I318">
        <v>1395.64</v>
      </c>
      <c r="J318">
        <v>104.2</v>
      </c>
      <c r="K318">
        <v>463.44</v>
      </c>
      <c r="L318" t="s">
        <v>24</v>
      </c>
      <c r="M318" t="s">
        <v>34</v>
      </c>
      <c r="N318" t="s">
        <v>49</v>
      </c>
      <c r="O318" s="5">
        <f t="shared" si="4"/>
        <v>0.33206270958126732</v>
      </c>
    </row>
    <row r="319" spans="1:15" x14ac:dyDescent="0.3">
      <c r="A319" t="s">
        <v>730</v>
      </c>
      <c r="B319" t="s">
        <v>731</v>
      </c>
      <c r="C319" t="s">
        <v>732</v>
      </c>
      <c r="D319" t="s">
        <v>116</v>
      </c>
      <c r="E319" t="s">
        <v>86</v>
      </c>
      <c r="F319" t="s">
        <v>47</v>
      </c>
      <c r="G319">
        <v>50</v>
      </c>
      <c r="H319">
        <v>18.809999999999999</v>
      </c>
      <c r="I319">
        <v>940.5</v>
      </c>
      <c r="J319">
        <v>40.25</v>
      </c>
      <c r="K319">
        <v>262.75</v>
      </c>
      <c r="L319" t="s">
        <v>33</v>
      </c>
      <c r="M319" t="s">
        <v>34</v>
      </c>
      <c r="N319" t="s">
        <v>76</v>
      </c>
      <c r="O319" s="5">
        <f t="shared" si="4"/>
        <v>0.27937267410951622</v>
      </c>
    </row>
    <row r="320" spans="1:15" x14ac:dyDescent="0.3">
      <c r="A320" t="s">
        <v>733</v>
      </c>
      <c r="B320" t="s">
        <v>734</v>
      </c>
      <c r="C320" t="s">
        <v>323</v>
      </c>
      <c r="D320" t="s">
        <v>206</v>
      </c>
      <c r="E320" t="s">
        <v>67</v>
      </c>
      <c r="F320" t="s">
        <v>68</v>
      </c>
      <c r="G320">
        <v>2</v>
      </c>
      <c r="H320">
        <v>29.64</v>
      </c>
      <c r="I320">
        <v>59.28</v>
      </c>
      <c r="J320">
        <v>4.59</v>
      </c>
      <c r="K320">
        <v>9.69</v>
      </c>
      <c r="L320" t="s">
        <v>33</v>
      </c>
      <c r="M320" t="s">
        <v>41</v>
      </c>
      <c r="N320" t="s">
        <v>207</v>
      </c>
      <c r="O320" s="5">
        <f t="shared" si="4"/>
        <v>0.16346153846153846</v>
      </c>
    </row>
    <row r="321" spans="1:15" x14ac:dyDescent="0.3">
      <c r="A321" t="s">
        <v>735</v>
      </c>
      <c r="B321" t="s">
        <v>736</v>
      </c>
      <c r="C321" t="s">
        <v>574</v>
      </c>
      <c r="D321" t="s">
        <v>116</v>
      </c>
      <c r="E321" t="s">
        <v>67</v>
      </c>
      <c r="F321" t="s">
        <v>68</v>
      </c>
      <c r="G321">
        <v>48</v>
      </c>
      <c r="H321">
        <v>27.9</v>
      </c>
      <c r="I321">
        <v>1339.2</v>
      </c>
      <c r="J321">
        <v>66.31</v>
      </c>
      <c r="K321">
        <v>192.89</v>
      </c>
      <c r="L321" t="s">
        <v>33</v>
      </c>
      <c r="M321" t="s">
        <v>41</v>
      </c>
      <c r="N321" t="s">
        <v>76</v>
      </c>
      <c r="O321" s="5">
        <f t="shared" si="4"/>
        <v>0.1440337514934289</v>
      </c>
    </row>
    <row r="322" spans="1:15" x14ac:dyDescent="0.3">
      <c r="A322" t="s">
        <v>737</v>
      </c>
      <c r="B322" t="s">
        <v>527</v>
      </c>
      <c r="C322" t="s">
        <v>465</v>
      </c>
      <c r="D322" t="s">
        <v>171</v>
      </c>
      <c r="E322" t="s">
        <v>74</v>
      </c>
      <c r="F322" t="s">
        <v>75</v>
      </c>
      <c r="G322">
        <v>28</v>
      </c>
      <c r="H322">
        <v>38.520000000000003</v>
      </c>
      <c r="I322">
        <v>1078.56</v>
      </c>
      <c r="J322">
        <v>64.510000000000005</v>
      </c>
      <c r="K322">
        <v>314.05</v>
      </c>
      <c r="L322" t="s">
        <v>24</v>
      </c>
      <c r="M322" t="s">
        <v>34</v>
      </c>
      <c r="N322" t="s">
        <v>35</v>
      </c>
      <c r="O322" s="5">
        <f t="shared" si="4"/>
        <v>0.29117527073134553</v>
      </c>
    </row>
    <row r="323" spans="1:15" x14ac:dyDescent="0.3">
      <c r="A323" t="s">
        <v>738</v>
      </c>
      <c r="B323" t="s">
        <v>449</v>
      </c>
      <c r="C323" t="s">
        <v>288</v>
      </c>
      <c r="D323" t="s">
        <v>31</v>
      </c>
      <c r="E323" t="s">
        <v>67</v>
      </c>
      <c r="F323" t="s">
        <v>68</v>
      </c>
      <c r="G323">
        <v>11</v>
      </c>
      <c r="H323">
        <v>31.08</v>
      </c>
      <c r="I323">
        <v>341.88</v>
      </c>
      <c r="J323">
        <v>17.18</v>
      </c>
      <c r="K323">
        <v>77.2</v>
      </c>
      <c r="L323" t="s">
        <v>48</v>
      </c>
      <c r="M323" t="s">
        <v>41</v>
      </c>
      <c r="N323" t="s">
        <v>35</v>
      </c>
      <c r="O323" s="5">
        <f t="shared" si="4"/>
        <v>0.22581022581022583</v>
      </c>
    </row>
    <row r="324" spans="1:15" x14ac:dyDescent="0.3">
      <c r="A324" t="s">
        <v>739</v>
      </c>
      <c r="B324" t="s">
        <v>740</v>
      </c>
      <c r="C324" t="s">
        <v>391</v>
      </c>
      <c r="D324" t="s">
        <v>62</v>
      </c>
      <c r="E324" t="s">
        <v>63</v>
      </c>
      <c r="F324" t="s">
        <v>47</v>
      </c>
      <c r="G324">
        <v>42</v>
      </c>
      <c r="H324">
        <v>25.95</v>
      </c>
      <c r="I324">
        <v>1089.9000000000001</v>
      </c>
      <c r="J324">
        <v>27.5</v>
      </c>
      <c r="K324">
        <v>222.4</v>
      </c>
      <c r="L324" t="s">
        <v>48</v>
      </c>
      <c r="M324" t="s">
        <v>41</v>
      </c>
      <c r="N324" t="s">
        <v>98</v>
      </c>
      <c r="O324" s="5">
        <f t="shared" si="4"/>
        <v>0.2040554179282503</v>
      </c>
    </row>
    <row r="325" spans="1:15" x14ac:dyDescent="0.3">
      <c r="A325" t="s">
        <v>741</v>
      </c>
      <c r="B325" t="s">
        <v>393</v>
      </c>
      <c r="C325" t="s">
        <v>630</v>
      </c>
      <c r="D325" t="s">
        <v>116</v>
      </c>
      <c r="E325" t="s">
        <v>74</v>
      </c>
      <c r="F325" t="s">
        <v>75</v>
      </c>
      <c r="G325">
        <v>30</v>
      </c>
      <c r="H325">
        <v>30.16</v>
      </c>
      <c r="I325">
        <v>904.8</v>
      </c>
      <c r="J325">
        <v>70.13</v>
      </c>
      <c r="K325">
        <v>84.67</v>
      </c>
      <c r="L325" t="s">
        <v>33</v>
      </c>
      <c r="M325" t="s">
        <v>25</v>
      </c>
      <c r="N325" t="s">
        <v>76</v>
      </c>
      <c r="O325" s="5">
        <f t="shared" si="4"/>
        <v>9.3578691423519017E-2</v>
      </c>
    </row>
    <row r="326" spans="1:15" x14ac:dyDescent="0.3">
      <c r="A326" t="s">
        <v>742</v>
      </c>
      <c r="B326" t="s">
        <v>464</v>
      </c>
      <c r="C326" t="s">
        <v>743</v>
      </c>
      <c r="D326" t="s">
        <v>45</v>
      </c>
      <c r="E326" t="s">
        <v>63</v>
      </c>
      <c r="F326" t="s">
        <v>47</v>
      </c>
      <c r="G326">
        <v>40</v>
      </c>
      <c r="H326">
        <v>30.03</v>
      </c>
      <c r="I326">
        <v>1201.2</v>
      </c>
      <c r="J326">
        <v>71.97</v>
      </c>
      <c r="K326">
        <v>329.23</v>
      </c>
      <c r="L326" t="s">
        <v>33</v>
      </c>
      <c r="M326" t="s">
        <v>25</v>
      </c>
      <c r="N326" t="s">
        <v>49</v>
      </c>
      <c r="O326" s="5">
        <f t="shared" si="4"/>
        <v>0.27408424908424911</v>
      </c>
    </row>
    <row r="327" spans="1:15" x14ac:dyDescent="0.3">
      <c r="A327" t="s">
        <v>744</v>
      </c>
      <c r="B327" t="s">
        <v>745</v>
      </c>
      <c r="C327" t="s">
        <v>162</v>
      </c>
      <c r="D327" t="s">
        <v>141</v>
      </c>
      <c r="E327" t="s">
        <v>63</v>
      </c>
      <c r="F327" t="s">
        <v>47</v>
      </c>
      <c r="G327">
        <v>15</v>
      </c>
      <c r="H327">
        <v>27.12</v>
      </c>
      <c r="I327">
        <v>406.8</v>
      </c>
      <c r="J327">
        <v>24.28</v>
      </c>
      <c r="K327">
        <v>82.52</v>
      </c>
      <c r="L327" t="s">
        <v>33</v>
      </c>
      <c r="M327" t="s">
        <v>34</v>
      </c>
      <c r="N327" t="s">
        <v>142</v>
      </c>
      <c r="O327" s="5">
        <f t="shared" ref="O327:O390" si="5">K327/I327</f>
        <v>0.20285152409046212</v>
      </c>
    </row>
    <row r="328" spans="1:15" x14ac:dyDescent="0.3">
      <c r="A328" t="s">
        <v>746</v>
      </c>
      <c r="B328" t="s">
        <v>567</v>
      </c>
      <c r="C328" t="s">
        <v>257</v>
      </c>
      <c r="D328" t="s">
        <v>171</v>
      </c>
      <c r="E328" t="s">
        <v>86</v>
      </c>
      <c r="F328" t="s">
        <v>47</v>
      </c>
      <c r="G328">
        <v>35</v>
      </c>
      <c r="H328">
        <v>18.350000000000001</v>
      </c>
      <c r="I328">
        <v>642.25</v>
      </c>
      <c r="J328">
        <v>29.35</v>
      </c>
      <c r="K328">
        <v>166.65</v>
      </c>
      <c r="L328" t="s">
        <v>24</v>
      </c>
      <c r="M328" t="s">
        <v>34</v>
      </c>
      <c r="N328" t="s">
        <v>35</v>
      </c>
      <c r="O328" s="5">
        <f t="shared" si="5"/>
        <v>0.2594783962631374</v>
      </c>
    </row>
    <row r="329" spans="1:15" x14ac:dyDescent="0.3">
      <c r="A329" t="s">
        <v>747</v>
      </c>
      <c r="B329" t="s">
        <v>696</v>
      </c>
      <c r="C329" t="s">
        <v>646</v>
      </c>
      <c r="D329" t="s">
        <v>141</v>
      </c>
      <c r="E329" t="s">
        <v>22</v>
      </c>
      <c r="F329" t="s">
        <v>23</v>
      </c>
      <c r="G329">
        <v>21</v>
      </c>
      <c r="H329">
        <v>52.59</v>
      </c>
      <c r="I329">
        <v>1104.3900000000001</v>
      </c>
      <c r="J329">
        <v>57.06</v>
      </c>
      <c r="K329">
        <v>312.33</v>
      </c>
      <c r="L329" t="s">
        <v>33</v>
      </c>
      <c r="M329" t="s">
        <v>34</v>
      </c>
      <c r="N329" t="s">
        <v>142</v>
      </c>
      <c r="O329" s="5">
        <f t="shared" si="5"/>
        <v>0.28280770380028791</v>
      </c>
    </row>
    <row r="330" spans="1:15" x14ac:dyDescent="0.3">
      <c r="A330" t="s">
        <v>748</v>
      </c>
      <c r="B330" t="s">
        <v>749</v>
      </c>
      <c r="C330" t="s">
        <v>574</v>
      </c>
      <c r="D330" t="s">
        <v>51</v>
      </c>
      <c r="E330" t="s">
        <v>137</v>
      </c>
      <c r="F330" t="s">
        <v>68</v>
      </c>
      <c r="G330">
        <v>10</v>
      </c>
      <c r="H330">
        <v>44.2</v>
      </c>
      <c r="I330">
        <v>442</v>
      </c>
      <c r="J330">
        <v>18.45</v>
      </c>
      <c r="K330">
        <v>143.55000000000001</v>
      </c>
      <c r="L330" t="s">
        <v>24</v>
      </c>
      <c r="M330" t="s">
        <v>25</v>
      </c>
      <c r="N330" t="s">
        <v>76</v>
      </c>
      <c r="O330" s="5">
        <f t="shared" si="5"/>
        <v>0.32477375565610861</v>
      </c>
    </row>
    <row r="331" spans="1:15" x14ac:dyDescent="0.3">
      <c r="A331" t="s">
        <v>750</v>
      </c>
      <c r="B331" t="s">
        <v>532</v>
      </c>
      <c r="C331" t="s">
        <v>331</v>
      </c>
      <c r="D331" t="s">
        <v>51</v>
      </c>
      <c r="E331" t="s">
        <v>22</v>
      </c>
      <c r="F331" t="s">
        <v>23</v>
      </c>
      <c r="G331">
        <v>11</v>
      </c>
      <c r="H331">
        <v>60.9</v>
      </c>
      <c r="I331">
        <v>669.9</v>
      </c>
      <c r="J331">
        <v>26.28</v>
      </c>
      <c r="K331">
        <v>258.62</v>
      </c>
      <c r="L331" t="s">
        <v>33</v>
      </c>
      <c r="M331" t="s">
        <v>34</v>
      </c>
      <c r="N331" t="s">
        <v>76</v>
      </c>
      <c r="O331" s="5">
        <f t="shared" si="5"/>
        <v>0.38605762054037918</v>
      </c>
    </row>
    <row r="332" spans="1:15" x14ac:dyDescent="0.3">
      <c r="A332" t="s">
        <v>751</v>
      </c>
      <c r="B332" t="s">
        <v>752</v>
      </c>
      <c r="C332" t="s">
        <v>73</v>
      </c>
      <c r="D332" t="s">
        <v>123</v>
      </c>
      <c r="E332" t="s">
        <v>86</v>
      </c>
      <c r="F332" t="s">
        <v>47</v>
      </c>
      <c r="G332">
        <v>26</v>
      </c>
      <c r="H332">
        <v>22.32</v>
      </c>
      <c r="I332">
        <v>580.32000000000005</v>
      </c>
      <c r="J332">
        <v>45.08</v>
      </c>
      <c r="K332">
        <v>203.74</v>
      </c>
      <c r="L332" t="s">
        <v>33</v>
      </c>
      <c r="M332" t="s">
        <v>34</v>
      </c>
      <c r="N332" t="s">
        <v>76</v>
      </c>
      <c r="O332" s="5">
        <f t="shared" si="5"/>
        <v>0.3510821615660325</v>
      </c>
    </row>
    <row r="333" spans="1:15" x14ac:dyDescent="0.3">
      <c r="A333" t="s">
        <v>753</v>
      </c>
      <c r="B333" t="s">
        <v>754</v>
      </c>
      <c r="C333" t="s">
        <v>417</v>
      </c>
      <c r="D333" t="s">
        <v>51</v>
      </c>
      <c r="E333" t="s">
        <v>137</v>
      </c>
      <c r="F333" t="s">
        <v>68</v>
      </c>
      <c r="G333">
        <v>46</v>
      </c>
      <c r="H333">
        <v>41.89</v>
      </c>
      <c r="I333">
        <v>1926.94</v>
      </c>
      <c r="J333">
        <v>97.39</v>
      </c>
      <c r="K333">
        <v>541.54999999999995</v>
      </c>
      <c r="L333" t="s">
        <v>24</v>
      </c>
      <c r="M333" t="s">
        <v>41</v>
      </c>
      <c r="N333" t="s">
        <v>76</v>
      </c>
      <c r="O333" s="5">
        <f t="shared" si="5"/>
        <v>0.28104144394739844</v>
      </c>
    </row>
    <row r="334" spans="1:15" x14ac:dyDescent="0.3">
      <c r="A334" t="s">
        <v>755</v>
      </c>
      <c r="B334" t="s">
        <v>495</v>
      </c>
      <c r="C334" t="s">
        <v>277</v>
      </c>
      <c r="D334" t="s">
        <v>31</v>
      </c>
      <c r="E334" t="s">
        <v>86</v>
      </c>
      <c r="F334" t="s">
        <v>47</v>
      </c>
      <c r="G334">
        <v>43</v>
      </c>
      <c r="H334">
        <v>21.24</v>
      </c>
      <c r="I334">
        <v>913.32</v>
      </c>
      <c r="J334">
        <v>50.32</v>
      </c>
      <c r="K334">
        <v>314.75</v>
      </c>
      <c r="L334" t="s">
        <v>33</v>
      </c>
      <c r="M334" t="s">
        <v>25</v>
      </c>
      <c r="N334" t="s">
        <v>35</v>
      </c>
      <c r="O334" s="5">
        <f t="shared" si="5"/>
        <v>0.34462181929663205</v>
      </c>
    </row>
    <row r="335" spans="1:15" x14ac:dyDescent="0.3">
      <c r="A335" t="s">
        <v>756</v>
      </c>
      <c r="B335" t="s">
        <v>658</v>
      </c>
      <c r="C335" t="s">
        <v>757</v>
      </c>
      <c r="D335" t="s">
        <v>241</v>
      </c>
      <c r="E335" t="s">
        <v>67</v>
      </c>
      <c r="F335" t="s">
        <v>68</v>
      </c>
      <c r="G335">
        <v>28</v>
      </c>
      <c r="H335">
        <v>33.700000000000003</v>
      </c>
      <c r="I335">
        <v>943.6</v>
      </c>
      <c r="J335">
        <v>20.170000000000002</v>
      </c>
      <c r="K335">
        <v>293.43</v>
      </c>
      <c r="L335" t="s">
        <v>24</v>
      </c>
      <c r="M335" t="s">
        <v>34</v>
      </c>
      <c r="N335" t="s">
        <v>35</v>
      </c>
      <c r="O335" s="5">
        <f t="shared" si="5"/>
        <v>0.31096863077575243</v>
      </c>
    </row>
    <row r="336" spans="1:15" x14ac:dyDescent="0.3">
      <c r="A336" t="s">
        <v>758</v>
      </c>
      <c r="B336" t="s">
        <v>759</v>
      </c>
      <c r="C336" t="s">
        <v>334</v>
      </c>
      <c r="D336" t="s">
        <v>70</v>
      </c>
      <c r="E336" t="s">
        <v>22</v>
      </c>
      <c r="F336" t="s">
        <v>23</v>
      </c>
      <c r="G336">
        <v>41</v>
      </c>
      <c r="H336">
        <v>42.74</v>
      </c>
      <c r="I336">
        <v>1752.34</v>
      </c>
      <c r="J336">
        <v>92.09</v>
      </c>
      <c r="K336">
        <v>225.25</v>
      </c>
      <c r="L336" t="s">
        <v>48</v>
      </c>
      <c r="M336" t="s">
        <v>25</v>
      </c>
      <c r="N336" t="s">
        <v>76</v>
      </c>
      <c r="O336" s="5">
        <f t="shared" si="5"/>
        <v>0.12854240615405688</v>
      </c>
    </row>
    <row r="337" spans="1:15" x14ac:dyDescent="0.3">
      <c r="A337" t="s">
        <v>760</v>
      </c>
      <c r="B337" t="s">
        <v>761</v>
      </c>
      <c r="C337" t="s">
        <v>646</v>
      </c>
      <c r="D337" t="s">
        <v>31</v>
      </c>
      <c r="E337" t="s">
        <v>63</v>
      </c>
      <c r="F337" t="s">
        <v>47</v>
      </c>
      <c r="G337">
        <v>24</v>
      </c>
      <c r="H337">
        <v>30.18</v>
      </c>
      <c r="I337">
        <v>724.32</v>
      </c>
      <c r="J337">
        <v>44.97</v>
      </c>
      <c r="K337">
        <v>199.35</v>
      </c>
      <c r="L337" t="s">
        <v>24</v>
      </c>
      <c r="M337" t="s">
        <v>25</v>
      </c>
      <c r="N337" t="s">
        <v>35</v>
      </c>
      <c r="O337" s="5">
        <f t="shared" si="5"/>
        <v>0.27522365805168986</v>
      </c>
    </row>
    <row r="338" spans="1:15" x14ac:dyDescent="0.3">
      <c r="A338" t="s">
        <v>762</v>
      </c>
      <c r="B338" t="s">
        <v>354</v>
      </c>
      <c r="C338" t="s">
        <v>177</v>
      </c>
      <c r="D338" t="s">
        <v>127</v>
      </c>
      <c r="E338" t="s">
        <v>81</v>
      </c>
      <c r="F338" t="s">
        <v>68</v>
      </c>
      <c r="G338">
        <v>44</v>
      </c>
      <c r="H338">
        <v>20.02</v>
      </c>
      <c r="I338">
        <v>880.88</v>
      </c>
      <c r="J338">
        <v>60.27</v>
      </c>
      <c r="K338">
        <v>138.61000000000001</v>
      </c>
      <c r="L338" t="s">
        <v>33</v>
      </c>
      <c r="M338" t="s">
        <v>34</v>
      </c>
      <c r="N338" t="s">
        <v>76</v>
      </c>
      <c r="O338" s="5">
        <f t="shared" si="5"/>
        <v>0.15735400962673693</v>
      </c>
    </row>
    <row r="339" spans="1:15" x14ac:dyDescent="0.3">
      <c r="A339" t="s">
        <v>763</v>
      </c>
      <c r="B339" t="s">
        <v>585</v>
      </c>
      <c r="C339" t="s">
        <v>174</v>
      </c>
      <c r="D339" t="s">
        <v>31</v>
      </c>
      <c r="E339" t="s">
        <v>63</v>
      </c>
      <c r="F339" t="s">
        <v>47</v>
      </c>
      <c r="G339">
        <v>12</v>
      </c>
      <c r="H339">
        <v>27.45</v>
      </c>
      <c r="I339">
        <v>329.4</v>
      </c>
      <c r="J339">
        <v>13.22</v>
      </c>
      <c r="K339">
        <v>76.180000000000007</v>
      </c>
      <c r="L339" t="s">
        <v>48</v>
      </c>
      <c r="M339" t="s">
        <v>41</v>
      </c>
      <c r="N339" t="s">
        <v>35</v>
      </c>
      <c r="O339" s="5">
        <f t="shared" si="5"/>
        <v>0.23126897389192475</v>
      </c>
    </row>
    <row r="340" spans="1:15" x14ac:dyDescent="0.3">
      <c r="A340" t="s">
        <v>764</v>
      </c>
      <c r="B340" t="s">
        <v>306</v>
      </c>
      <c r="C340" t="s">
        <v>145</v>
      </c>
      <c r="D340" t="s">
        <v>141</v>
      </c>
      <c r="E340" t="s">
        <v>63</v>
      </c>
      <c r="F340" t="s">
        <v>47</v>
      </c>
      <c r="G340">
        <v>26</v>
      </c>
      <c r="H340">
        <v>30.57</v>
      </c>
      <c r="I340">
        <v>794.82</v>
      </c>
      <c r="J340">
        <v>19.45</v>
      </c>
      <c r="K340">
        <v>255.37</v>
      </c>
      <c r="L340" t="s">
        <v>48</v>
      </c>
      <c r="M340" t="s">
        <v>34</v>
      </c>
      <c r="N340" t="s">
        <v>142</v>
      </c>
      <c r="O340" s="5">
        <f t="shared" si="5"/>
        <v>0.32129287134193907</v>
      </c>
    </row>
    <row r="341" spans="1:15" x14ac:dyDescent="0.3">
      <c r="A341" t="s">
        <v>765</v>
      </c>
      <c r="B341" t="s">
        <v>766</v>
      </c>
      <c r="C341" t="s">
        <v>185</v>
      </c>
      <c r="D341" t="s">
        <v>127</v>
      </c>
      <c r="E341" t="s">
        <v>74</v>
      </c>
      <c r="F341" t="s">
        <v>75</v>
      </c>
      <c r="G341">
        <v>46</v>
      </c>
      <c r="H341">
        <v>32.19</v>
      </c>
      <c r="I341">
        <v>1480.74</v>
      </c>
      <c r="J341">
        <v>111.13</v>
      </c>
      <c r="K341">
        <v>219.61</v>
      </c>
      <c r="L341" t="s">
        <v>48</v>
      </c>
      <c r="M341" t="s">
        <v>34</v>
      </c>
      <c r="N341" t="s">
        <v>76</v>
      </c>
      <c r="O341" s="5">
        <f t="shared" si="5"/>
        <v>0.14831097964531248</v>
      </c>
    </row>
    <row r="342" spans="1:15" x14ac:dyDescent="0.3">
      <c r="A342" t="s">
        <v>767</v>
      </c>
      <c r="B342" t="s">
        <v>768</v>
      </c>
      <c r="C342" t="s">
        <v>140</v>
      </c>
      <c r="D342" t="s">
        <v>116</v>
      </c>
      <c r="E342" t="s">
        <v>32</v>
      </c>
      <c r="F342" t="s">
        <v>23</v>
      </c>
      <c r="G342">
        <v>20</v>
      </c>
      <c r="H342">
        <v>31.79</v>
      </c>
      <c r="I342">
        <v>635.79999999999995</v>
      </c>
      <c r="J342">
        <v>38.43</v>
      </c>
      <c r="K342">
        <v>237.37</v>
      </c>
      <c r="L342" t="s">
        <v>24</v>
      </c>
      <c r="M342" t="s">
        <v>34</v>
      </c>
      <c r="N342" t="s">
        <v>76</v>
      </c>
      <c r="O342" s="5">
        <f t="shared" si="5"/>
        <v>0.37334067316766284</v>
      </c>
    </row>
    <row r="343" spans="1:15" x14ac:dyDescent="0.3">
      <c r="A343" t="s">
        <v>769</v>
      </c>
      <c r="B343" t="s">
        <v>770</v>
      </c>
      <c r="C343" t="s">
        <v>20</v>
      </c>
      <c r="D343" t="s">
        <v>206</v>
      </c>
      <c r="E343" t="s">
        <v>32</v>
      </c>
      <c r="F343" t="s">
        <v>23</v>
      </c>
      <c r="G343">
        <v>8</v>
      </c>
      <c r="H343">
        <v>28.94</v>
      </c>
      <c r="I343">
        <v>231.52</v>
      </c>
      <c r="J343">
        <v>7</v>
      </c>
      <c r="K343">
        <v>80.52</v>
      </c>
      <c r="L343" t="s">
        <v>48</v>
      </c>
      <c r="M343" t="s">
        <v>34</v>
      </c>
      <c r="N343" t="s">
        <v>207</v>
      </c>
      <c r="O343" s="5">
        <f t="shared" si="5"/>
        <v>0.34778852798894261</v>
      </c>
    </row>
    <row r="344" spans="1:15" x14ac:dyDescent="0.3">
      <c r="A344" t="s">
        <v>771</v>
      </c>
      <c r="B344" t="s">
        <v>772</v>
      </c>
      <c r="C344" t="s">
        <v>334</v>
      </c>
      <c r="D344" t="s">
        <v>171</v>
      </c>
      <c r="E344" t="s">
        <v>32</v>
      </c>
      <c r="F344" t="s">
        <v>23</v>
      </c>
      <c r="G344">
        <v>40</v>
      </c>
      <c r="H344">
        <v>30.66</v>
      </c>
      <c r="I344">
        <v>1226.4000000000001</v>
      </c>
      <c r="J344">
        <v>85.24</v>
      </c>
      <c r="K344">
        <v>421.16</v>
      </c>
      <c r="L344" t="s">
        <v>24</v>
      </c>
      <c r="M344" t="s">
        <v>25</v>
      </c>
      <c r="N344" t="s">
        <v>35</v>
      </c>
      <c r="O344" s="5">
        <f t="shared" si="5"/>
        <v>0.34341161121983038</v>
      </c>
    </row>
    <row r="345" spans="1:15" x14ac:dyDescent="0.3">
      <c r="A345" t="s">
        <v>773</v>
      </c>
      <c r="B345" t="s">
        <v>316</v>
      </c>
      <c r="C345" t="s">
        <v>539</v>
      </c>
      <c r="D345" t="s">
        <v>206</v>
      </c>
      <c r="E345" t="s">
        <v>46</v>
      </c>
      <c r="F345" t="s">
        <v>47</v>
      </c>
      <c r="G345">
        <v>44</v>
      </c>
      <c r="H345">
        <v>54.09</v>
      </c>
      <c r="I345">
        <v>2379.96</v>
      </c>
      <c r="J345">
        <v>106.39</v>
      </c>
      <c r="K345">
        <v>865.57</v>
      </c>
      <c r="L345" t="s">
        <v>24</v>
      </c>
      <c r="M345" t="s">
        <v>34</v>
      </c>
      <c r="N345" t="s">
        <v>207</v>
      </c>
      <c r="O345" s="5">
        <f t="shared" si="5"/>
        <v>0.36369098640313285</v>
      </c>
    </row>
    <row r="346" spans="1:15" x14ac:dyDescent="0.3">
      <c r="A346" t="s">
        <v>774</v>
      </c>
      <c r="B346" t="s">
        <v>615</v>
      </c>
      <c r="C346" t="s">
        <v>177</v>
      </c>
      <c r="D346" t="s">
        <v>116</v>
      </c>
      <c r="E346" t="s">
        <v>56</v>
      </c>
      <c r="F346" t="s">
        <v>57</v>
      </c>
      <c r="G346">
        <v>32</v>
      </c>
      <c r="H346">
        <v>68.89</v>
      </c>
      <c r="I346">
        <v>2204.48</v>
      </c>
      <c r="J346">
        <v>152.05000000000001</v>
      </c>
      <c r="K346">
        <v>772.43</v>
      </c>
      <c r="L346" t="s">
        <v>24</v>
      </c>
      <c r="M346" t="s">
        <v>34</v>
      </c>
      <c r="N346" t="s">
        <v>76</v>
      </c>
      <c r="O346" s="5">
        <f t="shared" si="5"/>
        <v>0.35039102191900129</v>
      </c>
    </row>
    <row r="347" spans="1:15" x14ac:dyDescent="0.3">
      <c r="A347" t="s">
        <v>775</v>
      </c>
      <c r="B347" t="s">
        <v>776</v>
      </c>
      <c r="C347" t="s">
        <v>732</v>
      </c>
      <c r="D347" t="s">
        <v>70</v>
      </c>
      <c r="E347" t="s">
        <v>22</v>
      </c>
      <c r="F347" t="s">
        <v>23</v>
      </c>
      <c r="G347">
        <v>44</v>
      </c>
      <c r="H347">
        <v>43.35</v>
      </c>
      <c r="I347">
        <v>1907.4</v>
      </c>
      <c r="J347">
        <v>99.05</v>
      </c>
      <c r="K347">
        <v>268.35000000000002</v>
      </c>
      <c r="L347" t="s">
        <v>48</v>
      </c>
      <c r="M347" t="s">
        <v>34</v>
      </c>
      <c r="N347" t="s">
        <v>76</v>
      </c>
      <c r="O347" s="5">
        <f t="shared" si="5"/>
        <v>0.1406888958792073</v>
      </c>
    </row>
    <row r="348" spans="1:15" x14ac:dyDescent="0.3">
      <c r="A348" t="s">
        <v>777</v>
      </c>
      <c r="B348" t="s">
        <v>778</v>
      </c>
      <c r="C348" t="s">
        <v>30</v>
      </c>
      <c r="D348" t="s">
        <v>62</v>
      </c>
      <c r="E348" t="s">
        <v>137</v>
      </c>
      <c r="F348" t="s">
        <v>68</v>
      </c>
      <c r="G348">
        <v>24</v>
      </c>
      <c r="H348">
        <v>34</v>
      </c>
      <c r="I348">
        <v>816</v>
      </c>
      <c r="J348">
        <v>42.15</v>
      </c>
      <c r="K348">
        <v>101.85</v>
      </c>
      <c r="L348" t="s">
        <v>48</v>
      </c>
      <c r="M348" t="s">
        <v>25</v>
      </c>
      <c r="N348" t="s">
        <v>98</v>
      </c>
      <c r="O348" s="5">
        <f t="shared" si="5"/>
        <v>0.12481617647058822</v>
      </c>
    </row>
    <row r="349" spans="1:15" x14ac:dyDescent="0.3">
      <c r="A349" t="s">
        <v>779</v>
      </c>
      <c r="B349" t="s">
        <v>633</v>
      </c>
      <c r="C349" t="s">
        <v>238</v>
      </c>
      <c r="D349" t="s">
        <v>51</v>
      </c>
      <c r="E349" t="s">
        <v>32</v>
      </c>
      <c r="F349" t="s">
        <v>23</v>
      </c>
      <c r="G349">
        <v>41</v>
      </c>
      <c r="H349">
        <v>30.25</v>
      </c>
      <c r="I349">
        <v>1240.25</v>
      </c>
      <c r="J349">
        <v>92.86</v>
      </c>
      <c r="K349">
        <v>409.39</v>
      </c>
      <c r="L349" t="s">
        <v>24</v>
      </c>
      <c r="M349" t="s">
        <v>25</v>
      </c>
      <c r="N349" t="s">
        <v>76</v>
      </c>
      <c r="O349" s="5">
        <f t="shared" si="5"/>
        <v>0.33008667607337228</v>
      </c>
    </row>
    <row r="350" spans="1:15" x14ac:dyDescent="0.3">
      <c r="A350" t="s">
        <v>780</v>
      </c>
      <c r="B350" t="s">
        <v>781</v>
      </c>
      <c r="C350" t="s">
        <v>20</v>
      </c>
      <c r="D350" t="s">
        <v>141</v>
      </c>
      <c r="E350" t="s">
        <v>81</v>
      </c>
      <c r="F350" t="s">
        <v>68</v>
      </c>
      <c r="G350">
        <v>15</v>
      </c>
      <c r="H350">
        <v>23.71</v>
      </c>
      <c r="I350">
        <v>355.65</v>
      </c>
      <c r="J350">
        <v>7.22</v>
      </c>
      <c r="K350">
        <v>115.93</v>
      </c>
      <c r="L350" t="s">
        <v>33</v>
      </c>
      <c r="M350" t="s">
        <v>34</v>
      </c>
      <c r="N350" t="s">
        <v>142</v>
      </c>
      <c r="O350" s="5">
        <f t="shared" si="5"/>
        <v>0.32596654013777593</v>
      </c>
    </row>
    <row r="351" spans="1:15" x14ac:dyDescent="0.3">
      <c r="A351" t="s">
        <v>782</v>
      </c>
      <c r="B351" t="s">
        <v>276</v>
      </c>
      <c r="C351" t="s">
        <v>197</v>
      </c>
      <c r="D351" t="s">
        <v>116</v>
      </c>
      <c r="E351" t="s">
        <v>46</v>
      </c>
      <c r="F351" t="s">
        <v>47</v>
      </c>
      <c r="G351">
        <v>33</v>
      </c>
      <c r="H351">
        <v>48.64</v>
      </c>
      <c r="I351">
        <v>1605.12</v>
      </c>
      <c r="J351">
        <v>98.71</v>
      </c>
      <c r="K351">
        <v>450.41</v>
      </c>
      <c r="L351" t="s">
        <v>24</v>
      </c>
      <c r="M351" t="s">
        <v>34</v>
      </c>
      <c r="N351" t="s">
        <v>76</v>
      </c>
      <c r="O351" s="5">
        <f t="shared" si="5"/>
        <v>0.28060830342902715</v>
      </c>
    </row>
    <row r="352" spans="1:15" x14ac:dyDescent="0.3">
      <c r="A352" t="s">
        <v>783</v>
      </c>
      <c r="B352" t="s">
        <v>784</v>
      </c>
      <c r="C352" t="s">
        <v>44</v>
      </c>
      <c r="D352" t="s">
        <v>241</v>
      </c>
      <c r="E352" t="s">
        <v>22</v>
      </c>
      <c r="F352" t="s">
        <v>23</v>
      </c>
      <c r="G352">
        <v>7</v>
      </c>
      <c r="H352">
        <v>50.94</v>
      </c>
      <c r="I352">
        <v>356.58</v>
      </c>
      <c r="J352">
        <v>11.19</v>
      </c>
      <c r="K352">
        <v>100.39</v>
      </c>
      <c r="L352" t="s">
        <v>33</v>
      </c>
      <c r="M352" t="s">
        <v>25</v>
      </c>
      <c r="N352" t="s">
        <v>35</v>
      </c>
      <c r="O352" s="5">
        <f t="shared" si="5"/>
        <v>0.28153570026361546</v>
      </c>
    </row>
    <row r="353" spans="1:15" x14ac:dyDescent="0.3">
      <c r="A353" t="s">
        <v>785</v>
      </c>
      <c r="B353" t="s">
        <v>786</v>
      </c>
      <c r="C353" t="s">
        <v>323</v>
      </c>
      <c r="D353" t="s">
        <v>206</v>
      </c>
      <c r="E353" t="s">
        <v>63</v>
      </c>
      <c r="F353" t="s">
        <v>47</v>
      </c>
      <c r="G353">
        <v>1</v>
      </c>
      <c r="H353">
        <v>31.4</v>
      </c>
      <c r="I353">
        <v>31.4</v>
      </c>
      <c r="J353">
        <v>1.1399999999999999</v>
      </c>
      <c r="K353">
        <v>10.26</v>
      </c>
      <c r="L353" t="s">
        <v>48</v>
      </c>
      <c r="M353" t="s">
        <v>34</v>
      </c>
      <c r="N353" t="s">
        <v>207</v>
      </c>
      <c r="O353" s="5">
        <f t="shared" si="5"/>
        <v>0.32675159235668788</v>
      </c>
    </row>
    <row r="354" spans="1:15" x14ac:dyDescent="0.3">
      <c r="A354" t="s">
        <v>787</v>
      </c>
      <c r="B354" t="s">
        <v>408</v>
      </c>
      <c r="C354" t="s">
        <v>317</v>
      </c>
      <c r="D354" t="s">
        <v>37</v>
      </c>
      <c r="E354" t="s">
        <v>86</v>
      </c>
      <c r="F354" t="s">
        <v>47</v>
      </c>
      <c r="G354">
        <v>28</v>
      </c>
      <c r="H354">
        <v>18.59</v>
      </c>
      <c r="I354">
        <v>520.52</v>
      </c>
      <c r="J354">
        <v>14.08</v>
      </c>
      <c r="K354">
        <v>149.44</v>
      </c>
      <c r="L354" t="s">
        <v>24</v>
      </c>
      <c r="M354" t="s">
        <v>25</v>
      </c>
      <c r="N354" t="s">
        <v>35</v>
      </c>
      <c r="O354" s="5">
        <f t="shared" si="5"/>
        <v>0.28709751786674864</v>
      </c>
    </row>
    <row r="355" spans="1:15" x14ac:dyDescent="0.3">
      <c r="A355" t="s">
        <v>788</v>
      </c>
      <c r="B355" t="s">
        <v>789</v>
      </c>
      <c r="C355" t="s">
        <v>790</v>
      </c>
      <c r="D355" t="s">
        <v>171</v>
      </c>
      <c r="E355" t="s">
        <v>81</v>
      </c>
      <c r="F355" t="s">
        <v>68</v>
      </c>
      <c r="G355">
        <v>50</v>
      </c>
      <c r="H355">
        <v>20.66</v>
      </c>
      <c r="I355">
        <v>1033</v>
      </c>
      <c r="J355">
        <v>34.130000000000003</v>
      </c>
      <c r="K355">
        <v>223.87</v>
      </c>
      <c r="L355" t="s">
        <v>48</v>
      </c>
      <c r="M355" t="s">
        <v>34</v>
      </c>
      <c r="N355" t="s">
        <v>35</v>
      </c>
      <c r="O355" s="5">
        <f t="shared" si="5"/>
        <v>0.21671829622458857</v>
      </c>
    </row>
    <row r="356" spans="1:15" x14ac:dyDescent="0.3">
      <c r="A356" t="s">
        <v>791</v>
      </c>
      <c r="B356" t="s">
        <v>547</v>
      </c>
      <c r="C356" t="s">
        <v>249</v>
      </c>
      <c r="D356" t="s">
        <v>51</v>
      </c>
      <c r="E356" t="s">
        <v>22</v>
      </c>
      <c r="F356" t="s">
        <v>23</v>
      </c>
      <c r="G356">
        <v>4</v>
      </c>
      <c r="H356">
        <v>46.62</v>
      </c>
      <c r="I356">
        <v>186.48</v>
      </c>
      <c r="J356">
        <v>13.29</v>
      </c>
      <c r="K356">
        <v>33.19</v>
      </c>
      <c r="L356" t="s">
        <v>33</v>
      </c>
      <c r="M356" t="s">
        <v>25</v>
      </c>
      <c r="N356" t="s">
        <v>76</v>
      </c>
      <c r="O356" s="5">
        <f t="shared" si="5"/>
        <v>0.17798155298155299</v>
      </c>
    </row>
    <row r="357" spans="1:15" x14ac:dyDescent="0.3">
      <c r="A357" t="s">
        <v>792</v>
      </c>
      <c r="B357" t="s">
        <v>547</v>
      </c>
      <c r="C357" t="s">
        <v>732</v>
      </c>
      <c r="D357" t="s">
        <v>141</v>
      </c>
      <c r="E357" t="s">
        <v>81</v>
      </c>
      <c r="F357" t="s">
        <v>68</v>
      </c>
      <c r="G357">
        <v>37</v>
      </c>
      <c r="H357">
        <v>21.81</v>
      </c>
      <c r="I357">
        <v>806.97</v>
      </c>
      <c r="J357">
        <v>19.63</v>
      </c>
      <c r="K357">
        <v>213.84</v>
      </c>
      <c r="L357" t="s">
        <v>48</v>
      </c>
      <c r="M357" t="s">
        <v>41</v>
      </c>
      <c r="N357" t="s">
        <v>142</v>
      </c>
      <c r="O357" s="5">
        <f t="shared" si="5"/>
        <v>0.26499126361574782</v>
      </c>
    </row>
    <row r="358" spans="1:15" x14ac:dyDescent="0.3">
      <c r="A358" t="s">
        <v>793</v>
      </c>
      <c r="B358" t="s">
        <v>100</v>
      </c>
      <c r="C358" t="s">
        <v>216</v>
      </c>
      <c r="D358" t="s">
        <v>51</v>
      </c>
      <c r="E358" t="s">
        <v>81</v>
      </c>
      <c r="F358" t="s">
        <v>68</v>
      </c>
      <c r="G358">
        <v>48</v>
      </c>
      <c r="H358">
        <v>26.68</v>
      </c>
      <c r="I358">
        <v>1280.6400000000001</v>
      </c>
      <c r="J358">
        <v>55.36</v>
      </c>
      <c r="K358">
        <v>481.28</v>
      </c>
      <c r="L358" t="s">
        <v>24</v>
      </c>
      <c r="M358" t="s">
        <v>34</v>
      </c>
      <c r="N358" t="s">
        <v>76</v>
      </c>
      <c r="O358" s="5">
        <f t="shared" si="5"/>
        <v>0.37581209395302345</v>
      </c>
    </row>
    <row r="359" spans="1:15" x14ac:dyDescent="0.3">
      <c r="A359" t="s">
        <v>794</v>
      </c>
      <c r="B359" t="s">
        <v>795</v>
      </c>
      <c r="C359" t="s">
        <v>191</v>
      </c>
      <c r="D359" t="s">
        <v>45</v>
      </c>
      <c r="E359" t="s">
        <v>74</v>
      </c>
      <c r="F359" t="s">
        <v>75</v>
      </c>
      <c r="G359">
        <v>24</v>
      </c>
      <c r="H359">
        <v>42.82</v>
      </c>
      <c r="I359">
        <v>1027.68</v>
      </c>
      <c r="J359">
        <v>69.95</v>
      </c>
      <c r="K359">
        <v>357.73</v>
      </c>
      <c r="L359" t="s">
        <v>24</v>
      </c>
      <c r="M359" t="s">
        <v>25</v>
      </c>
      <c r="N359" t="s">
        <v>49</v>
      </c>
      <c r="O359" s="5">
        <f t="shared" si="5"/>
        <v>0.34809473766152887</v>
      </c>
    </row>
    <row r="360" spans="1:15" x14ac:dyDescent="0.3">
      <c r="A360" t="s">
        <v>796</v>
      </c>
      <c r="B360" t="s">
        <v>179</v>
      </c>
      <c r="C360" t="s">
        <v>194</v>
      </c>
      <c r="D360" t="s">
        <v>206</v>
      </c>
      <c r="E360" t="s">
        <v>67</v>
      </c>
      <c r="F360" t="s">
        <v>68</v>
      </c>
      <c r="G360">
        <v>26</v>
      </c>
      <c r="H360">
        <v>34.4</v>
      </c>
      <c r="I360">
        <v>894.4</v>
      </c>
      <c r="J360">
        <v>40.42</v>
      </c>
      <c r="K360">
        <v>268.98</v>
      </c>
      <c r="L360" t="s">
        <v>24</v>
      </c>
      <c r="M360" t="s">
        <v>25</v>
      </c>
      <c r="N360" t="s">
        <v>207</v>
      </c>
      <c r="O360" s="5">
        <f t="shared" si="5"/>
        <v>0.3007379248658319</v>
      </c>
    </row>
    <row r="361" spans="1:15" x14ac:dyDescent="0.3">
      <c r="A361" t="s">
        <v>797</v>
      </c>
      <c r="B361" t="s">
        <v>798</v>
      </c>
      <c r="C361" t="s">
        <v>321</v>
      </c>
      <c r="D361" t="s">
        <v>37</v>
      </c>
      <c r="E361" t="s">
        <v>22</v>
      </c>
      <c r="F361" t="s">
        <v>23</v>
      </c>
      <c r="G361">
        <v>47</v>
      </c>
      <c r="H361">
        <v>44.89</v>
      </c>
      <c r="I361">
        <v>2109.83</v>
      </c>
      <c r="J361">
        <v>45.91</v>
      </c>
      <c r="K361">
        <v>418.92</v>
      </c>
      <c r="L361" t="s">
        <v>24</v>
      </c>
      <c r="M361" t="s">
        <v>34</v>
      </c>
      <c r="N361" t="s">
        <v>35</v>
      </c>
      <c r="O361" s="5">
        <f t="shared" si="5"/>
        <v>0.19855628178573631</v>
      </c>
    </row>
    <row r="362" spans="1:15" x14ac:dyDescent="0.3">
      <c r="A362" t="s">
        <v>799</v>
      </c>
      <c r="B362" t="s">
        <v>688</v>
      </c>
      <c r="C362" t="s">
        <v>285</v>
      </c>
      <c r="D362" t="s">
        <v>51</v>
      </c>
      <c r="E362" t="s">
        <v>81</v>
      </c>
      <c r="F362" t="s">
        <v>68</v>
      </c>
      <c r="G362">
        <v>1</v>
      </c>
      <c r="H362">
        <v>18.739999999999998</v>
      </c>
      <c r="I362">
        <v>18.739999999999998</v>
      </c>
      <c r="J362">
        <v>0.5</v>
      </c>
      <c r="K362">
        <v>2.74</v>
      </c>
      <c r="L362" t="s">
        <v>48</v>
      </c>
      <c r="M362" t="s">
        <v>34</v>
      </c>
      <c r="N362" t="s">
        <v>76</v>
      </c>
      <c r="O362" s="5">
        <f t="shared" si="5"/>
        <v>0.14621131270010676</v>
      </c>
    </row>
    <row r="363" spans="1:15" x14ac:dyDescent="0.3">
      <c r="A363" t="s">
        <v>800</v>
      </c>
      <c r="B363" t="s">
        <v>156</v>
      </c>
      <c r="C363" t="s">
        <v>272</v>
      </c>
      <c r="D363" t="s">
        <v>116</v>
      </c>
      <c r="E363" t="s">
        <v>67</v>
      </c>
      <c r="F363" t="s">
        <v>68</v>
      </c>
      <c r="G363">
        <v>27</v>
      </c>
      <c r="H363">
        <v>36.270000000000003</v>
      </c>
      <c r="I363">
        <v>979.29</v>
      </c>
      <c r="J363">
        <v>54.58</v>
      </c>
      <c r="K363">
        <v>317.20999999999998</v>
      </c>
      <c r="L363" t="s">
        <v>33</v>
      </c>
      <c r="M363" t="s">
        <v>34</v>
      </c>
      <c r="N363" t="s">
        <v>76</v>
      </c>
      <c r="O363" s="5">
        <f t="shared" si="5"/>
        <v>0.32391834900795474</v>
      </c>
    </row>
    <row r="364" spans="1:15" x14ac:dyDescent="0.3">
      <c r="A364" t="s">
        <v>801</v>
      </c>
      <c r="B364" t="s">
        <v>261</v>
      </c>
      <c r="C364" t="s">
        <v>151</v>
      </c>
      <c r="D364" t="s">
        <v>241</v>
      </c>
      <c r="E364" t="s">
        <v>86</v>
      </c>
      <c r="F364" t="s">
        <v>47</v>
      </c>
      <c r="G364">
        <v>13</v>
      </c>
      <c r="H364">
        <v>18.82</v>
      </c>
      <c r="I364">
        <v>244.66</v>
      </c>
      <c r="J364">
        <v>6.49</v>
      </c>
      <c r="K364">
        <v>72.42</v>
      </c>
      <c r="L364" t="s">
        <v>48</v>
      </c>
      <c r="M364" t="s">
        <v>34</v>
      </c>
      <c r="N364" t="s">
        <v>35</v>
      </c>
      <c r="O364" s="5">
        <f t="shared" si="5"/>
        <v>0.29600261587509197</v>
      </c>
    </row>
    <row r="365" spans="1:15" x14ac:dyDescent="0.3">
      <c r="A365" t="s">
        <v>802</v>
      </c>
      <c r="B365" t="s">
        <v>139</v>
      </c>
      <c r="C365" t="s">
        <v>539</v>
      </c>
      <c r="D365" t="s">
        <v>206</v>
      </c>
      <c r="E365" t="s">
        <v>137</v>
      </c>
      <c r="F365" t="s">
        <v>68</v>
      </c>
      <c r="G365">
        <v>41</v>
      </c>
      <c r="H365">
        <v>43.19</v>
      </c>
      <c r="I365">
        <v>1770.79</v>
      </c>
      <c r="J365">
        <v>83.28</v>
      </c>
      <c r="K365">
        <v>539.51</v>
      </c>
      <c r="L365" t="s">
        <v>33</v>
      </c>
      <c r="M365" t="s">
        <v>25</v>
      </c>
      <c r="N365" t="s">
        <v>207</v>
      </c>
      <c r="O365" s="5">
        <f t="shared" si="5"/>
        <v>0.30467192608948551</v>
      </c>
    </row>
    <row r="366" spans="1:15" x14ac:dyDescent="0.3">
      <c r="A366" t="s">
        <v>803</v>
      </c>
      <c r="B366" t="s">
        <v>804</v>
      </c>
      <c r="C366" t="s">
        <v>110</v>
      </c>
      <c r="D366" t="s">
        <v>51</v>
      </c>
      <c r="E366" t="s">
        <v>137</v>
      </c>
      <c r="F366" t="s">
        <v>68</v>
      </c>
      <c r="G366">
        <v>40</v>
      </c>
      <c r="H366">
        <v>42.31</v>
      </c>
      <c r="I366">
        <v>1692.4</v>
      </c>
      <c r="J366">
        <v>118.59</v>
      </c>
      <c r="K366">
        <v>453.81</v>
      </c>
      <c r="L366" t="s">
        <v>33</v>
      </c>
      <c r="M366" t="s">
        <v>41</v>
      </c>
      <c r="N366" t="s">
        <v>76</v>
      </c>
      <c r="O366" s="5">
        <f t="shared" si="5"/>
        <v>0.26814582840935947</v>
      </c>
    </row>
    <row r="367" spans="1:15" x14ac:dyDescent="0.3">
      <c r="A367" t="s">
        <v>805</v>
      </c>
      <c r="B367" t="s">
        <v>536</v>
      </c>
      <c r="C367" t="s">
        <v>440</v>
      </c>
      <c r="D367" t="s">
        <v>70</v>
      </c>
      <c r="E367" t="s">
        <v>46</v>
      </c>
      <c r="F367" t="s">
        <v>47</v>
      </c>
      <c r="G367">
        <v>1</v>
      </c>
      <c r="H367">
        <v>57.15</v>
      </c>
      <c r="I367">
        <v>57.15</v>
      </c>
      <c r="J367">
        <v>4.1100000000000003</v>
      </c>
      <c r="K367">
        <v>21.04</v>
      </c>
      <c r="L367" t="s">
        <v>33</v>
      </c>
      <c r="M367" t="s">
        <v>25</v>
      </c>
      <c r="N367" t="s">
        <v>76</v>
      </c>
      <c r="O367" s="5">
        <f t="shared" si="5"/>
        <v>0.36815398075240596</v>
      </c>
    </row>
    <row r="368" spans="1:15" x14ac:dyDescent="0.3">
      <c r="A368" t="s">
        <v>806</v>
      </c>
      <c r="B368" t="s">
        <v>196</v>
      </c>
      <c r="C368" t="s">
        <v>269</v>
      </c>
      <c r="D368" t="s">
        <v>55</v>
      </c>
      <c r="E368" t="s">
        <v>63</v>
      </c>
      <c r="F368" t="s">
        <v>47</v>
      </c>
      <c r="G368">
        <v>15</v>
      </c>
      <c r="H368">
        <v>30.03</v>
      </c>
      <c r="I368">
        <v>450.45</v>
      </c>
      <c r="J368">
        <v>29.99</v>
      </c>
      <c r="K368">
        <v>120.46</v>
      </c>
      <c r="L368" t="s">
        <v>48</v>
      </c>
      <c r="M368" t="s">
        <v>34</v>
      </c>
      <c r="N368" t="s">
        <v>98</v>
      </c>
      <c r="O368" s="5">
        <f t="shared" si="5"/>
        <v>0.26742146742146744</v>
      </c>
    </row>
    <row r="369" spans="1:15" x14ac:dyDescent="0.3">
      <c r="A369" t="s">
        <v>807</v>
      </c>
      <c r="B369" t="s">
        <v>808</v>
      </c>
      <c r="C369" t="s">
        <v>257</v>
      </c>
      <c r="D369" t="s">
        <v>45</v>
      </c>
      <c r="E369" t="s">
        <v>63</v>
      </c>
      <c r="F369" t="s">
        <v>47</v>
      </c>
      <c r="G369">
        <v>48</v>
      </c>
      <c r="H369">
        <v>30.91</v>
      </c>
      <c r="I369">
        <v>1483.68</v>
      </c>
      <c r="J369">
        <v>85.5</v>
      </c>
      <c r="K369">
        <v>438.18</v>
      </c>
      <c r="L369" t="s">
        <v>24</v>
      </c>
      <c r="M369" t="s">
        <v>34</v>
      </c>
      <c r="N369" t="s">
        <v>49</v>
      </c>
      <c r="O369" s="5">
        <f t="shared" si="5"/>
        <v>0.29533322549336782</v>
      </c>
    </row>
    <row r="370" spans="1:15" x14ac:dyDescent="0.3">
      <c r="A370" t="s">
        <v>809</v>
      </c>
      <c r="B370" t="s">
        <v>810</v>
      </c>
      <c r="C370" t="s">
        <v>511</v>
      </c>
      <c r="D370" t="s">
        <v>62</v>
      </c>
      <c r="E370" t="s">
        <v>67</v>
      </c>
      <c r="F370" t="s">
        <v>68</v>
      </c>
      <c r="G370">
        <v>8</v>
      </c>
      <c r="H370">
        <v>32.19</v>
      </c>
      <c r="I370">
        <v>257.52</v>
      </c>
      <c r="J370">
        <v>11.85</v>
      </c>
      <c r="K370">
        <v>65.67</v>
      </c>
      <c r="L370" t="s">
        <v>24</v>
      </c>
      <c r="M370" t="s">
        <v>25</v>
      </c>
      <c r="N370" t="s">
        <v>98</v>
      </c>
      <c r="O370" s="5">
        <f t="shared" si="5"/>
        <v>0.25500931966449208</v>
      </c>
    </row>
    <row r="371" spans="1:15" x14ac:dyDescent="0.3">
      <c r="A371" t="s">
        <v>811</v>
      </c>
      <c r="B371" t="s">
        <v>812</v>
      </c>
      <c r="C371" t="s">
        <v>235</v>
      </c>
      <c r="D371" t="s">
        <v>123</v>
      </c>
      <c r="E371" t="s">
        <v>56</v>
      </c>
      <c r="F371" t="s">
        <v>57</v>
      </c>
      <c r="G371">
        <v>22</v>
      </c>
      <c r="H371">
        <v>60.75</v>
      </c>
      <c r="I371">
        <v>1336.5</v>
      </c>
      <c r="J371">
        <v>38.340000000000003</v>
      </c>
      <c r="K371">
        <v>418.16</v>
      </c>
      <c r="L371" t="s">
        <v>24</v>
      </c>
      <c r="M371" t="s">
        <v>34</v>
      </c>
      <c r="N371" t="s">
        <v>76</v>
      </c>
      <c r="O371" s="5">
        <f t="shared" si="5"/>
        <v>0.3128769173213618</v>
      </c>
    </row>
    <row r="372" spans="1:15" x14ac:dyDescent="0.3">
      <c r="A372" t="s">
        <v>813</v>
      </c>
      <c r="B372" t="s">
        <v>319</v>
      </c>
      <c r="C372" t="s">
        <v>191</v>
      </c>
      <c r="D372" t="s">
        <v>37</v>
      </c>
      <c r="E372" t="s">
        <v>56</v>
      </c>
      <c r="F372" t="s">
        <v>57</v>
      </c>
      <c r="G372">
        <v>38</v>
      </c>
      <c r="H372">
        <v>66.06</v>
      </c>
      <c r="I372">
        <v>2510.2800000000002</v>
      </c>
      <c r="J372">
        <v>50.37</v>
      </c>
      <c r="K372">
        <v>939.91</v>
      </c>
      <c r="L372" t="s">
        <v>24</v>
      </c>
      <c r="M372" t="s">
        <v>25</v>
      </c>
      <c r="N372" t="s">
        <v>35</v>
      </c>
      <c r="O372" s="5">
        <f t="shared" si="5"/>
        <v>0.37442436700288412</v>
      </c>
    </row>
    <row r="373" spans="1:15" x14ac:dyDescent="0.3">
      <c r="A373" t="s">
        <v>814</v>
      </c>
      <c r="B373" t="s">
        <v>502</v>
      </c>
      <c r="C373" t="s">
        <v>157</v>
      </c>
      <c r="D373" t="s">
        <v>21</v>
      </c>
      <c r="E373" t="s">
        <v>22</v>
      </c>
      <c r="F373" t="s">
        <v>23</v>
      </c>
      <c r="G373">
        <v>33</v>
      </c>
      <c r="H373">
        <v>50.88</v>
      </c>
      <c r="I373">
        <v>1679.04</v>
      </c>
      <c r="J373">
        <v>61.48</v>
      </c>
      <c r="K373">
        <v>462.56</v>
      </c>
      <c r="L373" t="s">
        <v>24</v>
      </c>
      <c r="M373" t="s">
        <v>34</v>
      </c>
      <c r="N373" t="s">
        <v>98</v>
      </c>
      <c r="O373" s="5">
        <f t="shared" si="5"/>
        <v>0.27549075662283212</v>
      </c>
    </row>
    <row r="374" spans="1:15" x14ac:dyDescent="0.3">
      <c r="A374" t="s">
        <v>815</v>
      </c>
      <c r="B374" t="s">
        <v>816</v>
      </c>
      <c r="C374" t="s">
        <v>417</v>
      </c>
      <c r="D374" t="s">
        <v>51</v>
      </c>
      <c r="E374" t="s">
        <v>137</v>
      </c>
      <c r="F374" t="s">
        <v>68</v>
      </c>
      <c r="G374">
        <v>49</v>
      </c>
      <c r="H374">
        <v>34.479999999999997</v>
      </c>
      <c r="I374">
        <v>1689.52</v>
      </c>
      <c r="J374">
        <v>53.06</v>
      </c>
      <c r="K374">
        <v>264.45999999999998</v>
      </c>
      <c r="L374" t="s">
        <v>48</v>
      </c>
      <c r="M374" t="s">
        <v>41</v>
      </c>
      <c r="N374" t="s">
        <v>76</v>
      </c>
      <c r="O374" s="5">
        <f t="shared" si="5"/>
        <v>0.15652966523036127</v>
      </c>
    </row>
    <row r="375" spans="1:15" x14ac:dyDescent="0.3">
      <c r="A375" t="s">
        <v>817</v>
      </c>
      <c r="B375" t="s">
        <v>736</v>
      </c>
      <c r="C375" t="s">
        <v>269</v>
      </c>
      <c r="D375" t="s">
        <v>127</v>
      </c>
      <c r="E375" t="s">
        <v>63</v>
      </c>
      <c r="F375" t="s">
        <v>47</v>
      </c>
      <c r="G375">
        <v>31</v>
      </c>
      <c r="H375">
        <v>25.43</v>
      </c>
      <c r="I375">
        <v>788.33</v>
      </c>
      <c r="J375">
        <v>57.81</v>
      </c>
      <c r="K375">
        <v>110.52</v>
      </c>
      <c r="L375" t="s">
        <v>24</v>
      </c>
      <c r="M375" t="s">
        <v>34</v>
      </c>
      <c r="N375" t="s">
        <v>76</v>
      </c>
      <c r="O375" s="5">
        <f t="shared" si="5"/>
        <v>0.14019509596235077</v>
      </c>
    </row>
    <row r="376" spans="1:15" x14ac:dyDescent="0.3">
      <c r="A376" t="s">
        <v>818</v>
      </c>
      <c r="B376" t="s">
        <v>467</v>
      </c>
      <c r="C376" t="s">
        <v>360</v>
      </c>
      <c r="D376" t="s">
        <v>241</v>
      </c>
      <c r="E376" t="s">
        <v>63</v>
      </c>
      <c r="F376" t="s">
        <v>47</v>
      </c>
      <c r="G376">
        <v>29</v>
      </c>
      <c r="H376">
        <v>31.68</v>
      </c>
      <c r="I376">
        <v>918.72</v>
      </c>
      <c r="J376">
        <v>22.22</v>
      </c>
      <c r="K376">
        <v>316.5</v>
      </c>
      <c r="L376" t="s">
        <v>48</v>
      </c>
      <c r="M376" t="s">
        <v>25</v>
      </c>
      <c r="N376" t="s">
        <v>35</v>
      </c>
      <c r="O376" s="5">
        <f t="shared" si="5"/>
        <v>0.34450104493207939</v>
      </c>
    </row>
    <row r="377" spans="1:15" x14ac:dyDescent="0.3">
      <c r="A377" t="s">
        <v>819</v>
      </c>
      <c r="B377" t="s">
        <v>590</v>
      </c>
      <c r="C377" t="s">
        <v>559</v>
      </c>
      <c r="D377" t="s">
        <v>116</v>
      </c>
      <c r="E377" t="s">
        <v>137</v>
      </c>
      <c r="F377" t="s">
        <v>68</v>
      </c>
      <c r="G377">
        <v>42</v>
      </c>
      <c r="H377">
        <v>33.89</v>
      </c>
      <c r="I377">
        <v>1423.38</v>
      </c>
      <c r="J377">
        <v>85.4</v>
      </c>
      <c r="K377">
        <v>161.97999999999999</v>
      </c>
      <c r="L377" t="s">
        <v>48</v>
      </c>
      <c r="M377" t="s">
        <v>25</v>
      </c>
      <c r="N377" t="s">
        <v>76</v>
      </c>
      <c r="O377" s="5">
        <f t="shared" si="5"/>
        <v>0.11379954755581782</v>
      </c>
    </row>
    <row r="378" spans="1:15" x14ac:dyDescent="0.3">
      <c r="A378" t="s">
        <v>820</v>
      </c>
      <c r="B378" t="s">
        <v>821</v>
      </c>
      <c r="C378" t="s">
        <v>66</v>
      </c>
      <c r="D378" t="s">
        <v>116</v>
      </c>
      <c r="E378" t="s">
        <v>32</v>
      </c>
      <c r="F378" t="s">
        <v>23</v>
      </c>
      <c r="G378">
        <v>13</v>
      </c>
      <c r="H378">
        <v>21.75</v>
      </c>
      <c r="I378">
        <v>282.75</v>
      </c>
      <c r="J378">
        <v>12.5</v>
      </c>
      <c r="K378">
        <v>36.25</v>
      </c>
      <c r="L378" t="s">
        <v>48</v>
      </c>
      <c r="M378" t="s">
        <v>34</v>
      </c>
      <c r="N378" t="s">
        <v>76</v>
      </c>
      <c r="O378" s="5">
        <f t="shared" si="5"/>
        <v>0.12820512820512819</v>
      </c>
    </row>
    <row r="379" spans="1:15" x14ac:dyDescent="0.3">
      <c r="A379" t="s">
        <v>822</v>
      </c>
      <c r="B379" t="s">
        <v>823</v>
      </c>
      <c r="C379" t="s">
        <v>162</v>
      </c>
      <c r="D379" t="s">
        <v>127</v>
      </c>
      <c r="E379" t="s">
        <v>67</v>
      </c>
      <c r="F379" t="s">
        <v>68</v>
      </c>
      <c r="G379">
        <v>25</v>
      </c>
      <c r="H379">
        <v>37.58</v>
      </c>
      <c r="I379">
        <v>939.5</v>
      </c>
      <c r="J379">
        <v>48.44</v>
      </c>
      <c r="K379">
        <v>328.56</v>
      </c>
      <c r="L379" t="s">
        <v>48</v>
      </c>
      <c r="M379" t="s">
        <v>41</v>
      </c>
      <c r="N379" t="s">
        <v>76</v>
      </c>
      <c r="O379" s="5">
        <f t="shared" si="5"/>
        <v>0.34971793507184673</v>
      </c>
    </row>
    <row r="380" spans="1:15" x14ac:dyDescent="0.3">
      <c r="A380" t="s">
        <v>824</v>
      </c>
      <c r="B380" t="s">
        <v>825</v>
      </c>
      <c r="C380" t="s">
        <v>480</v>
      </c>
      <c r="D380" t="s">
        <v>241</v>
      </c>
      <c r="E380" t="s">
        <v>63</v>
      </c>
      <c r="F380" t="s">
        <v>47</v>
      </c>
      <c r="G380">
        <v>16</v>
      </c>
      <c r="H380">
        <v>25.25</v>
      </c>
      <c r="I380">
        <v>404</v>
      </c>
      <c r="J380">
        <v>18.75</v>
      </c>
      <c r="K380">
        <v>65.25</v>
      </c>
      <c r="L380" t="s">
        <v>33</v>
      </c>
      <c r="M380" t="s">
        <v>41</v>
      </c>
      <c r="N380" t="s">
        <v>35</v>
      </c>
      <c r="O380" s="5">
        <f t="shared" si="5"/>
        <v>0.16150990099009901</v>
      </c>
    </row>
    <row r="381" spans="1:15" x14ac:dyDescent="0.3">
      <c r="A381" t="s">
        <v>826</v>
      </c>
      <c r="B381" t="s">
        <v>131</v>
      </c>
      <c r="C381" t="s">
        <v>381</v>
      </c>
      <c r="D381" t="s">
        <v>127</v>
      </c>
      <c r="E381" t="s">
        <v>81</v>
      </c>
      <c r="F381" t="s">
        <v>68</v>
      </c>
      <c r="G381">
        <v>37</v>
      </c>
      <c r="H381">
        <v>25.85</v>
      </c>
      <c r="I381">
        <v>956.45</v>
      </c>
      <c r="J381">
        <v>31.7</v>
      </c>
      <c r="K381">
        <v>351.25</v>
      </c>
      <c r="L381" t="s">
        <v>48</v>
      </c>
      <c r="M381" t="s">
        <v>41</v>
      </c>
      <c r="N381" t="s">
        <v>76</v>
      </c>
      <c r="O381" s="5">
        <f t="shared" si="5"/>
        <v>0.3672434523498353</v>
      </c>
    </row>
    <row r="382" spans="1:15" x14ac:dyDescent="0.3">
      <c r="A382" t="s">
        <v>827</v>
      </c>
      <c r="B382" t="s">
        <v>421</v>
      </c>
      <c r="C382" t="s">
        <v>73</v>
      </c>
      <c r="D382" t="s">
        <v>116</v>
      </c>
      <c r="E382" t="s">
        <v>63</v>
      </c>
      <c r="F382" t="s">
        <v>47</v>
      </c>
      <c r="G382">
        <v>1</v>
      </c>
      <c r="H382">
        <v>25.72</v>
      </c>
      <c r="I382">
        <v>25.72</v>
      </c>
      <c r="J382">
        <v>2.04</v>
      </c>
      <c r="K382">
        <v>3.68</v>
      </c>
      <c r="L382" t="s">
        <v>48</v>
      </c>
      <c r="M382" t="s">
        <v>41</v>
      </c>
      <c r="N382" t="s">
        <v>76</v>
      </c>
      <c r="O382" s="5">
        <f t="shared" si="5"/>
        <v>0.14307931570762053</v>
      </c>
    </row>
    <row r="383" spans="1:15" x14ac:dyDescent="0.3">
      <c r="A383" t="s">
        <v>828</v>
      </c>
      <c r="B383" t="s">
        <v>229</v>
      </c>
      <c r="C383" t="s">
        <v>539</v>
      </c>
      <c r="D383" t="s">
        <v>116</v>
      </c>
      <c r="E383" t="s">
        <v>137</v>
      </c>
      <c r="F383" t="s">
        <v>68</v>
      </c>
      <c r="G383">
        <v>48</v>
      </c>
      <c r="H383">
        <v>47.05</v>
      </c>
      <c r="I383">
        <v>2258.4</v>
      </c>
      <c r="J383">
        <v>179.44</v>
      </c>
      <c r="K383">
        <v>734.96</v>
      </c>
      <c r="L383" t="s">
        <v>33</v>
      </c>
      <c r="M383" t="s">
        <v>34</v>
      </c>
      <c r="N383" t="s">
        <v>76</v>
      </c>
      <c r="O383" s="5">
        <f t="shared" si="5"/>
        <v>0.32543393552957844</v>
      </c>
    </row>
    <row r="384" spans="1:15" x14ac:dyDescent="0.3">
      <c r="A384" t="s">
        <v>829</v>
      </c>
      <c r="B384" t="s">
        <v>830</v>
      </c>
      <c r="C384" t="s">
        <v>197</v>
      </c>
      <c r="D384" t="s">
        <v>45</v>
      </c>
      <c r="E384" t="s">
        <v>63</v>
      </c>
      <c r="F384" t="s">
        <v>47</v>
      </c>
      <c r="G384">
        <v>48</v>
      </c>
      <c r="H384">
        <v>29.94</v>
      </c>
      <c r="I384">
        <v>1437.12</v>
      </c>
      <c r="J384">
        <v>30.14</v>
      </c>
      <c r="K384">
        <v>446.98</v>
      </c>
      <c r="L384" t="s">
        <v>33</v>
      </c>
      <c r="M384" t="s">
        <v>34</v>
      </c>
      <c r="N384" t="s">
        <v>49</v>
      </c>
      <c r="O384" s="5">
        <f t="shared" si="5"/>
        <v>0.31102482743264309</v>
      </c>
    </row>
    <row r="385" spans="1:15" x14ac:dyDescent="0.3">
      <c r="A385" t="s">
        <v>831</v>
      </c>
      <c r="B385" t="s">
        <v>832</v>
      </c>
      <c r="C385" t="s">
        <v>586</v>
      </c>
      <c r="D385" t="s">
        <v>37</v>
      </c>
      <c r="E385" t="s">
        <v>67</v>
      </c>
      <c r="F385" t="s">
        <v>68</v>
      </c>
      <c r="G385">
        <v>12</v>
      </c>
      <c r="H385">
        <v>35.68</v>
      </c>
      <c r="I385">
        <v>428.16</v>
      </c>
      <c r="J385">
        <v>13.07</v>
      </c>
      <c r="K385">
        <v>145.09</v>
      </c>
      <c r="L385" t="s">
        <v>33</v>
      </c>
      <c r="M385" t="s">
        <v>41</v>
      </c>
      <c r="N385" t="s">
        <v>35</v>
      </c>
      <c r="O385" s="5">
        <f t="shared" si="5"/>
        <v>0.33886864723467863</v>
      </c>
    </row>
    <row r="386" spans="1:15" x14ac:dyDescent="0.3">
      <c r="A386" t="s">
        <v>833</v>
      </c>
      <c r="B386" t="s">
        <v>706</v>
      </c>
      <c r="C386" t="s">
        <v>455</v>
      </c>
      <c r="D386" t="s">
        <v>21</v>
      </c>
      <c r="E386" t="s">
        <v>46</v>
      </c>
      <c r="F386" t="s">
        <v>47</v>
      </c>
      <c r="G386">
        <v>30</v>
      </c>
      <c r="H386">
        <v>49.32</v>
      </c>
      <c r="I386">
        <v>1479.6</v>
      </c>
      <c r="J386">
        <v>105.97</v>
      </c>
      <c r="K386">
        <v>413.63</v>
      </c>
      <c r="L386" t="s">
        <v>33</v>
      </c>
      <c r="M386" t="s">
        <v>34</v>
      </c>
      <c r="N386" t="s">
        <v>98</v>
      </c>
      <c r="O386" s="5">
        <f t="shared" si="5"/>
        <v>0.27955528521221951</v>
      </c>
    </row>
    <row r="387" spans="1:15" x14ac:dyDescent="0.3">
      <c r="A387" t="s">
        <v>834</v>
      </c>
      <c r="B387" t="s">
        <v>623</v>
      </c>
      <c r="C387" t="s">
        <v>475</v>
      </c>
      <c r="D387" t="s">
        <v>171</v>
      </c>
      <c r="E387" t="s">
        <v>137</v>
      </c>
      <c r="F387" t="s">
        <v>68</v>
      </c>
      <c r="G387">
        <v>27</v>
      </c>
      <c r="H387">
        <v>37.68</v>
      </c>
      <c r="I387">
        <v>1017.36</v>
      </c>
      <c r="J387">
        <v>80.739999999999995</v>
      </c>
      <c r="K387">
        <v>180.62</v>
      </c>
      <c r="L387" t="s">
        <v>48</v>
      </c>
      <c r="M387" t="s">
        <v>25</v>
      </c>
      <c r="N387" t="s">
        <v>35</v>
      </c>
      <c r="O387" s="5">
        <f t="shared" si="5"/>
        <v>0.17753794133836598</v>
      </c>
    </row>
    <row r="388" spans="1:15" x14ac:dyDescent="0.3">
      <c r="A388" t="s">
        <v>835</v>
      </c>
      <c r="B388" t="s">
        <v>836</v>
      </c>
      <c r="C388" t="s">
        <v>277</v>
      </c>
      <c r="D388" t="s">
        <v>37</v>
      </c>
      <c r="E388" t="s">
        <v>74</v>
      </c>
      <c r="F388" t="s">
        <v>75</v>
      </c>
      <c r="G388">
        <v>39</v>
      </c>
      <c r="H388">
        <v>36.340000000000003</v>
      </c>
      <c r="I388">
        <v>1417.26</v>
      </c>
      <c r="J388">
        <v>67</v>
      </c>
      <c r="K388">
        <v>375.26</v>
      </c>
      <c r="L388" t="s">
        <v>48</v>
      </c>
      <c r="M388" t="s">
        <v>34</v>
      </c>
      <c r="N388" t="s">
        <v>35</v>
      </c>
      <c r="O388" s="5">
        <f t="shared" si="5"/>
        <v>0.26477851629200005</v>
      </c>
    </row>
    <row r="389" spans="1:15" x14ac:dyDescent="0.3">
      <c r="A389" t="s">
        <v>837</v>
      </c>
      <c r="B389" t="s">
        <v>838</v>
      </c>
      <c r="C389" t="s">
        <v>73</v>
      </c>
      <c r="D389" t="s">
        <v>51</v>
      </c>
      <c r="E389" t="s">
        <v>81</v>
      </c>
      <c r="F389" t="s">
        <v>68</v>
      </c>
      <c r="G389">
        <v>16</v>
      </c>
      <c r="H389">
        <v>24.33</v>
      </c>
      <c r="I389">
        <v>389.28</v>
      </c>
      <c r="J389">
        <v>22.33</v>
      </c>
      <c r="K389">
        <v>118.95</v>
      </c>
      <c r="L389" t="s">
        <v>24</v>
      </c>
      <c r="M389" t="s">
        <v>41</v>
      </c>
      <c r="N389" t="s">
        <v>76</v>
      </c>
      <c r="O389" s="5">
        <f t="shared" si="5"/>
        <v>0.30556411837237979</v>
      </c>
    </row>
    <row r="390" spans="1:15" x14ac:dyDescent="0.3">
      <c r="A390" t="s">
        <v>839</v>
      </c>
      <c r="B390" t="s">
        <v>547</v>
      </c>
      <c r="C390" t="s">
        <v>475</v>
      </c>
      <c r="D390" t="s">
        <v>123</v>
      </c>
      <c r="E390" t="s">
        <v>81</v>
      </c>
      <c r="F390" t="s">
        <v>68</v>
      </c>
      <c r="G390">
        <v>40</v>
      </c>
      <c r="H390">
        <v>22.28</v>
      </c>
      <c r="I390">
        <v>891.2</v>
      </c>
      <c r="J390">
        <v>32.729999999999997</v>
      </c>
      <c r="K390">
        <v>238.47</v>
      </c>
      <c r="L390" t="s">
        <v>24</v>
      </c>
      <c r="M390" t="s">
        <v>34</v>
      </c>
      <c r="N390" t="s">
        <v>76</v>
      </c>
      <c r="O390" s="5">
        <f t="shared" si="5"/>
        <v>0.26758303411131057</v>
      </c>
    </row>
    <row r="391" spans="1:15" x14ac:dyDescent="0.3">
      <c r="A391" t="s">
        <v>840</v>
      </c>
      <c r="B391" t="s">
        <v>129</v>
      </c>
      <c r="C391" t="s">
        <v>170</v>
      </c>
      <c r="D391" t="s">
        <v>127</v>
      </c>
      <c r="E391" t="s">
        <v>86</v>
      </c>
      <c r="F391" t="s">
        <v>47</v>
      </c>
      <c r="G391">
        <v>45</v>
      </c>
      <c r="H391">
        <v>21.71</v>
      </c>
      <c r="I391">
        <v>976.95</v>
      </c>
      <c r="J391">
        <v>51.6</v>
      </c>
      <c r="K391">
        <v>351.6</v>
      </c>
      <c r="L391" t="s">
        <v>24</v>
      </c>
      <c r="M391" t="s">
        <v>25</v>
      </c>
      <c r="N391" t="s">
        <v>76</v>
      </c>
      <c r="O391" s="5">
        <f t="shared" ref="O391:O454" si="6">K391/I391</f>
        <v>0.35989559342852756</v>
      </c>
    </row>
    <row r="392" spans="1:15" x14ac:dyDescent="0.3">
      <c r="A392" t="s">
        <v>841</v>
      </c>
      <c r="B392" t="s">
        <v>477</v>
      </c>
      <c r="C392" t="s">
        <v>288</v>
      </c>
      <c r="D392" t="s">
        <v>241</v>
      </c>
      <c r="E392" t="s">
        <v>74</v>
      </c>
      <c r="F392" t="s">
        <v>75</v>
      </c>
      <c r="G392">
        <v>8</v>
      </c>
      <c r="H392">
        <v>31.07</v>
      </c>
      <c r="I392">
        <v>248.56</v>
      </c>
      <c r="J392">
        <v>10.97</v>
      </c>
      <c r="K392">
        <v>37.590000000000003</v>
      </c>
      <c r="L392" t="s">
        <v>24</v>
      </c>
      <c r="M392" t="s">
        <v>34</v>
      </c>
      <c r="N392" t="s">
        <v>35</v>
      </c>
      <c r="O392" s="5">
        <f t="shared" si="6"/>
        <v>0.15123109108464758</v>
      </c>
    </row>
    <row r="393" spans="1:15" x14ac:dyDescent="0.3">
      <c r="A393" t="s">
        <v>842</v>
      </c>
      <c r="B393" t="s">
        <v>843</v>
      </c>
      <c r="C393" t="s">
        <v>369</v>
      </c>
      <c r="D393" t="s">
        <v>171</v>
      </c>
      <c r="E393" t="s">
        <v>86</v>
      </c>
      <c r="F393" t="s">
        <v>47</v>
      </c>
      <c r="G393">
        <v>47</v>
      </c>
      <c r="H393">
        <v>21.93</v>
      </c>
      <c r="I393">
        <v>1030.71</v>
      </c>
      <c r="J393">
        <v>70.989999999999995</v>
      </c>
      <c r="K393">
        <v>360.47</v>
      </c>
      <c r="L393" t="s">
        <v>48</v>
      </c>
      <c r="M393" t="s">
        <v>25</v>
      </c>
      <c r="N393" t="s">
        <v>35</v>
      </c>
      <c r="O393" s="5">
        <f t="shared" si="6"/>
        <v>0.3497297979062976</v>
      </c>
    </row>
    <row r="394" spans="1:15" x14ac:dyDescent="0.3">
      <c r="A394" t="s">
        <v>844</v>
      </c>
      <c r="B394" t="s">
        <v>845</v>
      </c>
      <c r="C394" t="s">
        <v>165</v>
      </c>
      <c r="D394" t="s">
        <v>171</v>
      </c>
      <c r="E394" t="s">
        <v>86</v>
      </c>
      <c r="F394" t="s">
        <v>47</v>
      </c>
      <c r="G394">
        <v>46</v>
      </c>
      <c r="H394">
        <v>21.46</v>
      </c>
      <c r="I394">
        <v>987.16</v>
      </c>
      <c r="J394">
        <v>21.64</v>
      </c>
      <c r="K394">
        <v>379.02</v>
      </c>
      <c r="L394" t="s">
        <v>33</v>
      </c>
      <c r="M394" t="s">
        <v>25</v>
      </c>
      <c r="N394" t="s">
        <v>35</v>
      </c>
      <c r="O394" s="5">
        <f t="shared" si="6"/>
        <v>0.38394991693342517</v>
      </c>
    </row>
    <row r="395" spans="1:15" x14ac:dyDescent="0.3">
      <c r="A395" t="s">
        <v>846</v>
      </c>
      <c r="B395" t="s">
        <v>847</v>
      </c>
      <c r="C395" t="s">
        <v>126</v>
      </c>
      <c r="D395" t="s">
        <v>21</v>
      </c>
      <c r="E395" t="s">
        <v>137</v>
      </c>
      <c r="F395" t="s">
        <v>68</v>
      </c>
      <c r="G395">
        <v>45</v>
      </c>
      <c r="H395">
        <v>47.1</v>
      </c>
      <c r="I395">
        <v>2119.5</v>
      </c>
      <c r="J395">
        <v>120.16</v>
      </c>
      <c r="K395">
        <v>739.34</v>
      </c>
      <c r="L395" t="s">
        <v>33</v>
      </c>
      <c r="M395" t="s">
        <v>34</v>
      </c>
      <c r="N395" t="s">
        <v>98</v>
      </c>
      <c r="O395" s="5">
        <f t="shared" si="6"/>
        <v>0.34882755366831802</v>
      </c>
    </row>
    <row r="396" spans="1:15" x14ac:dyDescent="0.3">
      <c r="A396" t="s">
        <v>848</v>
      </c>
      <c r="B396" t="s">
        <v>319</v>
      </c>
      <c r="C396" t="s">
        <v>20</v>
      </c>
      <c r="D396" t="s">
        <v>70</v>
      </c>
      <c r="E396" t="s">
        <v>22</v>
      </c>
      <c r="F396" t="s">
        <v>23</v>
      </c>
      <c r="G396">
        <v>2</v>
      </c>
      <c r="H396">
        <v>58.32</v>
      </c>
      <c r="I396">
        <v>116.64</v>
      </c>
      <c r="J396">
        <v>8.99</v>
      </c>
      <c r="K396">
        <v>37.65</v>
      </c>
      <c r="L396" t="s">
        <v>24</v>
      </c>
      <c r="M396" t="s">
        <v>34</v>
      </c>
      <c r="N396" t="s">
        <v>76</v>
      </c>
      <c r="O396" s="5">
        <f t="shared" si="6"/>
        <v>0.32278806584362141</v>
      </c>
    </row>
    <row r="397" spans="1:15" x14ac:dyDescent="0.3">
      <c r="A397" t="s">
        <v>849</v>
      </c>
      <c r="B397" t="s">
        <v>850</v>
      </c>
      <c r="C397" t="s">
        <v>475</v>
      </c>
      <c r="D397" t="s">
        <v>171</v>
      </c>
      <c r="E397" t="s">
        <v>22</v>
      </c>
      <c r="F397" t="s">
        <v>23</v>
      </c>
      <c r="G397">
        <v>31</v>
      </c>
      <c r="H397">
        <v>61.34</v>
      </c>
      <c r="I397">
        <v>1901.54</v>
      </c>
      <c r="J397">
        <v>147.43</v>
      </c>
      <c r="K397">
        <v>669.11</v>
      </c>
      <c r="L397" t="s">
        <v>33</v>
      </c>
      <c r="M397" t="s">
        <v>25</v>
      </c>
      <c r="N397" t="s">
        <v>35</v>
      </c>
      <c r="O397" s="5">
        <f t="shared" si="6"/>
        <v>0.35187795155505541</v>
      </c>
    </row>
    <row r="398" spans="1:15" x14ac:dyDescent="0.3">
      <c r="A398" t="s">
        <v>851</v>
      </c>
      <c r="B398" t="s">
        <v>852</v>
      </c>
      <c r="C398" t="s">
        <v>266</v>
      </c>
      <c r="D398" t="s">
        <v>55</v>
      </c>
      <c r="E398" t="s">
        <v>74</v>
      </c>
      <c r="F398" t="s">
        <v>75</v>
      </c>
      <c r="G398">
        <v>15</v>
      </c>
      <c r="H398">
        <v>43.9</v>
      </c>
      <c r="I398">
        <v>658.5</v>
      </c>
      <c r="J398">
        <v>36.479999999999997</v>
      </c>
      <c r="K398">
        <v>247.02</v>
      </c>
      <c r="L398" t="s">
        <v>48</v>
      </c>
      <c r="M398" t="s">
        <v>34</v>
      </c>
      <c r="N398" t="s">
        <v>98</v>
      </c>
      <c r="O398" s="5">
        <f t="shared" si="6"/>
        <v>0.37512528473804102</v>
      </c>
    </row>
    <row r="399" spans="1:15" x14ac:dyDescent="0.3">
      <c r="A399" t="s">
        <v>853</v>
      </c>
      <c r="B399" t="s">
        <v>854</v>
      </c>
      <c r="C399" t="s">
        <v>266</v>
      </c>
      <c r="D399" t="s">
        <v>37</v>
      </c>
      <c r="E399" t="s">
        <v>86</v>
      </c>
      <c r="F399" t="s">
        <v>47</v>
      </c>
      <c r="G399">
        <v>4</v>
      </c>
      <c r="H399">
        <v>20.53</v>
      </c>
      <c r="I399">
        <v>82.12</v>
      </c>
      <c r="J399">
        <v>4.05</v>
      </c>
      <c r="K399">
        <v>27.07</v>
      </c>
      <c r="L399" t="s">
        <v>24</v>
      </c>
      <c r="M399" t="s">
        <v>41</v>
      </c>
      <c r="N399" t="s">
        <v>35</v>
      </c>
      <c r="O399" s="5">
        <f t="shared" si="6"/>
        <v>0.32963955187530442</v>
      </c>
    </row>
    <row r="400" spans="1:15" x14ac:dyDescent="0.3">
      <c r="A400" t="s">
        <v>855</v>
      </c>
      <c r="B400" t="s">
        <v>433</v>
      </c>
      <c r="C400" t="s">
        <v>238</v>
      </c>
      <c r="D400" t="s">
        <v>206</v>
      </c>
      <c r="E400" t="s">
        <v>63</v>
      </c>
      <c r="F400" t="s">
        <v>47</v>
      </c>
      <c r="G400">
        <v>6</v>
      </c>
      <c r="H400">
        <v>24.7</v>
      </c>
      <c r="I400">
        <v>148.19999999999999</v>
      </c>
      <c r="J400">
        <v>3.76</v>
      </c>
      <c r="K400">
        <v>24.44</v>
      </c>
      <c r="L400" t="s">
        <v>48</v>
      </c>
      <c r="M400" t="s">
        <v>25</v>
      </c>
      <c r="N400" t="s">
        <v>207</v>
      </c>
      <c r="O400" s="5">
        <f t="shared" si="6"/>
        <v>0.1649122807017544</v>
      </c>
    </row>
    <row r="401" spans="1:15" x14ac:dyDescent="0.3">
      <c r="A401" t="s">
        <v>856</v>
      </c>
      <c r="B401" t="s">
        <v>857</v>
      </c>
      <c r="C401" t="s">
        <v>521</v>
      </c>
      <c r="D401" t="s">
        <v>45</v>
      </c>
      <c r="E401" t="s">
        <v>86</v>
      </c>
      <c r="F401" t="s">
        <v>47</v>
      </c>
      <c r="G401">
        <v>19</v>
      </c>
      <c r="H401">
        <v>19.170000000000002</v>
      </c>
      <c r="I401">
        <v>364.23</v>
      </c>
      <c r="J401">
        <v>15.16</v>
      </c>
      <c r="K401">
        <v>106.82</v>
      </c>
      <c r="L401" t="s">
        <v>33</v>
      </c>
      <c r="M401" t="s">
        <v>34</v>
      </c>
      <c r="N401" t="s">
        <v>49</v>
      </c>
      <c r="O401" s="5">
        <f t="shared" si="6"/>
        <v>0.29327622656014052</v>
      </c>
    </row>
    <row r="402" spans="1:15" x14ac:dyDescent="0.3">
      <c r="A402" t="s">
        <v>858</v>
      </c>
      <c r="B402" t="s">
        <v>243</v>
      </c>
      <c r="C402" t="s">
        <v>630</v>
      </c>
      <c r="D402" t="s">
        <v>51</v>
      </c>
      <c r="E402" t="s">
        <v>56</v>
      </c>
      <c r="F402" t="s">
        <v>57</v>
      </c>
      <c r="G402">
        <v>2</v>
      </c>
      <c r="H402">
        <v>55.28</v>
      </c>
      <c r="I402">
        <v>110.56</v>
      </c>
      <c r="J402">
        <v>5.37</v>
      </c>
      <c r="K402">
        <v>25.19</v>
      </c>
      <c r="L402" t="s">
        <v>48</v>
      </c>
      <c r="M402" t="s">
        <v>34</v>
      </c>
      <c r="N402" t="s">
        <v>76</v>
      </c>
      <c r="O402" s="5">
        <f t="shared" si="6"/>
        <v>0.22784008683068019</v>
      </c>
    </row>
    <row r="403" spans="1:15" x14ac:dyDescent="0.3">
      <c r="A403" t="s">
        <v>859</v>
      </c>
      <c r="B403" t="s">
        <v>860</v>
      </c>
      <c r="C403" t="s">
        <v>334</v>
      </c>
      <c r="D403" t="s">
        <v>45</v>
      </c>
      <c r="E403" t="s">
        <v>74</v>
      </c>
      <c r="F403" t="s">
        <v>75</v>
      </c>
      <c r="G403">
        <v>49</v>
      </c>
      <c r="H403">
        <v>43.91</v>
      </c>
      <c r="I403">
        <v>2151.59</v>
      </c>
      <c r="J403">
        <v>63.55</v>
      </c>
      <c r="K403">
        <v>863.04</v>
      </c>
      <c r="L403" t="s">
        <v>24</v>
      </c>
      <c r="M403" t="s">
        <v>34</v>
      </c>
      <c r="N403" t="s">
        <v>49</v>
      </c>
      <c r="O403" s="5">
        <f t="shared" si="6"/>
        <v>0.40111731324276462</v>
      </c>
    </row>
    <row r="404" spans="1:15" x14ac:dyDescent="0.3">
      <c r="A404" t="s">
        <v>861</v>
      </c>
      <c r="B404" t="s">
        <v>862</v>
      </c>
      <c r="C404" t="s">
        <v>307</v>
      </c>
      <c r="D404" t="s">
        <v>45</v>
      </c>
      <c r="E404" t="s">
        <v>74</v>
      </c>
      <c r="F404" t="s">
        <v>75</v>
      </c>
      <c r="G404">
        <v>29</v>
      </c>
      <c r="H404">
        <v>41.84</v>
      </c>
      <c r="I404">
        <v>1213.3599999999999</v>
      </c>
      <c r="J404">
        <v>56.83</v>
      </c>
      <c r="K404">
        <v>431.53</v>
      </c>
      <c r="L404" t="s">
        <v>48</v>
      </c>
      <c r="M404" t="s">
        <v>41</v>
      </c>
      <c r="N404" t="s">
        <v>49</v>
      </c>
      <c r="O404" s="5">
        <f t="shared" si="6"/>
        <v>0.35564877694995717</v>
      </c>
    </row>
    <row r="405" spans="1:15" x14ac:dyDescent="0.3">
      <c r="A405" t="s">
        <v>863</v>
      </c>
      <c r="B405" t="s">
        <v>798</v>
      </c>
      <c r="C405" t="s">
        <v>282</v>
      </c>
      <c r="D405" t="s">
        <v>141</v>
      </c>
      <c r="E405" t="s">
        <v>81</v>
      </c>
      <c r="F405" t="s">
        <v>68</v>
      </c>
      <c r="G405">
        <v>43</v>
      </c>
      <c r="H405">
        <v>27.41</v>
      </c>
      <c r="I405">
        <v>1178.6300000000001</v>
      </c>
      <c r="J405">
        <v>55.82</v>
      </c>
      <c r="K405">
        <v>456.31</v>
      </c>
      <c r="L405" t="s">
        <v>48</v>
      </c>
      <c r="M405" t="s">
        <v>34</v>
      </c>
      <c r="N405" t="s">
        <v>142</v>
      </c>
      <c r="O405" s="5">
        <f t="shared" si="6"/>
        <v>0.38715288088713162</v>
      </c>
    </row>
    <row r="406" spans="1:15" x14ac:dyDescent="0.3">
      <c r="A406" t="s">
        <v>864</v>
      </c>
      <c r="B406" t="s">
        <v>271</v>
      </c>
      <c r="C406" t="s">
        <v>743</v>
      </c>
      <c r="D406" t="s">
        <v>62</v>
      </c>
      <c r="E406" t="s">
        <v>63</v>
      </c>
      <c r="F406" t="s">
        <v>47</v>
      </c>
      <c r="G406">
        <v>28</v>
      </c>
      <c r="H406">
        <v>31.84</v>
      </c>
      <c r="I406">
        <v>891.52</v>
      </c>
      <c r="J406">
        <v>54.24</v>
      </c>
      <c r="K406">
        <v>277.27999999999997</v>
      </c>
      <c r="L406" t="s">
        <v>24</v>
      </c>
      <c r="M406" t="s">
        <v>34</v>
      </c>
      <c r="N406" t="s">
        <v>98</v>
      </c>
      <c r="O406" s="5">
        <f t="shared" si="6"/>
        <v>0.31101938262742279</v>
      </c>
    </row>
    <row r="407" spans="1:15" x14ac:dyDescent="0.3">
      <c r="A407" t="s">
        <v>865</v>
      </c>
      <c r="B407" t="s">
        <v>419</v>
      </c>
      <c r="C407" t="s">
        <v>462</v>
      </c>
      <c r="D407" t="s">
        <v>51</v>
      </c>
      <c r="E407" t="s">
        <v>74</v>
      </c>
      <c r="F407" t="s">
        <v>75</v>
      </c>
      <c r="G407">
        <v>42</v>
      </c>
      <c r="H407">
        <v>35.840000000000003</v>
      </c>
      <c r="I407">
        <v>1505.28</v>
      </c>
      <c r="J407">
        <v>60.65</v>
      </c>
      <c r="K407">
        <v>394.63</v>
      </c>
      <c r="L407" t="s">
        <v>48</v>
      </c>
      <c r="M407" t="s">
        <v>34</v>
      </c>
      <c r="N407" t="s">
        <v>76</v>
      </c>
      <c r="O407" s="5">
        <f t="shared" si="6"/>
        <v>0.262163849914966</v>
      </c>
    </row>
    <row r="408" spans="1:15" x14ac:dyDescent="0.3">
      <c r="A408" t="s">
        <v>866</v>
      </c>
      <c r="B408" t="s">
        <v>581</v>
      </c>
      <c r="C408" t="s">
        <v>85</v>
      </c>
      <c r="D408" t="s">
        <v>116</v>
      </c>
      <c r="E408" t="s">
        <v>67</v>
      </c>
      <c r="F408" t="s">
        <v>68</v>
      </c>
      <c r="G408">
        <v>22</v>
      </c>
      <c r="H408">
        <v>30.55</v>
      </c>
      <c r="I408">
        <v>672.1</v>
      </c>
      <c r="J408">
        <v>46.8</v>
      </c>
      <c r="K408">
        <v>130.30000000000001</v>
      </c>
      <c r="L408" t="s">
        <v>33</v>
      </c>
      <c r="M408" t="s">
        <v>41</v>
      </c>
      <c r="N408" t="s">
        <v>76</v>
      </c>
      <c r="O408" s="5">
        <f t="shared" si="6"/>
        <v>0.19386995982740665</v>
      </c>
    </row>
    <row r="409" spans="1:15" x14ac:dyDescent="0.3">
      <c r="A409" t="s">
        <v>867</v>
      </c>
      <c r="B409" t="s">
        <v>248</v>
      </c>
      <c r="C409" t="s">
        <v>352</v>
      </c>
      <c r="D409" t="s">
        <v>127</v>
      </c>
      <c r="E409" t="s">
        <v>137</v>
      </c>
      <c r="F409" t="s">
        <v>68</v>
      </c>
      <c r="G409">
        <v>13</v>
      </c>
      <c r="H409">
        <v>45.16</v>
      </c>
      <c r="I409">
        <v>587.08000000000004</v>
      </c>
      <c r="J409">
        <v>29.68</v>
      </c>
      <c r="K409">
        <v>193.4</v>
      </c>
      <c r="L409" t="s">
        <v>33</v>
      </c>
      <c r="M409" t="s">
        <v>34</v>
      </c>
      <c r="N409" t="s">
        <v>76</v>
      </c>
      <c r="O409" s="5">
        <f t="shared" si="6"/>
        <v>0.32942699461742864</v>
      </c>
    </row>
    <row r="410" spans="1:15" x14ac:dyDescent="0.3">
      <c r="A410" t="s">
        <v>868</v>
      </c>
      <c r="B410" t="s">
        <v>617</v>
      </c>
      <c r="C410" t="s">
        <v>227</v>
      </c>
      <c r="D410" t="s">
        <v>206</v>
      </c>
      <c r="E410" t="s">
        <v>22</v>
      </c>
      <c r="F410" t="s">
        <v>23</v>
      </c>
      <c r="G410">
        <v>40</v>
      </c>
      <c r="H410">
        <v>45.23</v>
      </c>
      <c r="I410">
        <v>1809.2</v>
      </c>
      <c r="J410">
        <v>136.25</v>
      </c>
      <c r="K410">
        <v>272.95</v>
      </c>
      <c r="L410" t="s">
        <v>48</v>
      </c>
      <c r="M410" t="s">
        <v>41</v>
      </c>
      <c r="N410" t="s">
        <v>207</v>
      </c>
      <c r="O410" s="5">
        <f t="shared" si="6"/>
        <v>0.15086778686712357</v>
      </c>
    </row>
    <row r="411" spans="1:15" x14ac:dyDescent="0.3">
      <c r="A411" t="s">
        <v>869</v>
      </c>
      <c r="B411" t="s">
        <v>629</v>
      </c>
      <c r="C411" t="s">
        <v>410</v>
      </c>
      <c r="D411" t="s">
        <v>127</v>
      </c>
      <c r="E411" t="s">
        <v>32</v>
      </c>
      <c r="F411" t="s">
        <v>23</v>
      </c>
      <c r="G411">
        <v>41</v>
      </c>
      <c r="H411">
        <v>22.78</v>
      </c>
      <c r="I411">
        <v>933.98</v>
      </c>
      <c r="J411">
        <v>38.369999999999997</v>
      </c>
      <c r="K411">
        <v>157.61000000000001</v>
      </c>
      <c r="L411" t="s">
        <v>33</v>
      </c>
      <c r="M411" t="s">
        <v>25</v>
      </c>
      <c r="N411" t="s">
        <v>76</v>
      </c>
      <c r="O411" s="5">
        <f t="shared" si="6"/>
        <v>0.16875093685089618</v>
      </c>
    </row>
    <row r="412" spans="1:15" x14ac:dyDescent="0.3">
      <c r="A412" t="s">
        <v>870</v>
      </c>
      <c r="B412" t="s">
        <v>871</v>
      </c>
      <c r="C412" t="s">
        <v>165</v>
      </c>
      <c r="D412" t="s">
        <v>171</v>
      </c>
      <c r="E412" t="s">
        <v>81</v>
      </c>
      <c r="F412" t="s">
        <v>68</v>
      </c>
      <c r="G412">
        <v>34</v>
      </c>
      <c r="H412">
        <v>24.21</v>
      </c>
      <c r="I412">
        <v>823.14</v>
      </c>
      <c r="J412">
        <v>58.25</v>
      </c>
      <c r="K412">
        <v>237.89</v>
      </c>
      <c r="L412" t="s">
        <v>24</v>
      </c>
      <c r="M412" t="s">
        <v>25</v>
      </c>
      <c r="N412" t="s">
        <v>35</v>
      </c>
      <c r="O412" s="5">
        <f t="shared" si="6"/>
        <v>0.28900308574483075</v>
      </c>
    </row>
    <row r="413" spans="1:15" x14ac:dyDescent="0.3">
      <c r="A413" t="s">
        <v>872</v>
      </c>
      <c r="B413" t="s">
        <v>199</v>
      </c>
      <c r="C413" t="s">
        <v>185</v>
      </c>
      <c r="D413" t="s">
        <v>31</v>
      </c>
      <c r="E413" t="s">
        <v>63</v>
      </c>
      <c r="F413" t="s">
        <v>47</v>
      </c>
      <c r="G413">
        <v>46</v>
      </c>
      <c r="H413">
        <v>34.64</v>
      </c>
      <c r="I413">
        <v>1593.44</v>
      </c>
      <c r="J413">
        <v>45.93</v>
      </c>
      <c r="K413">
        <v>627.51</v>
      </c>
      <c r="L413" t="s">
        <v>48</v>
      </c>
      <c r="M413" t="s">
        <v>25</v>
      </c>
      <c r="N413" t="s">
        <v>35</v>
      </c>
      <c r="O413" s="5">
        <f t="shared" si="6"/>
        <v>0.39380836429360377</v>
      </c>
    </row>
    <row r="414" spans="1:15" x14ac:dyDescent="0.3">
      <c r="A414" t="s">
        <v>873</v>
      </c>
      <c r="B414" t="s">
        <v>874</v>
      </c>
      <c r="C414" t="s">
        <v>227</v>
      </c>
      <c r="D414" t="s">
        <v>55</v>
      </c>
      <c r="E414" t="s">
        <v>63</v>
      </c>
      <c r="F414" t="s">
        <v>47</v>
      </c>
      <c r="G414">
        <v>10</v>
      </c>
      <c r="H414">
        <v>27.06</v>
      </c>
      <c r="I414">
        <v>270.60000000000002</v>
      </c>
      <c r="J414">
        <v>15.35</v>
      </c>
      <c r="K414">
        <v>55.25</v>
      </c>
      <c r="L414" t="s">
        <v>24</v>
      </c>
      <c r="M414" t="s">
        <v>41</v>
      </c>
      <c r="N414" t="s">
        <v>98</v>
      </c>
      <c r="O414" s="5">
        <f t="shared" si="6"/>
        <v>0.20417590539541758</v>
      </c>
    </row>
    <row r="415" spans="1:15" x14ac:dyDescent="0.3">
      <c r="A415" t="s">
        <v>875</v>
      </c>
      <c r="B415" t="s">
        <v>642</v>
      </c>
      <c r="C415" t="s">
        <v>222</v>
      </c>
      <c r="D415" t="s">
        <v>31</v>
      </c>
      <c r="E415" t="s">
        <v>32</v>
      </c>
      <c r="F415" t="s">
        <v>23</v>
      </c>
      <c r="G415">
        <v>11</v>
      </c>
      <c r="H415">
        <v>27.74</v>
      </c>
      <c r="I415">
        <v>305.14</v>
      </c>
      <c r="J415">
        <v>10.81</v>
      </c>
      <c r="K415">
        <v>96.33</v>
      </c>
      <c r="L415" t="s">
        <v>33</v>
      </c>
      <c r="M415" t="s">
        <v>41</v>
      </c>
      <c r="N415" t="s">
        <v>35</v>
      </c>
      <c r="O415" s="5">
        <f t="shared" si="6"/>
        <v>0.31569115815691157</v>
      </c>
    </row>
    <row r="416" spans="1:15" x14ac:dyDescent="0.3">
      <c r="A416" t="s">
        <v>876</v>
      </c>
      <c r="B416" t="s">
        <v>877</v>
      </c>
      <c r="C416" t="s">
        <v>157</v>
      </c>
      <c r="D416" t="s">
        <v>55</v>
      </c>
      <c r="E416" t="s">
        <v>137</v>
      </c>
      <c r="F416" t="s">
        <v>68</v>
      </c>
      <c r="G416">
        <v>29</v>
      </c>
      <c r="H416">
        <v>38.08</v>
      </c>
      <c r="I416">
        <v>1104.32</v>
      </c>
      <c r="J416">
        <v>25.63</v>
      </c>
      <c r="K416">
        <v>266.69</v>
      </c>
      <c r="L416" t="s">
        <v>33</v>
      </c>
      <c r="M416" t="s">
        <v>41</v>
      </c>
      <c r="N416" t="s">
        <v>98</v>
      </c>
      <c r="O416" s="5">
        <f t="shared" si="6"/>
        <v>0.24149702984642135</v>
      </c>
    </row>
    <row r="417" spans="1:15" x14ac:dyDescent="0.3">
      <c r="A417" t="s">
        <v>878</v>
      </c>
      <c r="B417" t="s">
        <v>340</v>
      </c>
      <c r="C417" t="s">
        <v>191</v>
      </c>
      <c r="D417" t="s">
        <v>55</v>
      </c>
      <c r="E417" t="s">
        <v>137</v>
      </c>
      <c r="F417" t="s">
        <v>68</v>
      </c>
      <c r="G417">
        <v>18</v>
      </c>
      <c r="H417">
        <v>43.65</v>
      </c>
      <c r="I417">
        <v>785.7</v>
      </c>
      <c r="J417">
        <v>54.52</v>
      </c>
      <c r="K417">
        <v>227.18</v>
      </c>
      <c r="L417" t="s">
        <v>33</v>
      </c>
      <c r="M417" t="s">
        <v>25</v>
      </c>
      <c r="N417" t="s">
        <v>98</v>
      </c>
      <c r="O417" s="5">
        <f t="shared" si="6"/>
        <v>0.28914343897161765</v>
      </c>
    </row>
    <row r="418" spans="1:15" x14ac:dyDescent="0.3">
      <c r="A418" t="s">
        <v>879</v>
      </c>
      <c r="B418" t="s">
        <v>488</v>
      </c>
      <c r="C418" t="s">
        <v>559</v>
      </c>
      <c r="D418" t="s">
        <v>171</v>
      </c>
      <c r="E418" t="s">
        <v>22</v>
      </c>
      <c r="F418" t="s">
        <v>23</v>
      </c>
      <c r="G418">
        <v>49</v>
      </c>
      <c r="H418">
        <v>51.97</v>
      </c>
      <c r="I418">
        <v>2546.5300000000002</v>
      </c>
      <c r="J418">
        <v>112.26</v>
      </c>
      <c r="K418">
        <v>719.27</v>
      </c>
      <c r="L418" t="s">
        <v>33</v>
      </c>
      <c r="M418" t="s">
        <v>34</v>
      </c>
      <c r="N418" t="s">
        <v>35</v>
      </c>
      <c r="O418" s="5">
        <f t="shared" si="6"/>
        <v>0.28245102158623692</v>
      </c>
    </row>
    <row r="419" spans="1:15" x14ac:dyDescent="0.3">
      <c r="A419" t="s">
        <v>880</v>
      </c>
      <c r="B419" t="s">
        <v>754</v>
      </c>
      <c r="C419" t="s">
        <v>197</v>
      </c>
      <c r="D419" t="s">
        <v>116</v>
      </c>
      <c r="E419" t="s">
        <v>74</v>
      </c>
      <c r="F419" t="s">
        <v>75</v>
      </c>
      <c r="G419">
        <v>13</v>
      </c>
      <c r="H419">
        <v>36.85</v>
      </c>
      <c r="I419">
        <v>479.05</v>
      </c>
      <c r="J419">
        <v>10.15</v>
      </c>
      <c r="K419">
        <v>143.9</v>
      </c>
      <c r="L419" t="s">
        <v>24</v>
      </c>
      <c r="M419" t="s">
        <v>41</v>
      </c>
      <c r="N419" t="s">
        <v>76</v>
      </c>
      <c r="O419" s="5">
        <f t="shared" si="6"/>
        <v>0.30038618098319592</v>
      </c>
    </row>
    <row r="420" spans="1:15" x14ac:dyDescent="0.3">
      <c r="A420" t="s">
        <v>881</v>
      </c>
      <c r="B420" t="s">
        <v>882</v>
      </c>
      <c r="C420" t="s">
        <v>122</v>
      </c>
      <c r="D420" t="s">
        <v>55</v>
      </c>
      <c r="E420" t="s">
        <v>46</v>
      </c>
      <c r="F420" t="s">
        <v>47</v>
      </c>
      <c r="G420">
        <v>33</v>
      </c>
      <c r="H420">
        <v>38.520000000000003</v>
      </c>
      <c r="I420">
        <v>1271.1600000000001</v>
      </c>
      <c r="J420">
        <v>81.459999999999994</v>
      </c>
      <c r="K420">
        <v>133.69999999999999</v>
      </c>
      <c r="L420" t="s">
        <v>24</v>
      </c>
      <c r="M420" t="s">
        <v>25</v>
      </c>
      <c r="N420" t="s">
        <v>98</v>
      </c>
      <c r="O420" s="5">
        <f t="shared" si="6"/>
        <v>0.10517952106737152</v>
      </c>
    </row>
    <row r="421" spans="1:15" x14ac:dyDescent="0.3">
      <c r="A421" t="s">
        <v>883</v>
      </c>
      <c r="B421" t="s">
        <v>169</v>
      </c>
      <c r="C421" t="s">
        <v>381</v>
      </c>
      <c r="D421" t="s">
        <v>51</v>
      </c>
      <c r="E421" t="s">
        <v>81</v>
      </c>
      <c r="F421" t="s">
        <v>68</v>
      </c>
      <c r="G421">
        <v>41</v>
      </c>
      <c r="H421">
        <v>26.98</v>
      </c>
      <c r="I421">
        <v>1106.18</v>
      </c>
      <c r="J421">
        <v>51.77</v>
      </c>
      <c r="K421">
        <v>418.91</v>
      </c>
      <c r="L421" t="s">
        <v>48</v>
      </c>
      <c r="M421" t="s">
        <v>34</v>
      </c>
      <c r="N421" t="s">
        <v>76</v>
      </c>
      <c r="O421" s="5">
        <f t="shared" si="6"/>
        <v>0.37869966913160608</v>
      </c>
    </row>
    <row r="422" spans="1:15" x14ac:dyDescent="0.3">
      <c r="A422" t="s">
        <v>884</v>
      </c>
      <c r="B422" t="s">
        <v>633</v>
      </c>
      <c r="C422" t="s">
        <v>157</v>
      </c>
      <c r="D422" t="s">
        <v>171</v>
      </c>
      <c r="E422" t="s">
        <v>81</v>
      </c>
      <c r="F422" t="s">
        <v>68</v>
      </c>
      <c r="G422">
        <v>4</v>
      </c>
      <c r="H422">
        <v>23.56</v>
      </c>
      <c r="I422">
        <v>94.24</v>
      </c>
      <c r="J422">
        <v>7.03</v>
      </c>
      <c r="K422">
        <v>25.21</v>
      </c>
      <c r="L422" t="s">
        <v>48</v>
      </c>
      <c r="M422" t="s">
        <v>41</v>
      </c>
      <c r="N422" t="s">
        <v>35</v>
      </c>
      <c r="O422" s="5">
        <f t="shared" si="6"/>
        <v>0.26750848896434637</v>
      </c>
    </row>
    <row r="423" spans="1:15" x14ac:dyDescent="0.3">
      <c r="A423" t="s">
        <v>885</v>
      </c>
      <c r="B423" t="s">
        <v>699</v>
      </c>
      <c r="C423" t="s">
        <v>471</v>
      </c>
      <c r="D423" t="s">
        <v>70</v>
      </c>
      <c r="E423" t="s">
        <v>46</v>
      </c>
      <c r="F423" t="s">
        <v>47</v>
      </c>
      <c r="G423">
        <v>17</v>
      </c>
      <c r="H423">
        <v>57.14</v>
      </c>
      <c r="I423">
        <v>971.38</v>
      </c>
      <c r="J423">
        <v>70.010000000000005</v>
      </c>
      <c r="K423">
        <v>357.37</v>
      </c>
      <c r="L423" t="s">
        <v>48</v>
      </c>
      <c r="M423" t="s">
        <v>34</v>
      </c>
      <c r="N423" t="s">
        <v>76</v>
      </c>
      <c r="O423" s="5">
        <f t="shared" si="6"/>
        <v>0.36789927731680705</v>
      </c>
    </row>
    <row r="424" spans="1:15" x14ac:dyDescent="0.3">
      <c r="A424" t="s">
        <v>886</v>
      </c>
      <c r="B424" t="s">
        <v>887</v>
      </c>
      <c r="C424" t="s">
        <v>182</v>
      </c>
      <c r="D424" t="s">
        <v>206</v>
      </c>
      <c r="E424" t="s">
        <v>74</v>
      </c>
      <c r="F424" t="s">
        <v>75</v>
      </c>
      <c r="G424">
        <v>44</v>
      </c>
      <c r="H424">
        <v>38.14</v>
      </c>
      <c r="I424">
        <v>1678.16</v>
      </c>
      <c r="J424">
        <v>124.49</v>
      </c>
      <c r="K424">
        <v>453.67</v>
      </c>
      <c r="L424" t="s">
        <v>48</v>
      </c>
      <c r="M424" t="s">
        <v>25</v>
      </c>
      <c r="N424" t="s">
        <v>207</v>
      </c>
      <c r="O424" s="5">
        <f t="shared" si="6"/>
        <v>0.27033775087000045</v>
      </c>
    </row>
    <row r="425" spans="1:15" x14ac:dyDescent="0.3">
      <c r="A425" t="s">
        <v>888</v>
      </c>
      <c r="B425" t="s">
        <v>726</v>
      </c>
      <c r="C425" t="s">
        <v>165</v>
      </c>
      <c r="D425" t="s">
        <v>141</v>
      </c>
      <c r="E425" t="s">
        <v>32</v>
      </c>
      <c r="F425" t="s">
        <v>23</v>
      </c>
      <c r="G425">
        <v>14</v>
      </c>
      <c r="H425">
        <v>24</v>
      </c>
      <c r="I425">
        <v>336</v>
      </c>
      <c r="J425">
        <v>22.88</v>
      </c>
      <c r="K425">
        <v>61.12</v>
      </c>
      <c r="L425" t="s">
        <v>33</v>
      </c>
      <c r="M425" t="s">
        <v>34</v>
      </c>
      <c r="N425" t="s">
        <v>142</v>
      </c>
      <c r="O425" s="5">
        <f t="shared" si="6"/>
        <v>0.1819047619047619</v>
      </c>
    </row>
    <row r="426" spans="1:15" x14ac:dyDescent="0.3">
      <c r="A426" t="s">
        <v>889</v>
      </c>
      <c r="B426" t="s">
        <v>890</v>
      </c>
      <c r="C426" t="s">
        <v>126</v>
      </c>
      <c r="D426" t="s">
        <v>51</v>
      </c>
      <c r="E426" t="s">
        <v>81</v>
      </c>
      <c r="F426" t="s">
        <v>68</v>
      </c>
      <c r="G426">
        <v>50</v>
      </c>
      <c r="H426">
        <v>26.91</v>
      </c>
      <c r="I426">
        <v>1345.5</v>
      </c>
      <c r="J426">
        <v>91.7</v>
      </c>
      <c r="K426">
        <v>478.8</v>
      </c>
      <c r="L426" t="s">
        <v>48</v>
      </c>
      <c r="M426" t="s">
        <v>25</v>
      </c>
      <c r="N426" t="s">
        <v>76</v>
      </c>
      <c r="O426" s="5">
        <f t="shared" si="6"/>
        <v>0.35585284280936458</v>
      </c>
    </row>
    <row r="427" spans="1:15" x14ac:dyDescent="0.3">
      <c r="A427" t="s">
        <v>891</v>
      </c>
      <c r="B427" t="s">
        <v>892</v>
      </c>
      <c r="C427" t="s">
        <v>455</v>
      </c>
      <c r="D427" t="s">
        <v>37</v>
      </c>
      <c r="E427" t="s">
        <v>56</v>
      </c>
      <c r="F427" t="s">
        <v>57</v>
      </c>
      <c r="G427">
        <v>7</v>
      </c>
      <c r="H427">
        <v>59.41</v>
      </c>
      <c r="I427">
        <v>415.87</v>
      </c>
      <c r="J427">
        <v>25.51</v>
      </c>
      <c r="K427">
        <v>110.36</v>
      </c>
      <c r="L427" t="s">
        <v>24</v>
      </c>
      <c r="M427" t="s">
        <v>41</v>
      </c>
      <c r="N427" t="s">
        <v>35</v>
      </c>
      <c r="O427" s="5">
        <f t="shared" si="6"/>
        <v>0.26537139009786714</v>
      </c>
    </row>
    <row r="428" spans="1:15" x14ac:dyDescent="0.3">
      <c r="A428" t="s">
        <v>893</v>
      </c>
      <c r="B428" t="s">
        <v>416</v>
      </c>
      <c r="C428" t="s">
        <v>396</v>
      </c>
      <c r="D428" t="s">
        <v>127</v>
      </c>
      <c r="E428" t="s">
        <v>74</v>
      </c>
      <c r="F428" t="s">
        <v>75</v>
      </c>
      <c r="G428">
        <v>48</v>
      </c>
      <c r="H428">
        <v>37.31</v>
      </c>
      <c r="I428">
        <v>1790.88</v>
      </c>
      <c r="J428">
        <v>67.45</v>
      </c>
      <c r="K428">
        <v>523.42999999999995</v>
      </c>
      <c r="L428" t="s">
        <v>24</v>
      </c>
      <c r="M428" t="s">
        <v>34</v>
      </c>
      <c r="N428" t="s">
        <v>76</v>
      </c>
      <c r="O428" s="5">
        <f t="shared" si="6"/>
        <v>0.29227530599481816</v>
      </c>
    </row>
    <row r="429" spans="1:15" x14ac:dyDescent="0.3">
      <c r="A429" t="s">
        <v>894</v>
      </c>
      <c r="B429" t="s">
        <v>133</v>
      </c>
      <c r="C429" t="s">
        <v>285</v>
      </c>
      <c r="D429" t="s">
        <v>123</v>
      </c>
      <c r="E429" t="s">
        <v>56</v>
      </c>
      <c r="F429" t="s">
        <v>57</v>
      </c>
      <c r="G429">
        <v>38</v>
      </c>
      <c r="H429">
        <v>52.91</v>
      </c>
      <c r="I429">
        <v>2010.58</v>
      </c>
      <c r="J429">
        <v>94.22</v>
      </c>
      <c r="K429">
        <v>396.36</v>
      </c>
      <c r="L429" t="s">
        <v>24</v>
      </c>
      <c r="M429" t="s">
        <v>25</v>
      </c>
      <c r="N429" t="s">
        <v>76</v>
      </c>
      <c r="O429" s="5">
        <f t="shared" si="6"/>
        <v>0.19713714450556558</v>
      </c>
    </row>
    <row r="430" spans="1:15" x14ac:dyDescent="0.3">
      <c r="A430" t="s">
        <v>895</v>
      </c>
      <c r="B430" t="s">
        <v>896</v>
      </c>
      <c r="C430" t="s">
        <v>113</v>
      </c>
      <c r="D430" t="s">
        <v>31</v>
      </c>
      <c r="E430" t="s">
        <v>32</v>
      </c>
      <c r="F430" t="s">
        <v>23</v>
      </c>
      <c r="G430">
        <v>14</v>
      </c>
      <c r="H430">
        <v>27.09</v>
      </c>
      <c r="I430">
        <v>379.26</v>
      </c>
      <c r="J430">
        <v>14.42</v>
      </c>
      <c r="K430">
        <v>112.84</v>
      </c>
      <c r="L430" t="s">
        <v>48</v>
      </c>
      <c r="M430" t="s">
        <v>41</v>
      </c>
      <c r="N430" t="s">
        <v>35</v>
      </c>
      <c r="O430" s="5">
        <f t="shared" si="6"/>
        <v>0.29752676264304173</v>
      </c>
    </row>
    <row r="431" spans="1:15" x14ac:dyDescent="0.3">
      <c r="A431" t="s">
        <v>897</v>
      </c>
      <c r="B431" t="s">
        <v>118</v>
      </c>
      <c r="C431" t="s">
        <v>182</v>
      </c>
      <c r="D431" t="s">
        <v>127</v>
      </c>
      <c r="E431" t="s">
        <v>67</v>
      </c>
      <c r="F431" t="s">
        <v>68</v>
      </c>
      <c r="G431">
        <v>41</v>
      </c>
      <c r="H431">
        <v>30.52</v>
      </c>
      <c r="I431">
        <v>1251.32</v>
      </c>
      <c r="J431">
        <v>56.88</v>
      </c>
      <c r="K431">
        <v>271.94</v>
      </c>
      <c r="L431" t="s">
        <v>24</v>
      </c>
      <c r="M431" t="s">
        <v>41</v>
      </c>
      <c r="N431" t="s">
        <v>76</v>
      </c>
      <c r="O431" s="5">
        <f t="shared" si="6"/>
        <v>0.21732250743215165</v>
      </c>
    </row>
    <row r="432" spans="1:15" x14ac:dyDescent="0.3">
      <c r="A432" t="s">
        <v>898</v>
      </c>
      <c r="B432" t="s">
        <v>899</v>
      </c>
      <c r="C432" t="s">
        <v>369</v>
      </c>
      <c r="D432" t="s">
        <v>55</v>
      </c>
      <c r="E432" t="s">
        <v>137</v>
      </c>
      <c r="F432" t="s">
        <v>68</v>
      </c>
      <c r="G432">
        <v>23</v>
      </c>
      <c r="H432">
        <v>40.94</v>
      </c>
      <c r="I432">
        <v>941.62</v>
      </c>
      <c r="J432">
        <v>71.66</v>
      </c>
      <c r="K432">
        <v>225.96</v>
      </c>
      <c r="L432" t="s">
        <v>33</v>
      </c>
      <c r="M432" t="s">
        <v>41</v>
      </c>
      <c r="N432" t="s">
        <v>98</v>
      </c>
      <c r="O432" s="5">
        <f t="shared" si="6"/>
        <v>0.23996941441345768</v>
      </c>
    </row>
    <row r="433" spans="1:15" x14ac:dyDescent="0.3">
      <c r="A433" t="s">
        <v>900</v>
      </c>
      <c r="B433" t="s">
        <v>612</v>
      </c>
      <c r="C433" t="s">
        <v>471</v>
      </c>
      <c r="D433" t="s">
        <v>241</v>
      </c>
      <c r="E433" t="s">
        <v>137</v>
      </c>
      <c r="F433" t="s">
        <v>68</v>
      </c>
      <c r="G433">
        <v>34</v>
      </c>
      <c r="H433">
        <v>41.77</v>
      </c>
      <c r="I433">
        <v>1420.18</v>
      </c>
      <c r="J433">
        <v>112.45</v>
      </c>
      <c r="K433">
        <v>355.73</v>
      </c>
      <c r="L433" t="s">
        <v>33</v>
      </c>
      <c r="M433" t="s">
        <v>41</v>
      </c>
      <c r="N433" t="s">
        <v>35</v>
      </c>
      <c r="O433" s="5">
        <f t="shared" si="6"/>
        <v>0.25048233322536578</v>
      </c>
    </row>
    <row r="434" spans="1:15" x14ac:dyDescent="0.3">
      <c r="A434" t="s">
        <v>901</v>
      </c>
      <c r="B434" t="s">
        <v>902</v>
      </c>
      <c r="C434" t="s">
        <v>165</v>
      </c>
      <c r="D434" t="s">
        <v>70</v>
      </c>
      <c r="E434" t="s">
        <v>56</v>
      </c>
      <c r="F434" t="s">
        <v>57</v>
      </c>
      <c r="G434">
        <v>32</v>
      </c>
      <c r="H434">
        <v>69.98</v>
      </c>
      <c r="I434">
        <v>2239.36</v>
      </c>
      <c r="J434">
        <v>133.51</v>
      </c>
      <c r="K434">
        <v>825.85</v>
      </c>
      <c r="L434" t="s">
        <v>48</v>
      </c>
      <c r="M434" t="s">
        <v>25</v>
      </c>
      <c r="N434" t="s">
        <v>76</v>
      </c>
      <c r="O434" s="5">
        <f t="shared" si="6"/>
        <v>0.3687884038296656</v>
      </c>
    </row>
    <row r="435" spans="1:15" x14ac:dyDescent="0.3">
      <c r="A435" t="s">
        <v>903</v>
      </c>
      <c r="B435" t="s">
        <v>810</v>
      </c>
      <c r="C435" t="s">
        <v>266</v>
      </c>
      <c r="D435" t="s">
        <v>31</v>
      </c>
      <c r="E435" t="s">
        <v>22</v>
      </c>
      <c r="F435" t="s">
        <v>23</v>
      </c>
      <c r="G435">
        <v>25</v>
      </c>
      <c r="H435">
        <v>42.91</v>
      </c>
      <c r="I435">
        <v>1072.75</v>
      </c>
      <c r="J435">
        <v>80.02</v>
      </c>
      <c r="K435">
        <v>117.73</v>
      </c>
      <c r="L435" t="s">
        <v>33</v>
      </c>
      <c r="M435" t="s">
        <v>34</v>
      </c>
      <c r="N435" t="s">
        <v>35</v>
      </c>
      <c r="O435" s="5">
        <f t="shared" si="6"/>
        <v>0.10974597995805174</v>
      </c>
    </row>
    <row r="436" spans="1:15" x14ac:dyDescent="0.3">
      <c r="A436" t="s">
        <v>904</v>
      </c>
      <c r="B436" t="s">
        <v>527</v>
      </c>
      <c r="C436" t="s">
        <v>643</v>
      </c>
      <c r="D436" t="s">
        <v>55</v>
      </c>
      <c r="E436" t="s">
        <v>86</v>
      </c>
      <c r="F436" t="s">
        <v>47</v>
      </c>
      <c r="G436">
        <v>7</v>
      </c>
      <c r="H436">
        <v>22.6</v>
      </c>
      <c r="I436">
        <v>158.19999999999999</v>
      </c>
      <c r="J436">
        <v>7.04</v>
      </c>
      <c r="K436">
        <v>61.91</v>
      </c>
      <c r="L436" t="s">
        <v>48</v>
      </c>
      <c r="M436" t="s">
        <v>25</v>
      </c>
      <c r="N436" t="s">
        <v>98</v>
      </c>
      <c r="O436" s="5">
        <f t="shared" si="6"/>
        <v>0.39134007585335018</v>
      </c>
    </row>
    <row r="437" spans="1:15" x14ac:dyDescent="0.3">
      <c r="A437" t="s">
        <v>905</v>
      </c>
      <c r="B437" t="s">
        <v>906</v>
      </c>
      <c r="C437" t="s">
        <v>145</v>
      </c>
      <c r="D437" t="s">
        <v>21</v>
      </c>
      <c r="E437" t="s">
        <v>86</v>
      </c>
      <c r="F437" t="s">
        <v>47</v>
      </c>
      <c r="G437">
        <v>48</v>
      </c>
      <c r="H437">
        <v>19.5</v>
      </c>
      <c r="I437">
        <v>936</v>
      </c>
      <c r="J437">
        <v>70.069999999999993</v>
      </c>
      <c r="K437">
        <v>253.93</v>
      </c>
      <c r="L437" t="s">
        <v>24</v>
      </c>
      <c r="M437" t="s">
        <v>34</v>
      </c>
      <c r="N437" t="s">
        <v>98</v>
      </c>
      <c r="O437" s="5">
        <f t="shared" si="6"/>
        <v>0.27129273504273504</v>
      </c>
    </row>
    <row r="438" spans="1:15" x14ac:dyDescent="0.3">
      <c r="A438" t="s">
        <v>907</v>
      </c>
      <c r="B438" t="s">
        <v>351</v>
      </c>
      <c r="C438" t="s">
        <v>40</v>
      </c>
      <c r="D438" t="s">
        <v>206</v>
      </c>
      <c r="E438" t="s">
        <v>56</v>
      </c>
      <c r="F438" t="s">
        <v>57</v>
      </c>
      <c r="G438">
        <v>32</v>
      </c>
      <c r="H438">
        <v>49.97</v>
      </c>
      <c r="I438">
        <v>1599.04</v>
      </c>
      <c r="J438">
        <v>43.1</v>
      </c>
      <c r="K438">
        <v>275.94</v>
      </c>
      <c r="L438" t="s">
        <v>33</v>
      </c>
      <c r="M438" t="s">
        <v>41</v>
      </c>
      <c r="N438" t="s">
        <v>207</v>
      </c>
      <c r="O438" s="5">
        <f t="shared" si="6"/>
        <v>0.17256603962377426</v>
      </c>
    </row>
    <row r="439" spans="1:15" x14ac:dyDescent="0.3">
      <c r="A439" t="s">
        <v>908</v>
      </c>
      <c r="B439" t="s">
        <v>386</v>
      </c>
      <c r="C439" t="s">
        <v>20</v>
      </c>
      <c r="D439" t="s">
        <v>171</v>
      </c>
      <c r="E439" t="s">
        <v>81</v>
      </c>
      <c r="F439" t="s">
        <v>68</v>
      </c>
      <c r="G439">
        <v>41</v>
      </c>
      <c r="H439">
        <v>25.62</v>
      </c>
      <c r="I439">
        <v>1050.42</v>
      </c>
      <c r="J439">
        <v>79.2</v>
      </c>
      <c r="K439">
        <v>335.72</v>
      </c>
      <c r="L439" t="s">
        <v>24</v>
      </c>
      <c r="M439" t="s">
        <v>34</v>
      </c>
      <c r="N439" t="s">
        <v>35</v>
      </c>
      <c r="O439" s="5">
        <f t="shared" si="6"/>
        <v>0.31960549113687858</v>
      </c>
    </row>
    <row r="440" spans="1:15" x14ac:dyDescent="0.3">
      <c r="A440" t="s">
        <v>909</v>
      </c>
      <c r="B440" t="s">
        <v>843</v>
      </c>
      <c r="C440" t="s">
        <v>465</v>
      </c>
      <c r="D440" t="s">
        <v>21</v>
      </c>
      <c r="E440" t="s">
        <v>86</v>
      </c>
      <c r="F440" t="s">
        <v>47</v>
      </c>
      <c r="G440">
        <v>46</v>
      </c>
      <c r="H440">
        <v>16.78</v>
      </c>
      <c r="I440">
        <v>771.88</v>
      </c>
      <c r="J440">
        <v>18.04</v>
      </c>
      <c r="K440">
        <v>167.34</v>
      </c>
      <c r="L440" t="s">
        <v>48</v>
      </c>
      <c r="M440" t="s">
        <v>41</v>
      </c>
      <c r="N440" t="s">
        <v>98</v>
      </c>
      <c r="O440" s="5">
        <f t="shared" si="6"/>
        <v>0.21679535679121106</v>
      </c>
    </row>
    <row r="441" spans="1:15" x14ac:dyDescent="0.3">
      <c r="A441" t="s">
        <v>910</v>
      </c>
      <c r="B441" t="s">
        <v>911</v>
      </c>
      <c r="C441" t="s">
        <v>505</v>
      </c>
      <c r="D441" t="s">
        <v>37</v>
      </c>
      <c r="E441" t="s">
        <v>46</v>
      </c>
      <c r="F441" t="s">
        <v>47</v>
      </c>
      <c r="G441">
        <v>16</v>
      </c>
      <c r="H441">
        <v>42.18</v>
      </c>
      <c r="I441">
        <v>674.88</v>
      </c>
      <c r="J441">
        <v>19.100000000000001</v>
      </c>
      <c r="K441">
        <v>143.78</v>
      </c>
      <c r="L441" t="s">
        <v>24</v>
      </c>
      <c r="M441" t="s">
        <v>41</v>
      </c>
      <c r="N441" t="s">
        <v>35</v>
      </c>
      <c r="O441" s="5">
        <f t="shared" si="6"/>
        <v>0.21304528212422949</v>
      </c>
    </row>
    <row r="442" spans="1:15" x14ac:dyDescent="0.3">
      <c r="A442" t="s">
        <v>912</v>
      </c>
      <c r="B442" t="s">
        <v>276</v>
      </c>
      <c r="C442" t="s">
        <v>113</v>
      </c>
      <c r="D442" t="s">
        <v>171</v>
      </c>
      <c r="E442" t="s">
        <v>74</v>
      </c>
      <c r="F442" t="s">
        <v>75</v>
      </c>
      <c r="G442">
        <v>12</v>
      </c>
      <c r="H442">
        <v>34.97</v>
      </c>
      <c r="I442">
        <v>419.64</v>
      </c>
      <c r="J442">
        <v>28.48</v>
      </c>
      <c r="K442">
        <v>91.16</v>
      </c>
      <c r="L442" t="s">
        <v>24</v>
      </c>
      <c r="M442" t="s">
        <v>25</v>
      </c>
      <c r="N442" t="s">
        <v>35</v>
      </c>
      <c r="O442" s="5">
        <f t="shared" si="6"/>
        <v>0.21723381946430273</v>
      </c>
    </row>
    <row r="443" spans="1:15" x14ac:dyDescent="0.3">
      <c r="A443" t="s">
        <v>913</v>
      </c>
      <c r="B443" t="s">
        <v>218</v>
      </c>
      <c r="C443" t="s">
        <v>219</v>
      </c>
      <c r="D443" t="s">
        <v>45</v>
      </c>
      <c r="E443" t="s">
        <v>63</v>
      </c>
      <c r="F443" t="s">
        <v>47</v>
      </c>
      <c r="G443">
        <v>31</v>
      </c>
      <c r="H443">
        <v>33.619999999999997</v>
      </c>
      <c r="I443">
        <v>1042.22</v>
      </c>
      <c r="J443">
        <v>26.33</v>
      </c>
      <c r="K443">
        <v>395.89</v>
      </c>
      <c r="L443" t="s">
        <v>48</v>
      </c>
      <c r="M443" t="s">
        <v>41</v>
      </c>
      <c r="N443" t="s">
        <v>49</v>
      </c>
      <c r="O443" s="5">
        <f t="shared" si="6"/>
        <v>0.37985262228704109</v>
      </c>
    </row>
    <row r="444" spans="1:15" x14ac:dyDescent="0.3">
      <c r="A444" t="s">
        <v>914</v>
      </c>
      <c r="B444" t="s">
        <v>306</v>
      </c>
      <c r="C444" t="s">
        <v>666</v>
      </c>
      <c r="D444" t="s">
        <v>123</v>
      </c>
      <c r="E444" t="s">
        <v>67</v>
      </c>
      <c r="F444" t="s">
        <v>68</v>
      </c>
      <c r="G444">
        <v>40</v>
      </c>
      <c r="H444">
        <v>30.56</v>
      </c>
      <c r="I444">
        <v>1222.4000000000001</v>
      </c>
      <c r="J444">
        <v>26.42</v>
      </c>
      <c r="K444">
        <v>295.98</v>
      </c>
      <c r="L444" t="s">
        <v>24</v>
      </c>
      <c r="M444" t="s">
        <v>25</v>
      </c>
      <c r="N444" t="s">
        <v>76</v>
      </c>
      <c r="O444" s="5">
        <f t="shared" si="6"/>
        <v>0.24213023560209423</v>
      </c>
    </row>
    <row r="445" spans="1:15" x14ac:dyDescent="0.3">
      <c r="A445" t="s">
        <v>915</v>
      </c>
      <c r="B445" t="s">
        <v>916</v>
      </c>
      <c r="C445" t="s">
        <v>227</v>
      </c>
      <c r="D445" t="s">
        <v>241</v>
      </c>
      <c r="E445" t="s">
        <v>22</v>
      </c>
      <c r="F445" t="s">
        <v>23</v>
      </c>
      <c r="G445">
        <v>15</v>
      </c>
      <c r="H445">
        <v>61.93</v>
      </c>
      <c r="I445">
        <v>928.95</v>
      </c>
      <c r="J445">
        <v>25.68</v>
      </c>
      <c r="K445">
        <v>378.27</v>
      </c>
      <c r="L445" t="s">
        <v>33</v>
      </c>
      <c r="M445" t="s">
        <v>41</v>
      </c>
      <c r="N445" t="s">
        <v>35</v>
      </c>
      <c r="O445" s="5">
        <f t="shared" si="6"/>
        <v>0.407201679315356</v>
      </c>
    </row>
    <row r="446" spans="1:15" x14ac:dyDescent="0.3">
      <c r="A446" t="s">
        <v>917</v>
      </c>
      <c r="B446" t="s">
        <v>918</v>
      </c>
      <c r="C446" t="s">
        <v>194</v>
      </c>
      <c r="D446" t="s">
        <v>51</v>
      </c>
      <c r="E446" t="s">
        <v>63</v>
      </c>
      <c r="F446" t="s">
        <v>47</v>
      </c>
      <c r="G446">
        <v>20</v>
      </c>
      <c r="H446">
        <v>35.770000000000003</v>
      </c>
      <c r="I446">
        <v>715.4</v>
      </c>
      <c r="J446">
        <v>39.229999999999997</v>
      </c>
      <c r="K446">
        <v>276.17</v>
      </c>
      <c r="L446" t="s">
        <v>24</v>
      </c>
      <c r="M446" t="s">
        <v>25</v>
      </c>
      <c r="N446" t="s">
        <v>76</v>
      </c>
      <c r="O446" s="5">
        <f t="shared" si="6"/>
        <v>0.38603578417668438</v>
      </c>
    </row>
    <row r="447" spans="1:15" x14ac:dyDescent="0.3">
      <c r="A447" t="s">
        <v>919</v>
      </c>
      <c r="B447" t="s">
        <v>860</v>
      </c>
      <c r="C447" t="s">
        <v>391</v>
      </c>
      <c r="D447" t="s">
        <v>31</v>
      </c>
      <c r="E447" t="s">
        <v>86</v>
      </c>
      <c r="F447" t="s">
        <v>47</v>
      </c>
      <c r="G447">
        <v>21</v>
      </c>
      <c r="H447">
        <v>22.48</v>
      </c>
      <c r="I447">
        <v>472.08</v>
      </c>
      <c r="J447">
        <v>12.96</v>
      </c>
      <c r="K447">
        <v>191.37</v>
      </c>
      <c r="L447" t="s">
        <v>33</v>
      </c>
      <c r="M447" t="s">
        <v>25</v>
      </c>
      <c r="N447" t="s">
        <v>35</v>
      </c>
      <c r="O447" s="5">
        <f t="shared" si="6"/>
        <v>0.40537620742247077</v>
      </c>
    </row>
    <row r="448" spans="1:15" x14ac:dyDescent="0.3">
      <c r="A448" t="s">
        <v>920</v>
      </c>
      <c r="B448" t="s">
        <v>921</v>
      </c>
      <c r="C448" t="s">
        <v>437</v>
      </c>
      <c r="D448" t="s">
        <v>51</v>
      </c>
      <c r="E448" t="s">
        <v>32</v>
      </c>
      <c r="F448" t="s">
        <v>23</v>
      </c>
      <c r="G448">
        <v>8</v>
      </c>
      <c r="H448">
        <v>27.53</v>
      </c>
      <c r="I448">
        <v>220.24</v>
      </c>
      <c r="J448">
        <v>12.66</v>
      </c>
      <c r="K448">
        <v>63.58</v>
      </c>
      <c r="L448" t="s">
        <v>33</v>
      </c>
      <c r="M448" t="s">
        <v>34</v>
      </c>
      <c r="N448" t="s">
        <v>76</v>
      </c>
      <c r="O448" s="5">
        <f t="shared" si="6"/>
        <v>0.28868507083181982</v>
      </c>
    </row>
    <row r="449" spans="1:15" x14ac:dyDescent="0.3">
      <c r="A449" t="s">
        <v>922</v>
      </c>
      <c r="B449" t="s">
        <v>300</v>
      </c>
      <c r="C449" t="s">
        <v>360</v>
      </c>
      <c r="D449" t="s">
        <v>70</v>
      </c>
      <c r="E449" t="s">
        <v>67</v>
      </c>
      <c r="F449" t="s">
        <v>68</v>
      </c>
      <c r="G449">
        <v>35</v>
      </c>
      <c r="H449">
        <v>39.65</v>
      </c>
      <c r="I449">
        <v>1387.75</v>
      </c>
      <c r="J449">
        <v>60.95</v>
      </c>
      <c r="K449">
        <v>539.29999999999995</v>
      </c>
      <c r="L449" t="s">
        <v>48</v>
      </c>
      <c r="M449" t="s">
        <v>34</v>
      </c>
      <c r="N449" t="s">
        <v>76</v>
      </c>
      <c r="O449" s="5">
        <f t="shared" si="6"/>
        <v>0.38861466402450007</v>
      </c>
    </row>
    <row r="450" spans="1:15" x14ac:dyDescent="0.3">
      <c r="A450" t="s">
        <v>923</v>
      </c>
      <c r="B450" t="s">
        <v>924</v>
      </c>
      <c r="C450" t="s">
        <v>288</v>
      </c>
      <c r="D450" t="s">
        <v>141</v>
      </c>
      <c r="E450" t="s">
        <v>81</v>
      </c>
      <c r="F450" t="s">
        <v>68</v>
      </c>
      <c r="G450">
        <v>50</v>
      </c>
      <c r="H450">
        <v>23.68</v>
      </c>
      <c r="I450">
        <v>1184</v>
      </c>
      <c r="J450">
        <v>46.62</v>
      </c>
      <c r="K450">
        <v>362.38</v>
      </c>
      <c r="L450" t="s">
        <v>33</v>
      </c>
      <c r="M450" t="s">
        <v>34</v>
      </c>
      <c r="N450" t="s">
        <v>142</v>
      </c>
      <c r="O450" s="5">
        <f t="shared" si="6"/>
        <v>0.30606418918918921</v>
      </c>
    </row>
    <row r="451" spans="1:15" x14ac:dyDescent="0.3">
      <c r="A451" t="s">
        <v>925</v>
      </c>
      <c r="B451" t="s">
        <v>703</v>
      </c>
      <c r="C451" t="s">
        <v>290</v>
      </c>
      <c r="D451" t="s">
        <v>123</v>
      </c>
      <c r="E451" t="s">
        <v>86</v>
      </c>
      <c r="F451" t="s">
        <v>47</v>
      </c>
      <c r="G451">
        <v>5</v>
      </c>
      <c r="H451">
        <v>19.809999999999999</v>
      </c>
      <c r="I451">
        <v>99.05</v>
      </c>
      <c r="J451">
        <v>5.91</v>
      </c>
      <c r="K451">
        <v>29.39</v>
      </c>
      <c r="L451" t="s">
        <v>33</v>
      </c>
      <c r="M451" t="s">
        <v>41</v>
      </c>
      <c r="N451" t="s">
        <v>76</v>
      </c>
      <c r="O451" s="5">
        <f t="shared" si="6"/>
        <v>0.2967188288743059</v>
      </c>
    </row>
    <row r="452" spans="1:15" x14ac:dyDescent="0.3">
      <c r="A452" t="s">
        <v>926</v>
      </c>
      <c r="B452" t="s">
        <v>243</v>
      </c>
      <c r="C452" t="s">
        <v>126</v>
      </c>
      <c r="D452" t="s">
        <v>45</v>
      </c>
      <c r="E452" t="s">
        <v>86</v>
      </c>
      <c r="F452" t="s">
        <v>47</v>
      </c>
      <c r="G452">
        <v>27</v>
      </c>
      <c r="H452">
        <v>18.03</v>
      </c>
      <c r="I452">
        <v>486.81</v>
      </c>
      <c r="J452">
        <v>36.630000000000003</v>
      </c>
      <c r="K452">
        <v>105.93</v>
      </c>
      <c r="L452" t="s">
        <v>24</v>
      </c>
      <c r="M452" t="s">
        <v>41</v>
      </c>
      <c r="N452" t="s">
        <v>49</v>
      </c>
      <c r="O452" s="5">
        <f t="shared" si="6"/>
        <v>0.21760029580329082</v>
      </c>
    </row>
    <row r="453" spans="1:15" x14ac:dyDescent="0.3">
      <c r="A453" t="s">
        <v>927</v>
      </c>
      <c r="B453" t="s">
        <v>928</v>
      </c>
      <c r="C453" t="s">
        <v>417</v>
      </c>
      <c r="D453" t="s">
        <v>141</v>
      </c>
      <c r="E453" t="s">
        <v>32</v>
      </c>
      <c r="F453" t="s">
        <v>23</v>
      </c>
      <c r="G453">
        <v>45</v>
      </c>
      <c r="H453">
        <v>26.93</v>
      </c>
      <c r="I453">
        <v>1211.8499999999999</v>
      </c>
      <c r="J453">
        <v>62.85</v>
      </c>
      <c r="K453">
        <v>339</v>
      </c>
      <c r="L453" t="s">
        <v>33</v>
      </c>
      <c r="M453" t="s">
        <v>34</v>
      </c>
      <c r="N453" t="s">
        <v>142</v>
      </c>
      <c r="O453" s="5">
        <f t="shared" si="6"/>
        <v>0.2797375912860503</v>
      </c>
    </row>
    <row r="454" spans="1:15" x14ac:dyDescent="0.3">
      <c r="A454" t="s">
        <v>929</v>
      </c>
      <c r="B454" t="s">
        <v>930</v>
      </c>
      <c r="C454" t="s">
        <v>505</v>
      </c>
      <c r="D454" t="s">
        <v>37</v>
      </c>
      <c r="E454" t="s">
        <v>63</v>
      </c>
      <c r="F454" t="s">
        <v>47</v>
      </c>
      <c r="G454">
        <v>40</v>
      </c>
      <c r="H454">
        <v>32.54</v>
      </c>
      <c r="I454">
        <v>1301.5999999999999</v>
      </c>
      <c r="J454">
        <v>47.06</v>
      </c>
      <c r="K454">
        <v>454.54</v>
      </c>
      <c r="L454" t="s">
        <v>24</v>
      </c>
      <c r="M454" t="s">
        <v>34</v>
      </c>
      <c r="N454" t="s">
        <v>35</v>
      </c>
      <c r="O454" s="5">
        <f t="shared" si="6"/>
        <v>0.34921634910878924</v>
      </c>
    </row>
    <row r="455" spans="1:15" x14ac:dyDescent="0.3">
      <c r="A455" t="s">
        <v>931</v>
      </c>
      <c r="B455" t="s">
        <v>892</v>
      </c>
      <c r="C455" t="s">
        <v>140</v>
      </c>
      <c r="D455" t="s">
        <v>70</v>
      </c>
      <c r="E455" t="s">
        <v>67</v>
      </c>
      <c r="F455" t="s">
        <v>68</v>
      </c>
      <c r="G455">
        <v>26</v>
      </c>
      <c r="H455">
        <v>35.32</v>
      </c>
      <c r="I455">
        <v>918.32</v>
      </c>
      <c r="J455">
        <v>60.02</v>
      </c>
      <c r="K455">
        <v>273.3</v>
      </c>
      <c r="L455" t="s">
        <v>48</v>
      </c>
      <c r="M455" t="s">
        <v>25</v>
      </c>
      <c r="N455" t="s">
        <v>76</v>
      </c>
      <c r="O455" s="5">
        <f t="shared" ref="O455:O505" si="7">K455/I455</f>
        <v>0.29760867671399949</v>
      </c>
    </row>
    <row r="456" spans="1:15" x14ac:dyDescent="0.3">
      <c r="A456" t="s">
        <v>932</v>
      </c>
      <c r="B456" t="s">
        <v>921</v>
      </c>
      <c r="C456" t="s">
        <v>151</v>
      </c>
      <c r="D456" t="s">
        <v>45</v>
      </c>
      <c r="E456" t="s">
        <v>86</v>
      </c>
      <c r="F456" t="s">
        <v>47</v>
      </c>
      <c r="G456">
        <v>16</v>
      </c>
      <c r="H456">
        <v>16.440000000000001</v>
      </c>
      <c r="I456">
        <v>263.04000000000002</v>
      </c>
      <c r="J456">
        <v>17.64</v>
      </c>
      <c r="K456">
        <v>41.4</v>
      </c>
      <c r="L456" t="s">
        <v>24</v>
      </c>
      <c r="M456" t="s">
        <v>25</v>
      </c>
      <c r="N456" t="s">
        <v>49</v>
      </c>
      <c r="O456" s="5">
        <f t="shared" si="7"/>
        <v>0.1573905109489051</v>
      </c>
    </row>
    <row r="457" spans="1:15" x14ac:dyDescent="0.3">
      <c r="A457" t="s">
        <v>933</v>
      </c>
      <c r="B457" t="s">
        <v>319</v>
      </c>
      <c r="C457" t="s">
        <v>360</v>
      </c>
      <c r="D457" t="s">
        <v>171</v>
      </c>
      <c r="E457" t="s">
        <v>137</v>
      </c>
      <c r="F457" t="s">
        <v>68</v>
      </c>
      <c r="G457">
        <v>39</v>
      </c>
      <c r="H457">
        <v>46.27</v>
      </c>
      <c r="I457">
        <v>1804.53</v>
      </c>
      <c r="J457">
        <v>38.57</v>
      </c>
      <c r="K457">
        <v>673.96</v>
      </c>
      <c r="L457" t="s">
        <v>48</v>
      </c>
      <c r="M457" t="s">
        <v>41</v>
      </c>
      <c r="N457" t="s">
        <v>35</v>
      </c>
      <c r="O457" s="5">
        <f t="shared" si="7"/>
        <v>0.37348229178788939</v>
      </c>
    </row>
    <row r="458" spans="1:15" x14ac:dyDescent="0.3">
      <c r="A458" t="s">
        <v>934</v>
      </c>
      <c r="B458" t="s">
        <v>745</v>
      </c>
      <c r="C458" t="s">
        <v>246</v>
      </c>
      <c r="D458" t="s">
        <v>31</v>
      </c>
      <c r="E458" t="s">
        <v>74</v>
      </c>
      <c r="F458" t="s">
        <v>75</v>
      </c>
      <c r="G458">
        <v>15</v>
      </c>
      <c r="H458">
        <v>33.22</v>
      </c>
      <c r="I458">
        <v>498.3</v>
      </c>
      <c r="J458">
        <v>36.85</v>
      </c>
      <c r="K458">
        <v>86.45</v>
      </c>
      <c r="L458" t="s">
        <v>48</v>
      </c>
      <c r="M458" t="s">
        <v>41</v>
      </c>
      <c r="N458" t="s">
        <v>35</v>
      </c>
      <c r="O458" s="5">
        <f t="shared" si="7"/>
        <v>0.17348986554284568</v>
      </c>
    </row>
    <row r="459" spans="1:15" x14ac:dyDescent="0.3">
      <c r="A459" t="s">
        <v>935</v>
      </c>
      <c r="B459" t="s">
        <v>696</v>
      </c>
      <c r="C459" t="s">
        <v>328</v>
      </c>
      <c r="D459" t="s">
        <v>141</v>
      </c>
      <c r="E459" t="s">
        <v>56</v>
      </c>
      <c r="F459" t="s">
        <v>57</v>
      </c>
      <c r="G459">
        <v>35</v>
      </c>
      <c r="H459">
        <v>71.02</v>
      </c>
      <c r="I459">
        <v>2485.6999999999998</v>
      </c>
      <c r="J459">
        <v>137.22</v>
      </c>
      <c r="K459">
        <v>948.48</v>
      </c>
      <c r="L459" t="s">
        <v>33</v>
      </c>
      <c r="M459" t="s">
        <v>34</v>
      </c>
      <c r="N459" t="s">
        <v>142</v>
      </c>
      <c r="O459" s="5">
        <f t="shared" si="7"/>
        <v>0.38157460675061355</v>
      </c>
    </row>
    <row r="460" spans="1:15" x14ac:dyDescent="0.3">
      <c r="A460" t="s">
        <v>936</v>
      </c>
      <c r="B460" t="s">
        <v>561</v>
      </c>
      <c r="C460" t="s">
        <v>165</v>
      </c>
      <c r="D460" t="s">
        <v>123</v>
      </c>
      <c r="E460" t="s">
        <v>137</v>
      </c>
      <c r="F460" t="s">
        <v>68</v>
      </c>
      <c r="G460">
        <v>2</v>
      </c>
      <c r="H460">
        <v>42.31</v>
      </c>
      <c r="I460">
        <v>84.62</v>
      </c>
      <c r="J460">
        <v>4.28</v>
      </c>
      <c r="K460">
        <v>24.34</v>
      </c>
      <c r="L460" t="s">
        <v>33</v>
      </c>
      <c r="M460" t="s">
        <v>34</v>
      </c>
      <c r="N460" t="s">
        <v>76</v>
      </c>
      <c r="O460" s="5">
        <f t="shared" si="7"/>
        <v>0.28763885606239659</v>
      </c>
    </row>
    <row r="461" spans="1:15" x14ac:dyDescent="0.3">
      <c r="A461" t="s">
        <v>937</v>
      </c>
      <c r="B461" t="s">
        <v>153</v>
      </c>
      <c r="C461" t="s">
        <v>148</v>
      </c>
      <c r="D461" t="s">
        <v>116</v>
      </c>
      <c r="E461" t="s">
        <v>74</v>
      </c>
      <c r="F461" t="s">
        <v>75</v>
      </c>
      <c r="G461">
        <v>8</v>
      </c>
      <c r="H461">
        <v>41.36</v>
      </c>
      <c r="I461">
        <v>330.88</v>
      </c>
      <c r="J461">
        <v>11.78</v>
      </c>
      <c r="K461">
        <v>119.1</v>
      </c>
      <c r="L461" t="s">
        <v>24</v>
      </c>
      <c r="M461" t="s">
        <v>25</v>
      </c>
      <c r="N461" t="s">
        <v>76</v>
      </c>
      <c r="O461" s="5">
        <f t="shared" si="7"/>
        <v>0.35994922630560927</v>
      </c>
    </row>
    <row r="462" spans="1:15" x14ac:dyDescent="0.3">
      <c r="A462" t="s">
        <v>938</v>
      </c>
      <c r="B462" t="s">
        <v>939</v>
      </c>
      <c r="C462" t="s">
        <v>194</v>
      </c>
      <c r="D462" t="s">
        <v>55</v>
      </c>
      <c r="E462" t="s">
        <v>32</v>
      </c>
      <c r="F462" t="s">
        <v>23</v>
      </c>
      <c r="G462">
        <v>3</v>
      </c>
      <c r="H462">
        <v>31.39</v>
      </c>
      <c r="I462">
        <v>94.17</v>
      </c>
      <c r="J462">
        <v>2.52</v>
      </c>
      <c r="K462">
        <v>37.65</v>
      </c>
      <c r="L462" t="s">
        <v>48</v>
      </c>
      <c r="M462" t="s">
        <v>41</v>
      </c>
      <c r="N462" t="s">
        <v>98</v>
      </c>
      <c r="O462" s="5">
        <f t="shared" si="7"/>
        <v>0.39980885632366991</v>
      </c>
    </row>
    <row r="463" spans="1:15" x14ac:dyDescent="0.3">
      <c r="A463" t="s">
        <v>940</v>
      </c>
      <c r="B463" t="s">
        <v>941</v>
      </c>
      <c r="C463" t="s">
        <v>232</v>
      </c>
      <c r="D463" t="s">
        <v>171</v>
      </c>
      <c r="E463" t="s">
        <v>67</v>
      </c>
      <c r="F463" t="s">
        <v>68</v>
      </c>
      <c r="G463">
        <v>48</v>
      </c>
      <c r="H463">
        <v>33.61</v>
      </c>
      <c r="I463">
        <v>1613.28</v>
      </c>
      <c r="J463">
        <v>109.92</v>
      </c>
      <c r="K463">
        <v>423.36</v>
      </c>
      <c r="L463" t="s">
        <v>24</v>
      </c>
      <c r="M463" t="s">
        <v>41</v>
      </c>
      <c r="N463" t="s">
        <v>35</v>
      </c>
      <c r="O463" s="5">
        <f t="shared" si="7"/>
        <v>0.26242189824457007</v>
      </c>
    </row>
    <row r="464" spans="1:15" x14ac:dyDescent="0.3">
      <c r="A464" t="s">
        <v>942</v>
      </c>
      <c r="B464" t="s">
        <v>943</v>
      </c>
      <c r="C464" t="s">
        <v>277</v>
      </c>
      <c r="D464" t="s">
        <v>241</v>
      </c>
      <c r="E464" t="s">
        <v>46</v>
      </c>
      <c r="F464" t="s">
        <v>47</v>
      </c>
      <c r="G464">
        <v>9</v>
      </c>
      <c r="H464">
        <v>50.29</v>
      </c>
      <c r="I464">
        <v>452.61</v>
      </c>
      <c r="J464">
        <v>32.93</v>
      </c>
      <c r="K464">
        <v>131.68</v>
      </c>
      <c r="L464" t="s">
        <v>33</v>
      </c>
      <c r="M464" t="s">
        <v>41</v>
      </c>
      <c r="N464" t="s">
        <v>35</v>
      </c>
      <c r="O464" s="5">
        <f t="shared" si="7"/>
        <v>0.29093480038001812</v>
      </c>
    </row>
    <row r="465" spans="1:15" x14ac:dyDescent="0.3">
      <c r="A465" t="s">
        <v>944</v>
      </c>
      <c r="B465" t="s">
        <v>945</v>
      </c>
      <c r="C465" t="s">
        <v>232</v>
      </c>
      <c r="D465" t="s">
        <v>21</v>
      </c>
      <c r="E465" t="s">
        <v>67</v>
      </c>
      <c r="F465" t="s">
        <v>68</v>
      </c>
      <c r="G465">
        <v>12</v>
      </c>
      <c r="H465">
        <v>34.96</v>
      </c>
      <c r="I465">
        <v>419.52</v>
      </c>
      <c r="J465">
        <v>15.43</v>
      </c>
      <c r="K465">
        <v>134.09</v>
      </c>
      <c r="L465" t="s">
        <v>33</v>
      </c>
      <c r="M465" t="s">
        <v>41</v>
      </c>
      <c r="N465" t="s">
        <v>98</v>
      </c>
      <c r="O465" s="5">
        <f t="shared" si="7"/>
        <v>0.31962719298245618</v>
      </c>
    </row>
    <row r="466" spans="1:15" x14ac:dyDescent="0.3">
      <c r="A466" t="s">
        <v>946</v>
      </c>
      <c r="B466" t="s">
        <v>947</v>
      </c>
      <c r="C466" t="s">
        <v>586</v>
      </c>
      <c r="D466" t="s">
        <v>206</v>
      </c>
      <c r="E466" t="s">
        <v>22</v>
      </c>
      <c r="F466" t="s">
        <v>23</v>
      </c>
      <c r="G466">
        <v>29</v>
      </c>
      <c r="H466">
        <v>52.72</v>
      </c>
      <c r="I466">
        <v>1528.88</v>
      </c>
      <c r="J466">
        <v>96.91</v>
      </c>
      <c r="K466">
        <v>416.97</v>
      </c>
      <c r="L466" t="s">
        <v>33</v>
      </c>
      <c r="M466" t="s">
        <v>41</v>
      </c>
      <c r="N466" t="s">
        <v>207</v>
      </c>
      <c r="O466" s="5">
        <f t="shared" si="7"/>
        <v>0.27272905656428237</v>
      </c>
    </row>
    <row r="467" spans="1:15" x14ac:dyDescent="0.3">
      <c r="A467" t="s">
        <v>948</v>
      </c>
      <c r="B467" t="s">
        <v>354</v>
      </c>
      <c r="C467" t="s">
        <v>521</v>
      </c>
      <c r="D467" t="s">
        <v>55</v>
      </c>
      <c r="E467" t="s">
        <v>81</v>
      </c>
      <c r="F467" t="s">
        <v>68</v>
      </c>
      <c r="G467">
        <v>39</v>
      </c>
      <c r="H467">
        <v>22.18</v>
      </c>
      <c r="I467">
        <v>865.02</v>
      </c>
      <c r="J467">
        <v>26.23</v>
      </c>
      <c r="K467">
        <v>234.29</v>
      </c>
      <c r="L467" t="s">
        <v>24</v>
      </c>
      <c r="M467" t="s">
        <v>41</v>
      </c>
      <c r="N467" t="s">
        <v>98</v>
      </c>
      <c r="O467" s="5">
        <f t="shared" si="7"/>
        <v>0.27084922891956253</v>
      </c>
    </row>
    <row r="468" spans="1:15" x14ac:dyDescent="0.3">
      <c r="A468" t="s">
        <v>949</v>
      </c>
      <c r="B468" t="s">
        <v>303</v>
      </c>
      <c r="C468" t="s">
        <v>511</v>
      </c>
      <c r="D468" t="s">
        <v>116</v>
      </c>
      <c r="E468" t="s">
        <v>81</v>
      </c>
      <c r="F468" t="s">
        <v>68</v>
      </c>
      <c r="G468">
        <v>11</v>
      </c>
      <c r="H468">
        <v>21.4</v>
      </c>
      <c r="I468">
        <v>235.4</v>
      </c>
      <c r="J468">
        <v>11.64</v>
      </c>
      <c r="K468">
        <v>53.26</v>
      </c>
      <c r="L468" t="s">
        <v>24</v>
      </c>
      <c r="M468" t="s">
        <v>41</v>
      </c>
      <c r="N468" t="s">
        <v>76</v>
      </c>
      <c r="O468" s="5">
        <f t="shared" si="7"/>
        <v>0.22625318606627015</v>
      </c>
    </row>
    <row r="469" spans="1:15" x14ac:dyDescent="0.3">
      <c r="A469" t="s">
        <v>950</v>
      </c>
      <c r="B469" t="s">
        <v>951</v>
      </c>
      <c r="C469" t="s">
        <v>462</v>
      </c>
      <c r="D469" t="s">
        <v>116</v>
      </c>
      <c r="E469" t="s">
        <v>74</v>
      </c>
      <c r="F469" t="s">
        <v>75</v>
      </c>
      <c r="G469">
        <v>21</v>
      </c>
      <c r="H469">
        <v>36.26</v>
      </c>
      <c r="I469">
        <v>761.46</v>
      </c>
      <c r="J469">
        <v>56.99</v>
      </c>
      <c r="K469">
        <v>179.47</v>
      </c>
      <c r="L469" t="s">
        <v>33</v>
      </c>
      <c r="M469" t="s">
        <v>25</v>
      </c>
      <c r="N469" t="s">
        <v>76</v>
      </c>
      <c r="O469" s="5">
        <f t="shared" si="7"/>
        <v>0.23569196018175609</v>
      </c>
    </row>
    <row r="470" spans="1:15" x14ac:dyDescent="0.3">
      <c r="A470" t="s">
        <v>952</v>
      </c>
      <c r="B470" t="s">
        <v>457</v>
      </c>
      <c r="C470" t="s">
        <v>328</v>
      </c>
      <c r="D470" t="s">
        <v>51</v>
      </c>
      <c r="E470" t="s">
        <v>67</v>
      </c>
      <c r="F470" t="s">
        <v>68</v>
      </c>
      <c r="G470">
        <v>39</v>
      </c>
      <c r="H470">
        <v>35.409999999999997</v>
      </c>
      <c r="I470">
        <v>1380.99</v>
      </c>
      <c r="J470">
        <v>84.56</v>
      </c>
      <c r="K470">
        <v>418.93</v>
      </c>
      <c r="L470" t="s">
        <v>33</v>
      </c>
      <c r="M470" t="s">
        <v>25</v>
      </c>
      <c r="N470" t="s">
        <v>76</v>
      </c>
      <c r="O470" s="5">
        <f t="shared" si="7"/>
        <v>0.30335483964402349</v>
      </c>
    </row>
    <row r="471" spans="1:15" x14ac:dyDescent="0.3">
      <c r="A471" t="s">
        <v>953</v>
      </c>
      <c r="B471" t="s">
        <v>515</v>
      </c>
      <c r="C471" t="s">
        <v>177</v>
      </c>
      <c r="D471" t="s">
        <v>51</v>
      </c>
      <c r="E471" t="s">
        <v>32</v>
      </c>
      <c r="F471" t="s">
        <v>23</v>
      </c>
      <c r="G471">
        <v>13</v>
      </c>
      <c r="H471">
        <v>27.35</v>
      </c>
      <c r="I471">
        <v>355.55</v>
      </c>
      <c r="J471">
        <v>26.23</v>
      </c>
      <c r="K471">
        <v>95.32</v>
      </c>
      <c r="L471" t="s">
        <v>33</v>
      </c>
      <c r="M471" t="s">
        <v>41</v>
      </c>
      <c r="N471" t="s">
        <v>76</v>
      </c>
      <c r="O471" s="5">
        <f t="shared" si="7"/>
        <v>0.26809168893263957</v>
      </c>
    </row>
    <row r="472" spans="1:15" x14ac:dyDescent="0.3">
      <c r="A472" t="s">
        <v>954</v>
      </c>
      <c r="B472" t="s">
        <v>686</v>
      </c>
      <c r="C472" t="s">
        <v>148</v>
      </c>
      <c r="D472" t="s">
        <v>45</v>
      </c>
      <c r="E472" t="s">
        <v>86</v>
      </c>
      <c r="F472" t="s">
        <v>47</v>
      </c>
      <c r="G472">
        <v>40</v>
      </c>
      <c r="H472">
        <v>21.08</v>
      </c>
      <c r="I472">
        <v>843.2</v>
      </c>
      <c r="J472">
        <v>66.81</v>
      </c>
      <c r="K472">
        <v>266.39</v>
      </c>
      <c r="L472" t="s">
        <v>48</v>
      </c>
      <c r="M472" t="s">
        <v>34</v>
      </c>
      <c r="N472" t="s">
        <v>49</v>
      </c>
      <c r="O472" s="5">
        <f t="shared" si="7"/>
        <v>0.3159274193548387</v>
      </c>
    </row>
    <row r="473" spans="1:15" x14ac:dyDescent="0.3">
      <c r="A473" t="s">
        <v>955</v>
      </c>
      <c r="B473" t="s">
        <v>740</v>
      </c>
      <c r="C473" t="s">
        <v>586</v>
      </c>
      <c r="D473" t="s">
        <v>62</v>
      </c>
      <c r="E473" t="s">
        <v>81</v>
      </c>
      <c r="F473" t="s">
        <v>68</v>
      </c>
      <c r="G473">
        <v>47</v>
      </c>
      <c r="H473">
        <v>27.54</v>
      </c>
      <c r="I473">
        <v>1294.3800000000001</v>
      </c>
      <c r="J473">
        <v>62.78</v>
      </c>
      <c r="K473">
        <v>503.1</v>
      </c>
      <c r="L473" t="s">
        <v>24</v>
      </c>
      <c r="M473" t="s">
        <v>25</v>
      </c>
      <c r="N473" t="s">
        <v>98</v>
      </c>
      <c r="O473" s="5">
        <f t="shared" si="7"/>
        <v>0.38868029481296062</v>
      </c>
    </row>
    <row r="474" spans="1:15" x14ac:dyDescent="0.3">
      <c r="A474" t="s">
        <v>956</v>
      </c>
      <c r="B474" t="s">
        <v>957</v>
      </c>
      <c r="C474" t="s">
        <v>44</v>
      </c>
      <c r="D474" t="s">
        <v>70</v>
      </c>
      <c r="E474" t="s">
        <v>46</v>
      </c>
      <c r="F474" t="s">
        <v>47</v>
      </c>
      <c r="G474">
        <v>16</v>
      </c>
      <c r="H474">
        <v>45.08</v>
      </c>
      <c r="I474">
        <v>721.28</v>
      </c>
      <c r="J474">
        <v>21.61</v>
      </c>
      <c r="K474">
        <v>187.67</v>
      </c>
      <c r="L474" t="s">
        <v>33</v>
      </c>
      <c r="M474" t="s">
        <v>41</v>
      </c>
      <c r="N474" t="s">
        <v>76</v>
      </c>
      <c r="O474" s="5">
        <f t="shared" si="7"/>
        <v>0.26019021739130432</v>
      </c>
    </row>
    <row r="475" spans="1:15" x14ac:dyDescent="0.3">
      <c r="A475" t="s">
        <v>958</v>
      </c>
      <c r="B475" t="s">
        <v>723</v>
      </c>
      <c r="C475" t="s">
        <v>197</v>
      </c>
      <c r="D475" t="s">
        <v>123</v>
      </c>
      <c r="E475" t="s">
        <v>67</v>
      </c>
      <c r="F475" t="s">
        <v>68</v>
      </c>
      <c r="G475">
        <v>37</v>
      </c>
      <c r="H475">
        <v>33.200000000000003</v>
      </c>
      <c r="I475">
        <v>1228.4000000000001</v>
      </c>
      <c r="J475">
        <v>41.34</v>
      </c>
      <c r="K475">
        <v>354.56</v>
      </c>
      <c r="L475" t="s">
        <v>48</v>
      </c>
      <c r="M475" t="s">
        <v>34</v>
      </c>
      <c r="N475" t="s">
        <v>76</v>
      </c>
      <c r="O475" s="5">
        <f t="shared" si="7"/>
        <v>0.28863562357538258</v>
      </c>
    </row>
    <row r="476" spans="1:15" x14ac:dyDescent="0.3">
      <c r="A476" t="s">
        <v>959</v>
      </c>
      <c r="B476" t="s">
        <v>187</v>
      </c>
      <c r="C476" t="s">
        <v>20</v>
      </c>
      <c r="D476" t="s">
        <v>123</v>
      </c>
      <c r="E476" t="s">
        <v>32</v>
      </c>
      <c r="F476" t="s">
        <v>23</v>
      </c>
      <c r="G476">
        <v>8</v>
      </c>
      <c r="H476">
        <v>27.31</v>
      </c>
      <c r="I476">
        <v>218.48</v>
      </c>
      <c r="J476">
        <v>9.51</v>
      </c>
      <c r="K476">
        <v>64.97</v>
      </c>
      <c r="L476" t="s">
        <v>48</v>
      </c>
      <c r="M476" t="s">
        <v>25</v>
      </c>
      <c r="N476" t="s">
        <v>76</v>
      </c>
      <c r="O476" s="5">
        <f t="shared" si="7"/>
        <v>0.29737275723178325</v>
      </c>
    </row>
    <row r="477" spans="1:15" x14ac:dyDescent="0.3">
      <c r="A477" t="s">
        <v>960</v>
      </c>
      <c r="B477" t="s">
        <v>484</v>
      </c>
      <c r="C477" t="s">
        <v>157</v>
      </c>
      <c r="D477" t="s">
        <v>141</v>
      </c>
      <c r="E477" t="s">
        <v>32</v>
      </c>
      <c r="F477" t="s">
        <v>23</v>
      </c>
      <c r="G477">
        <v>19</v>
      </c>
      <c r="H477">
        <v>29.14</v>
      </c>
      <c r="I477">
        <v>553.66</v>
      </c>
      <c r="J477">
        <v>19.7</v>
      </c>
      <c r="K477">
        <v>191.96</v>
      </c>
      <c r="L477" t="s">
        <v>24</v>
      </c>
      <c r="M477" t="s">
        <v>34</v>
      </c>
      <c r="N477" t="s">
        <v>142</v>
      </c>
      <c r="O477" s="5">
        <f t="shared" si="7"/>
        <v>0.34671097785644622</v>
      </c>
    </row>
    <row r="478" spans="1:15" x14ac:dyDescent="0.3">
      <c r="A478" t="s">
        <v>961</v>
      </c>
      <c r="B478" t="s">
        <v>300</v>
      </c>
      <c r="C478" t="s">
        <v>331</v>
      </c>
      <c r="D478" t="s">
        <v>116</v>
      </c>
      <c r="E478" t="s">
        <v>22</v>
      </c>
      <c r="F478" t="s">
        <v>23</v>
      </c>
      <c r="G478">
        <v>6</v>
      </c>
      <c r="H478">
        <v>55.41</v>
      </c>
      <c r="I478">
        <v>332.46</v>
      </c>
      <c r="J478">
        <v>15.57</v>
      </c>
      <c r="K478">
        <v>106.89</v>
      </c>
      <c r="L478" t="s">
        <v>24</v>
      </c>
      <c r="M478" t="s">
        <v>25</v>
      </c>
      <c r="N478" t="s">
        <v>76</v>
      </c>
      <c r="O478" s="5">
        <f t="shared" si="7"/>
        <v>0.3215123623894604</v>
      </c>
    </row>
    <row r="479" spans="1:15" x14ac:dyDescent="0.3">
      <c r="A479" t="s">
        <v>962</v>
      </c>
      <c r="B479" t="s">
        <v>406</v>
      </c>
      <c r="C479" t="s">
        <v>307</v>
      </c>
      <c r="D479" t="s">
        <v>123</v>
      </c>
      <c r="E479" t="s">
        <v>32</v>
      </c>
      <c r="F479" t="s">
        <v>23</v>
      </c>
      <c r="G479">
        <v>48</v>
      </c>
      <c r="H479">
        <v>29.07</v>
      </c>
      <c r="I479">
        <v>1395.36</v>
      </c>
      <c r="J479">
        <v>70.38</v>
      </c>
      <c r="K479">
        <v>460.98</v>
      </c>
      <c r="L479" t="s">
        <v>33</v>
      </c>
      <c r="M479" t="s">
        <v>41</v>
      </c>
      <c r="N479" t="s">
        <v>76</v>
      </c>
      <c r="O479" s="5">
        <f t="shared" si="7"/>
        <v>0.33036635706914347</v>
      </c>
    </row>
    <row r="480" spans="1:15" x14ac:dyDescent="0.3">
      <c r="A480" t="s">
        <v>963</v>
      </c>
      <c r="B480" t="s">
        <v>964</v>
      </c>
      <c r="C480" t="s">
        <v>455</v>
      </c>
      <c r="D480" t="s">
        <v>45</v>
      </c>
      <c r="E480" t="s">
        <v>67</v>
      </c>
      <c r="F480" t="s">
        <v>68</v>
      </c>
      <c r="G480">
        <v>26</v>
      </c>
      <c r="H480">
        <v>27.17</v>
      </c>
      <c r="I480">
        <v>706.42</v>
      </c>
      <c r="J480">
        <v>33.94</v>
      </c>
      <c r="K480">
        <v>87.48</v>
      </c>
      <c r="L480" t="s">
        <v>48</v>
      </c>
      <c r="M480" t="s">
        <v>34</v>
      </c>
      <c r="N480" t="s">
        <v>49</v>
      </c>
      <c r="O480" s="5">
        <f t="shared" si="7"/>
        <v>0.12383567849154895</v>
      </c>
    </row>
    <row r="481" spans="1:15" x14ac:dyDescent="0.3">
      <c r="A481" t="s">
        <v>965</v>
      </c>
      <c r="B481" t="s">
        <v>243</v>
      </c>
      <c r="C481" t="s">
        <v>170</v>
      </c>
      <c r="D481" t="s">
        <v>127</v>
      </c>
      <c r="E481" t="s">
        <v>22</v>
      </c>
      <c r="F481" t="s">
        <v>23</v>
      </c>
      <c r="G481">
        <v>9</v>
      </c>
      <c r="H481">
        <v>48.76</v>
      </c>
      <c r="I481">
        <v>438.84</v>
      </c>
      <c r="J481">
        <v>16.91</v>
      </c>
      <c r="K481">
        <v>106.93</v>
      </c>
      <c r="L481" t="s">
        <v>48</v>
      </c>
      <c r="M481" t="s">
        <v>25</v>
      </c>
      <c r="N481" t="s">
        <v>76</v>
      </c>
      <c r="O481" s="5">
        <f t="shared" si="7"/>
        <v>0.24366511712697114</v>
      </c>
    </row>
    <row r="482" spans="1:15" x14ac:dyDescent="0.3">
      <c r="A482" t="s">
        <v>966</v>
      </c>
      <c r="B482" t="s">
        <v>686</v>
      </c>
      <c r="C482" t="s">
        <v>360</v>
      </c>
      <c r="D482" t="s">
        <v>31</v>
      </c>
      <c r="E482" t="s">
        <v>67</v>
      </c>
      <c r="F482" t="s">
        <v>68</v>
      </c>
      <c r="G482">
        <v>37</v>
      </c>
      <c r="H482">
        <v>33.21</v>
      </c>
      <c r="I482">
        <v>1228.77</v>
      </c>
      <c r="J482">
        <v>96.12</v>
      </c>
      <c r="K482">
        <v>300.14999999999998</v>
      </c>
      <c r="L482" t="s">
        <v>48</v>
      </c>
      <c r="M482" t="s">
        <v>34</v>
      </c>
      <c r="N482" t="s">
        <v>35</v>
      </c>
      <c r="O482" s="5">
        <f t="shared" si="7"/>
        <v>0.24426865890280522</v>
      </c>
    </row>
    <row r="483" spans="1:15" x14ac:dyDescent="0.3">
      <c r="A483" t="s">
        <v>967</v>
      </c>
      <c r="B483" t="s">
        <v>672</v>
      </c>
      <c r="C483" t="s">
        <v>170</v>
      </c>
      <c r="D483" t="s">
        <v>45</v>
      </c>
      <c r="E483" t="s">
        <v>86</v>
      </c>
      <c r="F483" t="s">
        <v>47</v>
      </c>
      <c r="G483">
        <v>29</v>
      </c>
      <c r="H483">
        <v>16.54</v>
      </c>
      <c r="I483">
        <v>479.66</v>
      </c>
      <c r="J483">
        <v>30.23</v>
      </c>
      <c r="K483">
        <v>79.680000000000007</v>
      </c>
      <c r="L483" t="s">
        <v>33</v>
      </c>
      <c r="M483" t="s">
        <v>41</v>
      </c>
      <c r="N483" t="s">
        <v>49</v>
      </c>
      <c r="O483" s="5">
        <f t="shared" si="7"/>
        <v>0.16611766668056541</v>
      </c>
    </row>
    <row r="484" spans="1:15" x14ac:dyDescent="0.3">
      <c r="A484" t="s">
        <v>968</v>
      </c>
      <c r="B484" t="s">
        <v>224</v>
      </c>
      <c r="C484" t="s">
        <v>126</v>
      </c>
      <c r="D484" t="s">
        <v>206</v>
      </c>
      <c r="E484" t="s">
        <v>74</v>
      </c>
      <c r="F484" t="s">
        <v>75</v>
      </c>
      <c r="G484">
        <v>11</v>
      </c>
      <c r="H484">
        <v>44.56</v>
      </c>
      <c r="I484">
        <v>490.16</v>
      </c>
      <c r="J484">
        <v>23.97</v>
      </c>
      <c r="K484">
        <v>191.19</v>
      </c>
      <c r="L484" t="s">
        <v>33</v>
      </c>
      <c r="M484" t="s">
        <v>41</v>
      </c>
      <c r="N484" t="s">
        <v>207</v>
      </c>
      <c r="O484" s="5">
        <f t="shared" si="7"/>
        <v>0.39005630814427938</v>
      </c>
    </row>
    <row r="485" spans="1:15" x14ac:dyDescent="0.3">
      <c r="A485" t="s">
        <v>969</v>
      </c>
      <c r="B485" t="s">
        <v>675</v>
      </c>
      <c r="C485" t="s">
        <v>66</v>
      </c>
      <c r="D485" t="s">
        <v>62</v>
      </c>
      <c r="E485" t="s">
        <v>46</v>
      </c>
      <c r="F485" t="s">
        <v>47</v>
      </c>
      <c r="G485">
        <v>50</v>
      </c>
      <c r="H485">
        <v>44.78</v>
      </c>
      <c r="I485">
        <v>2239</v>
      </c>
      <c r="J485">
        <v>169.97</v>
      </c>
      <c r="K485">
        <v>469.03</v>
      </c>
      <c r="L485" t="s">
        <v>24</v>
      </c>
      <c r="M485" t="s">
        <v>41</v>
      </c>
      <c r="N485" t="s">
        <v>98</v>
      </c>
      <c r="O485" s="5">
        <f t="shared" si="7"/>
        <v>0.20948191156766413</v>
      </c>
    </row>
    <row r="486" spans="1:15" x14ac:dyDescent="0.3">
      <c r="A486" t="s">
        <v>970</v>
      </c>
      <c r="B486" t="s">
        <v>971</v>
      </c>
      <c r="C486" t="s">
        <v>122</v>
      </c>
      <c r="D486" t="s">
        <v>21</v>
      </c>
      <c r="E486" t="s">
        <v>32</v>
      </c>
      <c r="F486" t="s">
        <v>23</v>
      </c>
      <c r="G486">
        <v>30</v>
      </c>
      <c r="H486">
        <v>22.51</v>
      </c>
      <c r="I486">
        <v>675.3</v>
      </c>
      <c r="J486">
        <v>26.26</v>
      </c>
      <c r="K486">
        <v>109.04</v>
      </c>
      <c r="L486" t="s">
        <v>24</v>
      </c>
      <c r="M486" t="s">
        <v>25</v>
      </c>
      <c r="N486" t="s">
        <v>98</v>
      </c>
      <c r="O486" s="5">
        <f t="shared" si="7"/>
        <v>0.16146897675107361</v>
      </c>
    </row>
    <row r="487" spans="1:15" x14ac:dyDescent="0.3">
      <c r="A487" t="s">
        <v>972</v>
      </c>
      <c r="B487" t="s">
        <v>973</v>
      </c>
      <c r="C487" t="s">
        <v>391</v>
      </c>
      <c r="D487" t="s">
        <v>206</v>
      </c>
      <c r="E487" t="s">
        <v>81</v>
      </c>
      <c r="F487" t="s">
        <v>68</v>
      </c>
      <c r="G487">
        <v>50</v>
      </c>
      <c r="H487">
        <v>27.18</v>
      </c>
      <c r="I487">
        <v>1359</v>
      </c>
      <c r="J487">
        <v>45.67</v>
      </c>
      <c r="K487">
        <v>538.33000000000004</v>
      </c>
      <c r="L487" t="s">
        <v>24</v>
      </c>
      <c r="M487" t="s">
        <v>41</v>
      </c>
      <c r="N487" t="s">
        <v>207</v>
      </c>
      <c r="O487" s="5">
        <f t="shared" si="7"/>
        <v>0.39612214863870499</v>
      </c>
    </row>
    <row r="488" spans="1:15" x14ac:dyDescent="0.3">
      <c r="A488" t="s">
        <v>974</v>
      </c>
      <c r="B488" t="s">
        <v>706</v>
      </c>
      <c r="C488" t="s">
        <v>216</v>
      </c>
      <c r="D488" t="s">
        <v>37</v>
      </c>
      <c r="E488" t="s">
        <v>137</v>
      </c>
      <c r="F488" t="s">
        <v>68</v>
      </c>
      <c r="G488">
        <v>28</v>
      </c>
      <c r="H488">
        <v>37.51</v>
      </c>
      <c r="I488">
        <v>1050.28</v>
      </c>
      <c r="J488">
        <v>45.83</v>
      </c>
      <c r="K488">
        <v>220.45</v>
      </c>
      <c r="L488" t="s">
        <v>48</v>
      </c>
      <c r="M488" t="s">
        <v>34</v>
      </c>
      <c r="N488" t="s">
        <v>35</v>
      </c>
      <c r="O488" s="5">
        <f t="shared" si="7"/>
        <v>0.20989640857676048</v>
      </c>
    </row>
    <row r="489" spans="1:15" x14ac:dyDescent="0.3">
      <c r="A489" t="s">
        <v>975</v>
      </c>
      <c r="B489" t="s">
        <v>268</v>
      </c>
      <c r="C489" t="s">
        <v>113</v>
      </c>
      <c r="D489" t="s">
        <v>206</v>
      </c>
      <c r="E489" t="s">
        <v>56</v>
      </c>
      <c r="F489" t="s">
        <v>57</v>
      </c>
      <c r="G489">
        <v>50</v>
      </c>
      <c r="H489">
        <v>53.71</v>
      </c>
      <c r="I489">
        <v>2685.5</v>
      </c>
      <c r="J489">
        <v>197.89</v>
      </c>
      <c r="K489">
        <v>487.61</v>
      </c>
      <c r="L489" t="s">
        <v>33</v>
      </c>
      <c r="M489" t="s">
        <v>41</v>
      </c>
      <c r="N489" t="s">
        <v>207</v>
      </c>
      <c r="O489" s="5">
        <f t="shared" si="7"/>
        <v>0.18157140197356172</v>
      </c>
    </row>
    <row r="490" spans="1:15" x14ac:dyDescent="0.3">
      <c r="A490" t="s">
        <v>976</v>
      </c>
      <c r="B490" t="s">
        <v>977</v>
      </c>
      <c r="C490" t="s">
        <v>630</v>
      </c>
      <c r="D490" t="s">
        <v>141</v>
      </c>
      <c r="E490" t="s">
        <v>81</v>
      </c>
      <c r="F490" t="s">
        <v>68</v>
      </c>
      <c r="G490">
        <v>24</v>
      </c>
      <c r="H490">
        <v>18.62</v>
      </c>
      <c r="I490">
        <v>446.88</v>
      </c>
      <c r="J490">
        <v>26.91</v>
      </c>
      <c r="K490">
        <v>47.97</v>
      </c>
      <c r="L490" t="s">
        <v>33</v>
      </c>
      <c r="M490" t="s">
        <v>34</v>
      </c>
      <c r="N490" t="s">
        <v>142</v>
      </c>
      <c r="O490" s="5">
        <f t="shared" si="7"/>
        <v>0.10734425349087003</v>
      </c>
    </row>
    <row r="491" spans="1:15" x14ac:dyDescent="0.3">
      <c r="A491" t="s">
        <v>978</v>
      </c>
      <c r="B491" t="s">
        <v>577</v>
      </c>
      <c r="C491" t="s">
        <v>290</v>
      </c>
      <c r="D491" t="s">
        <v>116</v>
      </c>
      <c r="E491" t="s">
        <v>56</v>
      </c>
      <c r="F491" t="s">
        <v>57</v>
      </c>
      <c r="G491">
        <v>10</v>
      </c>
      <c r="H491">
        <v>49.15</v>
      </c>
      <c r="I491">
        <v>491.5</v>
      </c>
      <c r="J491">
        <v>13.3</v>
      </c>
      <c r="K491">
        <v>78.2</v>
      </c>
      <c r="L491" t="s">
        <v>48</v>
      </c>
      <c r="M491" t="s">
        <v>41</v>
      </c>
      <c r="N491" t="s">
        <v>76</v>
      </c>
      <c r="O491" s="5">
        <f t="shared" si="7"/>
        <v>0.15910478128179045</v>
      </c>
    </row>
    <row r="492" spans="1:15" x14ac:dyDescent="0.3">
      <c r="A492" t="s">
        <v>979</v>
      </c>
      <c r="B492" t="s">
        <v>980</v>
      </c>
      <c r="C492" t="s">
        <v>328</v>
      </c>
      <c r="D492" t="s">
        <v>51</v>
      </c>
      <c r="E492" t="s">
        <v>56</v>
      </c>
      <c r="F492" t="s">
        <v>57</v>
      </c>
      <c r="G492">
        <v>42</v>
      </c>
      <c r="H492">
        <v>50.96</v>
      </c>
      <c r="I492">
        <v>2140.3200000000002</v>
      </c>
      <c r="J492">
        <v>127.85</v>
      </c>
      <c r="K492">
        <v>332.47</v>
      </c>
      <c r="L492" t="s">
        <v>24</v>
      </c>
      <c r="M492" t="s">
        <v>34</v>
      </c>
      <c r="N492" t="s">
        <v>76</v>
      </c>
      <c r="O492" s="5">
        <f t="shared" si="7"/>
        <v>0.15533658518352397</v>
      </c>
    </row>
    <row r="493" spans="1:15" x14ac:dyDescent="0.3">
      <c r="A493" t="s">
        <v>981</v>
      </c>
      <c r="B493" t="s">
        <v>982</v>
      </c>
      <c r="C493" t="s">
        <v>323</v>
      </c>
      <c r="D493" t="s">
        <v>51</v>
      </c>
      <c r="E493" t="s">
        <v>74</v>
      </c>
      <c r="F493" t="s">
        <v>75</v>
      </c>
      <c r="G493">
        <v>39</v>
      </c>
      <c r="H493">
        <v>37.46</v>
      </c>
      <c r="I493">
        <v>1460.94</v>
      </c>
      <c r="J493">
        <v>82.25</v>
      </c>
      <c r="K493">
        <v>403.69</v>
      </c>
      <c r="L493" t="s">
        <v>48</v>
      </c>
      <c r="M493" t="s">
        <v>25</v>
      </c>
      <c r="N493" t="s">
        <v>76</v>
      </c>
      <c r="O493" s="5">
        <f t="shared" si="7"/>
        <v>0.27632209399427765</v>
      </c>
    </row>
    <row r="494" spans="1:15" x14ac:dyDescent="0.3">
      <c r="A494" t="s">
        <v>983</v>
      </c>
      <c r="B494" t="s">
        <v>984</v>
      </c>
      <c r="C494" t="s">
        <v>174</v>
      </c>
      <c r="D494" t="s">
        <v>171</v>
      </c>
      <c r="E494" t="s">
        <v>86</v>
      </c>
      <c r="F494" t="s">
        <v>47</v>
      </c>
      <c r="G494">
        <v>7</v>
      </c>
      <c r="H494">
        <v>20.2</v>
      </c>
      <c r="I494">
        <v>141.4</v>
      </c>
      <c r="J494">
        <v>4.3499999999999996</v>
      </c>
      <c r="K494">
        <v>47.8</v>
      </c>
      <c r="L494" t="s">
        <v>33</v>
      </c>
      <c r="M494" t="s">
        <v>41</v>
      </c>
      <c r="N494" t="s">
        <v>35</v>
      </c>
      <c r="O494" s="5">
        <f t="shared" si="7"/>
        <v>0.33804809052333801</v>
      </c>
    </row>
    <row r="495" spans="1:15" x14ac:dyDescent="0.3">
      <c r="A495" t="s">
        <v>985</v>
      </c>
      <c r="B495" t="s">
        <v>986</v>
      </c>
      <c r="C495" t="s">
        <v>197</v>
      </c>
      <c r="D495" t="s">
        <v>55</v>
      </c>
      <c r="E495" t="s">
        <v>86</v>
      </c>
      <c r="F495" t="s">
        <v>47</v>
      </c>
      <c r="G495">
        <v>18</v>
      </c>
      <c r="H495">
        <v>18.63</v>
      </c>
      <c r="I495">
        <v>335.34</v>
      </c>
      <c r="J495">
        <v>26.18</v>
      </c>
      <c r="K495">
        <v>79.66</v>
      </c>
      <c r="L495" t="s">
        <v>33</v>
      </c>
      <c r="M495" t="s">
        <v>25</v>
      </c>
      <c r="N495" t="s">
        <v>98</v>
      </c>
      <c r="O495" s="5">
        <f t="shared" si="7"/>
        <v>0.23754994930518281</v>
      </c>
    </row>
    <row r="496" spans="1:15" x14ac:dyDescent="0.3">
      <c r="A496" t="s">
        <v>987</v>
      </c>
      <c r="B496" t="s">
        <v>988</v>
      </c>
      <c r="C496" t="s">
        <v>462</v>
      </c>
      <c r="D496" t="s">
        <v>206</v>
      </c>
      <c r="E496" t="s">
        <v>67</v>
      </c>
      <c r="F496" t="s">
        <v>68</v>
      </c>
      <c r="G496">
        <v>12</v>
      </c>
      <c r="H496">
        <v>27.08</v>
      </c>
      <c r="I496">
        <v>324.95999999999998</v>
      </c>
      <c r="J496">
        <v>15.59</v>
      </c>
      <c r="K496">
        <v>39.369999999999997</v>
      </c>
      <c r="L496" t="s">
        <v>33</v>
      </c>
      <c r="M496" t="s">
        <v>41</v>
      </c>
      <c r="N496" t="s">
        <v>207</v>
      </c>
      <c r="O496" s="5">
        <f t="shared" si="7"/>
        <v>0.12115337272279665</v>
      </c>
    </row>
    <row r="497" spans="1:15" x14ac:dyDescent="0.3">
      <c r="A497" t="s">
        <v>989</v>
      </c>
      <c r="B497" t="s">
        <v>153</v>
      </c>
      <c r="C497" t="s">
        <v>499</v>
      </c>
      <c r="D497" t="s">
        <v>171</v>
      </c>
      <c r="E497" t="s">
        <v>74</v>
      </c>
      <c r="F497" t="s">
        <v>75</v>
      </c>
      <c r="G497">
        <v>50</v>
      </c>
      <c r="H497">
        <v>32.21</v>
      </c>
      <c r="I497">
        <v>1610.5</v>
      </c>
      <c r="J497">
        <v>32.68</v>
      </c>
      <c r="K497">
        <v>327.82</v>
      </c>
      <c r="L497" t="s">
        <v>33</v>
      </c>
      <c r="M497" t="s">
        <v>41</v>
      </c>
      <c r="N497" t="s">
        <v>35</v>
      </c>
      <c r="O497" s="5">
        <f t="shared" si="7"/>
        <v>0.20355169202111145</v>
      </c>
    </row>
    <row r="498" spans="1:15" x14ac:dyDescent="0.3">
      <c r="A498" t="s">
        <v>990</v>
      </c>
      <c r="B498" t="s">
        <v>768</v>
      </c>
      <c r="C498" t="s">
        <v>646</v>
      </c>
      <c r="D498" t="s">
        <v>141</v>
      </c>
      <c r="E498" t="s">
        <v>86</v>
      </c>
      <c r="F498" t="s">
        <v>47</v>
      </c>
      <c r="G498">
        <v>49</v>
      </c>
      <c r="H498">
        <v>20.59</v>
      </c>
      <c r="I498">
        <v>1008.91</v>
      </c>
      <c r="J498">
        <v>78.03</v>
      </c>
      <c r="K498">
        <v>306.13</v>
      </c>
      <c r="L498" t="s">
        <v>33</v>
      </c>
      <c r="M498" t="s">
        <v>41</v>
      </c>
      <c r="N498" t="s">
        <v>142</v>
      </c>
      <c r="O498" s="5">
        <f t="shared" si="7"/>
        <v>0.30342647015095497</v>
      </c>
    </row>
    <row r="499" spans="1:15" x14ac:dyDescent="0.3">
      <c r="A499" t="s">
        <v>991</v>
      </c>
      <c r="B499" t="s">
        <v>992</v>
      </c>
      <c r="C499" t="s">
        <v>140</v>
      </c>
      <c r="D499" t="s">
        <v>37</v>
      </c>
      <c r="E499" t="s">
        <v>63</v>
      </c>
      <c r="F499" t="s">
        <v>47</v>
      </c>
      <c r="G499">
        <v>22</v>
      </c>
      <c r="H499">
        <v>28.63</v>
      </c>
      <c r="I499">
        <v>629.86</v>
      </c>
      <c r="J499">
        <v>29.08</v>
      </c>
      <c r="K499">
        <v>160.78</v>
      </c>
      <c r="L499" t="s">
        <v>33</v>
      </c>
      <c r="M499" t="s">
        <v>34</v>
      </c>
      <c r="N499" t="s">
        <v>35</v>
      </c>
      <c r="O499" s="5">
        <f t="shared" si="7"/>
        <v>0.25526307433397899</v>
      </c>
    </row>
    <row r="500" spans="1:15" x14ac:dyDescent="0.3">
      <c r="A500" t="s">
        <v>993</v>
      </c>
      <c r="B500" t="s">
        <v>994</v>
      </c>
      <c r="C500" t="s">
        <v>290</v>
      </c>
      <c r="D500" t="s">
        <v>51</v>
      </c>
      <c r="E500" t="s">
        <v>56</v>
      </c>
      <c r="F500" t="s">
        <v>57</v>
      </c>
      <c r="G500">
        <v>11</v>
      </c>
      <c r="H500">
        <v>56.12</v>
      </c>
      <c r="I500">
        <v>617.32000000000005</v>
      </c>
      <c r="J500">
        <v>38.26</v>
      </c>
      <c r="K500">
        <v>139.06</v>
      </c>
      <c r="L500" t="s">
        <v>33</v>
      </c>
      <c r="M500" t="s">
        <v>34</v>
      </c>
      <c r="N500" t="s">
        <v>76</v>
      </c>
      <c r="O500" s="5">
        <f t="shared" si="7"/>
        <v>0.22526404457979651</v>
      </c>
    </row>
    <row r="501" spans="1:15" x14ac:dyDescent="0.3">
      <c r="A501" t="s">
        <v>995</v>
      </c>
      <c r="B501" t="s">
        <v>996</v>
      </c>
      <c r="C501" t="s">
        <v>54</v>
      </c>
      <c r="D501" t="s">
        <v>21</v>
      </c>
      <c r="E501" t="s">
        <v>74</v>
      </c>
      <c r="F501" t="s">
        <v>75</v>
      </c>
      <c r="G501">
        <v>2</v>
      </c>
      <c r="H501">
        <v>30.88</v>
      </c>
      <c r="I501">
        <v>61.76</v>
      </c>
      <c r="J501">
        <v>4.42</v>
      </c>
      <c r="K501">
        <v>7.34</v>
      </c>
      <c r="L501" t="s">
        <v>48</v>
      </c>
      <c r="M501" t="s">
        <v>34</v>
      </c>
      <c r="N501" t="s">
        <v>98</v>
      </c>
      <c r="O501" s="5">
        <f t="shared" si="7"/>
        <v>0.11884715025906736</v>
      </c>
    </row>
    <row r="502" spans="1:15" x14ac:dyDescent="0.3">
      <c r="A502" t="s">
        <v>997</v>
      </c>
      <c r="B502" t="s">
        <v>998</v>
      </c>
      <c r="C502" t="s">
        <v>471</v>
      </c>
      <c r="D502" t="s">
        <v>206</v>
      </c>
      <c r="E502" t="s">
        <v>56</v>
      </c>
      <c r="F502" t="s">
        <v>57</v>
      </c>
      <c r="G502">
        <v>34</v>
      </c>
      <c r="H502">
        <v>63.8</v>
      </c>
      <c r="I502">
        <v>2169.1999999999998</v>
      </c>
      <c r="J502">
        <v>69.650000000000006</v>
      </c>
      <c r="K502">
        <v>739.55</v>
      </c>
      <c r="L502" t="s">
        <v>33</v>
      </c>
      <c r="M502" t="s">
        <v>41</v>
      </c>
      <c r="N502" t="s">
        <v>207</v>
      </c>
      <c r="O502" s="5">
        <f t="shared" si="7"/>
        <v>0.34093214088143092</v>
      </c>
    </row>
    <row r="503" spans="1:15" x14ac:dyDescent="0.3">
      <c r="A503" t="s">
        <v>999</v>
      </c>
      <c r="B503" t="s">
        <v>412</v>
      </c>
      <c r="C503" t="s">
        <v>282</v>
      </c>
      <c r="D503" t="s">
        <v>62</v>
      </c>
      <c r="E503" t="s">
        <v>137</v>
      </c>
      <c r="F503" t="s">
        <v>68</v>
      </c>
      <c r="G503">
        <v>50</v>
      </c>
      <c r="H503">
        <v>44.61</v>
      </c>
      <c r="I503">
        <v>2230.5</v>
      </c>
      <c r="J503">
        <v>91.32</v>
      </c>
      <c r="K503">
        <v>739.18</v>
      </c>
      <c r="L503" t="s">
        <v>48</v>
      </c>
      <c r="M503" t="s">
        <v>25</v>
      </c>
      <c r="N503" t="s">
        <v>98</v>
      </c>
      <c r="O503" s="5">
        <f t="shared" si="7"/>
        <v>0.33139654785922434</v>
      </c>
    </row>
    <row r="504" spans="1:15" x14ac:dyDescent="0.3">
      <c r="A504" t="s">
        <v>1000</v>
      </c>
      <c r="B504" t="s">
        <v>1001</v>
      </c>
      <c r="C504" t="s">
        <v>119</v>
      </c>
      <c r="D504" t="s">
        <v>123</v>
      </c>
      <c r="E504" t="s">
        <v>86</v>
      </c>
      <c r="F504" t="s">
        <v>47</v>
      </c>
      <c r="G504">
        <v>14</v>
      </c>
      <c r="H504">
        <v>18.61</v>
      </c>
      <c r="I504">
        <v>260.54000000000002</v>
      </c>
      <c r="J504">
        <v>5.39</v>
      </c>
      <c r="K504">
        <v>76.650000000000006</v>
      </c>
      <c r="L504" t="s">
        <v>33</v>
      </c>
      <c r="M504" t="s">
        <v>41</v>
      </c>
      <c r="N504" t="s">
        <v>76</v>
      </c>
      <c r="O504" s="5">
        <f t="shared" si="7"/>
        <v>0.29419666845781839</v>
      </c>
    </row>
    <row r="505" spans="1:15" x14ac:dyDescent="0.3">
      <c r="A505" t="s">
        <v>1002</v>
      </c>
      <c r="B505" t="s">
        <v>816</v>
      </c>
      <c r="C505" t="s">
        <v>455</v>
      </c>
      <c r="D505" t="s">
        <v>31</v>
      </c>
      <c r="E505" t="s">
        <v>81</v>
      </c>
      <c r="F505" t="s">
        <v>68</v>
      </c>
      <c r="G505">
        <v>7</v>
      </c>
      <c r="H505">
        <v>24.61</v>
      </c>
      <c r="I505">
        <v>172.27</v>
      </c>
      <c r="J505">
        <v>9.64</v>
      </c>
      <c r="K505">
        <v>54.13</v>
      </c>
      <c r="L505" t="s">
        <v>48</v>
      </c>
      <c r="M505" t="s">
        <v>41</v>
      </c>
      <c r="N505" t="s">
        <v>35</v>
      </c>
      <c r="O505" s="5">
        <f t="shared" si="7"/>
        <v>0.31421605619086318</v>
      </c>
    </row>
  </sheetData>
  <conditionalFormatting sqref="O6:O505">
    <cfRule type="expression" dxfId="0" priority="1">
      <formula>$O6&gt;25%</formula>
    </cfRule>
  </conditionalFormatting>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41" r:id="rId3" name="Button 1">
              <controlPr defaultSize="0" print="0" autoFill="0" autoPict="0" macro="[0]!Macro4">
                <anchor moveWithCells="1">
                  <from>
                    <xdr:col>16</xdr:col>
                    <xdr:colOff>281940</xdr:colOff>
                    <xdr:row>4</xdr:row>
                    <xdr:rowOff>106680</xdr:rowOff>
                  </from>
                  <to>
                    <xdr:col>19</xdr:col>
                    <xdr:colOff>0</xdr:colOff>
                    <xdr:row>7</xdr:row>
                    <xdr:rowOff>99060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72823-1AAF-4F17-8C78-17A7EE312D02}">
  <dimension ref="B4:AA61"/>
  <sheetViews>
    <sheetView tabSelected="1" zoomScale="38" zoomScaleNormal="70" workbookViewId="0">
      <selection activeCell="CG4" sqref="CG4"/>
    </sheetView>
  </sheetViews>
  <sheetFormatPr defaultRowHeight="14.4" x14ac:dyDescent="0.3"/>
  <cols>
    <col min="1" max="10" width="8.88671875" style="34"/>
    <col min="11" max="11" width="15.88671875" style="34" customWidth="1"/>
    <col min="12" max="14" width="8.88671875" style="34"/>
    <col min="15" max="15" width="18.88671875" style="34" customWidth="1"/>
    <col min="16" max="16384" width="8.88671875" style="34"/>
  </cols>
  <sheetData>
    <row r="4" spans="2:15" x14ac:dyDescent="0.3">
      <c r="B4" s="41" t="s">
        <v>1063</v>
      </c>
      <c r="C4" s="41"/>
      <c r="D4" s="41" t="s">
        <v>1064</v>
      </c>
      <c r="E4" s="41"/>
      <c r="F4" s="41" t="s">
        <v>1065</v>
      </c>
      <c r="G4" s="41"/>
      <c r="H4" s="41" t="s">
        <v>1066</v>
      </c>
      <c r="I4" s="41"/>
      <c r="J4" s="41" t="s">
        <v>1067</v>
      </c>
      <c r="K4" s="41"/>
      <c r="L4" s="42" t="s">
        <v>1068</v>
      </c>
      <c r="M4" s="42"/>
      <c r="N4" s="42" t="s">
        <v>1069</v>
      </c>
      <c r="O4" s="42"/>
    </row>
    <row r="5" spans="2:15" ht="19.2" x14ac:dyDescent="0.3">
      <c r="B5" s="43">
        <f>COUNT([3]Data!H1:H500)</f>
        <v>499</v>
      </c>
      <c r="C5" s="43"/>
      <c r="D5" s="44">
        <f>SUM([3]Data!J1:J500)</f>
        <v>23597.579999999991</v>
      </c>
      <c r="E5" s="44"/>
      <c r="F5" s="44">
        <f>SUM([3]Data!L1:L500)</f>
        <v>0</v>
      </c>
      <c r="G5" s="44"/>
      <c r="H5" s="45">
        <f>AVERAGE([3]Data!R1:R500)</f>
        <v>24.170340681362724</v>
      </c>
      <c r="I5" s="45"/>
      <c r="J5" s="46">
        <f>AVERAGE([3]Data!K1:K500)</f>
        <v>267.56767535070122</v>
      </c>
      <c r="K5" s="46"/>
      <c r="L5" s="40" t="str">
        <f>INDEX([3]Chart_Data!$E$3:$E$8,MATCH(MAX([3]Chart_Data!$F$3:$F$8),[3]Chart_Data!$F$3:$F$8,0))</f>
        <v>AS</v>
      </c>
      <c r="M5" s="40"/>
      <c r="N5" s="40" t="str">
        <f>INDEX([3]Chart_Data!$L$3:$L$12,MATCH(MAX([3]Chart_Data!$N$3:$N$12),[3]Chart_Data!$N$3:$N$12,0))</f>
        <v>Denim Jacket</v>
      </c>
      <c r="O5" s="40"/>
    </row>
    <row r="24" spans="5:27" x14ac:dyDescent="0.3">
      <c r="E24" s="34" t="s">
        <v>1070</v>
      </c>
      <c r="P24" s="34" t="s">
        <v>1075</v>
      </c>
    </row>
    <row r="25" spans="5:27" x14ac:dyDescent="0.3">
      <c r="AA25" s="34" t="s">
        <v>1071</v>
      </c>
    </row>
    <row r="42" spans="5:16" x14ac:dyDescent="0.3">
      <c r="E42" s="34" t="s">
        <v>1073</v>
      </c>
    </row>
    <row r="43" spans="5:16" x14ac:dyDescent="0.3">
      <c r="P43" s="34" t="s">
        <v>1072</v>
      </c>
    </row>
    <row r="61" spans="5:16" x14ac:dyDescent="0.3">
      <c r="E61" s="34" t="s">
        <v>1076</v>
      </c>
      <c r="P61" s="34" t="s">
        <v>1074</v>
      </c>
    </row>
  </sheetData>
  <mergeCells count="14">
    <mergeCell ref="L5:M5"/>
    <mergeCell ref="N5:O5"/>
    <mergeCell ref="B4:C4"/>
    <mergeCell ref="D4:E4"/>
    <mergeCell ref="F4:G4"/>
    <mergeCell ref="H4:I4"/>
    <mergeCell ref="J4:K4"/>
    <mergeCell ref="L4:M4"/>
    <mergeCell ref="N4:O4"/>
    <mergeCell ref="B5:C5"/>
    <mergeCell ref="D5:E5"/>
    <mergeCell ref="F5:G5"/>
    <mergeCell ref="H5:I5"/>
    <mergeCell ref="J5:K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Q1_Clean_Format</vt:lpstr>
      <vt:lpstr>Q2_Metrics</vt:lpstr>
      <vt:lpstr>Q3_Text_IDs</vt:lpstr>
      <vt:lpstr>Q4_Logic</vt:lpstr>
      <vt:lpstr>Q5_Lookups</vt:lpstr>
      <vt:lpstr>Q6_Sum_AvgIFS</vt:lpstr>
      <vt:lpstr>Q7_Pivot_Source</vt:lpstr>
      <vt:lpstr>Q8_Charts</vt:lpstr>
      <vt:lpstr>Q9_Macro</vt:lpstr>
      <vt:lpstr>Q9_Macro0.2</vt:lpstr>
      <vt:lpstr>Q10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shreyas raut</cp:lastModifiedBy>
  <cp:lastPrinted>2026-07-22T12:39:35Z</cp:lastPrinted>
  <dcterms:created xsi:type="dcterms:W3CDTF">2025-11-08T20:33:01Z</dcterms:created>
  <dcterms:modified xsi:type="dcterms:W3CDTF">2026-10-15T15:49:43Z</dcterms:modified>
</cp:coreProperties>
</file>